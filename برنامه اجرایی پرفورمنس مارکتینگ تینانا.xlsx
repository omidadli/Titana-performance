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worksheets/sheet8.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worksheets/sheet9.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10.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worksheets/sheet12.xml" ContentType="application/vnd.openxmlformats-officedocument.spreadsheetml.worksheet+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worksheets/sheet13.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worksheets/sheet14.xml" ContentType="application/vnd.openxmlformats-officedocument.spreadsheetml.worksheet+xml"/>
  <Override PartName="/xl/tables/table23.xml" ContentType="application/vnd.openxmlformats-officedocument.spreadsheetml.table+xml"/>
  <Override PartName="/xl/tables/table24.xml" ContentType="application/vnd.openxmlformats-officedocument.spreadsheetml.table+xml"/>
  <Override PartName="/xl/worksheets/sheet15.xml" ContentType="application/vnd.openxmlformats-officedocument.spreadsheetml.worksheet+xml"/>
  <Override PartName="/xl/tables/table25.xml" ContentType="application/vnd.openxmlformats-officedocument.spreadsheetml.table+xml"/>
  <Override PartName="/xl/worksheets/sheet16.xml" ContentType="application/vnd.openxmlformats-officedocument.spreadsheetml.worksheet+xml"/>
  <Override PartName="/xl/tables/table26.xml" ContentType="application/vnd.openxmlformats-officedocument.spreadsheetml.table+xml"/>
  <Override PartName="/xl/tables/table27.xml" ContentType="application/vnd.openxmlformats-officedocument.spreadsheetml.table+xml"/>
  <Override PartName="/xl/worksheets/sheet17.xml" ContentType="application/vnd.openxmlformats-officedocument.spreadsheetml.worksheet+xml"/>
  <Override PartName="/xl/tables/table28.xml" ContentType="application/vnd.openxmlformats-officedocument.spreadsheetml.table+xml"/>
  <Override PartName="/xl/worksheets/sheet18.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worksheets/sheet19.xml" ContentType="application/vnd.openxmlformats-officedocument.spreadsheetml.worksheet+xml"/>
  <Override PartName="/xl/tables/table32.xml" ContentType="application/vnd.openxmlformats-officedocument.spreadsheetml.table+xml"/>
  <Override PartName="/xl/tables/table33.xml" ContentType="application/vnd.openxmlformats-officedocument.spreadsheetml.table+xml"/>
  <Override PartName="/xl/worksheets/sheet20.xml" ContentType="application/vnd.openxmlformats-officedocument.spreadsheetml.worksheet+xml"/>
  <Override PartName="/xl/tables/table34.xml" ContentType="application/vnd.openxmlformats-officedocument.spreadsheetml.table+xml"/>
  <Override PartName="/xl/tables/table35.xml" ContentType="application/vnd.openxmlformats-officedocument.spreadsheetml.table+xml"/>
  <Override PartName="/xl/worksheets/sheet21.xml" ContentType="application/vnd.openxmlformats-officedocument.spreadsheetml.worksheet+xml"/>
  <Override PartName="/xl/tables/table36.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ables/table37.xml" ContentType="application/vnd.openxmlformats-officedocument.spreadsheetml.table+xml"/>
  <Override PartName="/xl/worksheets/sheet25.xml" ContentType="application/vnd.openxmlformats-officedocument.spreadsheetml.worksheet+xml"/>
  <Override PartName="/xl/tables/table38.xml" ContentType="application/vnd.openxmlformats-officedocument.spreadsheetml.table+xml"/>
  <Override PartName="/xl/worksheets/sheet2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42988348ca584aeb" /></Relationships>
</file>

<file path=xl/workbook.xml><?xml version="1.0" encoding="utf-8"?>
<x:workbook xmlns:x="http://schemas.openxmlformats.org/spreadsheetml/2006/main">
  <x:sheets>
    <x:sheet xmlns:r="http://schemas.openxmlformats.org/officeDocument/2006/relationships" name="00_README" sheetId="1" r:id="R46ffc8dcaa184c29"/>
    <x:sheet xmlns:r="http://schemas.openxmlformats.org/officeDocument/2006/relationships" name="01_MASTER_BACKLOG" sheetId="2" r:id="R732745bf645c4b6c"/>
    <x:sheet xmlns:r="http://schemas.openxmlformats.org/officeDocument/2006/relationships" name="02_EVENTS" sheetId="3" r:id="Rb3ebdcc6e63e43f6"/>
    <x:sheet xmlns:r="http://schemas.openxmlformats.org/officeDocument/2006/relationships" name="03_EVENT_PARAMETERS" sheetId="4" r:id="R0106e360a0d148ba"/>
    <x:sheet xmlns:r="http://schemas.openxmlformats.org/officeDocument/2006/relationships" name="04_PROPERTIES" sheetId="5" r:id="R672ebcc53dae479e"/>
    <x:sheet xmlns:r="http://schemas.openxmlformats.org/officeDocument/2006/relationships" name="05_DIMENSIONS" sheetId="6" r:id="R550aff51129a4219"/>
    <x:sheet xmlns:r="http://schemas.openxmlformats.org/officeDocument/2006/relationships" name="06_METRICS" sheetId="7" r:id="Rc0b941879db548ff"/>
    <x:sheet xmlns:r="http://schemas.openxmlformats.org/officeDocument/2006/relationships" name="07_KPI_DICTIONARY" sheetId="8" r:id="R3f02c4a0961e4249"/>
    <x:sheet xmlns:r="http://schemas.openxmlformats.org/officeDocument/2006/relationships" name="08_DATA_FIELDS" sheetId="9" r:id="R184030bda49c46d0"/>
    <x:sheet xmlns:r="http://schemas.openxmlformats.org/officeDocument/2006/relationships" name="09_DATA_SOURCES" sheetId="10" r:id="R40ebe88696564676"/>
    <x:sheet xmlns:r="http://schemas.openxmlformats.org/officeDocument/2006/relationships" name="10_REPORTS" sheetId="11" r:id="Rf288f0abdd814283"/>
    <x:sheet xmlns:r="http://schemas.openxmlformats.org/officeDocument/2006/relationships" name="11_DASHBOARDS" sheetId="12" r:id="Redf88b8598f84857"/>
    <x:sheet xmlns:r="http://schemas.openxmlformats.org/officeDocument/2006/relationships" name="12_ALERTS" sheetId="13" r:id="R0a02dfa2271a4f56"/>
    <x:sheet xmlns:r="http://schemas.openxmlformats.org/officeDocument/2006/relationships" name="13_ANALYTICAL_MODELS" sheetId="14" r:id="R51edee83571d44cb"/>
    <x:sheet xmlns:r="http://schemas.openxmlformats.org/officeDocument/2006/relationships" name="14_DEPENDENCIES" sheetId="15" r:id="Rad5c9652e5394186"/>
    <x:sheet xmlns:r="http://schemas.openxmlformats.org/officeDocument/2006/relationships" name="15_PHASE_PLAN" sheetId="16" r:id="R275855e2607848a6"/>
    <x:sheet xmlns:r="http://schemas.openxmlformats.org/officeDocument/2006/relationships" name="16_RACI" sheetId="17" r:id="Rd2d6db0bac724bb8"/>
    <x:sheet xmlns:r="http://schemas.openxmlformats.org/officeDocument/2006/relationships" name="17_TESTING_QA" sheetId="18" r:id="Rba3c0b2d33a448cd"/>
    <x:sheet xmlns:r="http://schemas.openxmlformats.org/officeDocument/2006/relationships" name="18_DATA_GAPS" sheetId="19" r:id="R1807e3ef7a834c17"/>
    <x:sheet xmlns:r="http://schemas.openxmlformats.org/officeDocument/2006/relationships" name="19_BENCHMARKS" sheetId="20" r:id="Rde62f5f254064c1a"/>
    <x:sheet xmlns:r="http://schemas.openxmlformats.org/officeDocument/2006/relationships" name="20_EXECUTIVE_ROADMAP" sheetId="21" r:id="Rca54771d92364324"/>
    <x:sheet xmlns:r="http://schemas.openxmlformats.org/officeDocument/2006/relationships" name="QA_SUMMARY" sheetId="22" r:id="R49f968e4dc3f4655"/>
    <x:sheet xmlns:r="http://schemas.openxmlformats.org/officeDocument/2006/relationships" name="_LISTS" sheetId="23" r:id="Rbd4b50a6f79b4fdb"/>
    <x:sheet xmlns:r="http://schemas.openxmlformats.org/officeDocument/2006/relationships" name="Reporting_Cadence" sheetId="24" r:id="R3e3a06e0a16a427f"/>
    <x:sheet xmlns:r="http://schemas.openxmlformats.org/officeDocument/2006/relationships" name="Audit_Checklist" sheetId="25" r:id="Rc3625fb45fa245a7"/>
    <x:sheet xmlns:r="http://schemas.openxmlformats.org/officeDocument/2006/relationships" name="Executive_Dashboard" sheetId="26" r:id="Rc2cc98537ce442fa"/>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color theme="1"/>
      <x:name val="Calibri"/>
    </x:font>
    <x:font>
      <x:b/>
      <x:sz val="14"/>
      <x:color rgb="FF1F4E78"/>
      <x:name val="Tahoma"/>
    </x:font>
    <x:font>
      <x:i/>
      <x:sz val="10"/>
      <x:color rgb="FF404040"/>
      <x:name val="Tahoma"/>
    </x:font>
    <x:font>
      <x:b/>
      <x:sz val="11"/>
      <x:color rgb="FFC00000"/>
      <x:name val="Tahoma"/>
    </x:font>
    <x:font>
      <x:sz val="10"/>
      <x:name val="Tahoma"/>
    </x:font>
    <x:font>
      <x:b/>
      <x:sz val="10"/>
      <x:color rgb="FFFFFFFF"/>
      <x:name val="Tahoma"/>
    </x:font>
    <x:font>
      <x:b/>
      <x:sz val="10"/>
      <x:color rgb="FF000000"/>
      <x:name val="Tahoma"/>
    </x:font>
    <x:font>
      <x:b/>
      <x:sz val="10"/>
      <x:color rgb="FF1F4E78"/>
      <x:name val="Tahoma"/>
    </x:font>
    <x:font>
      <x:i/>
      <x:sz val="10"/>
      <x:color rgb="FF1F4E78"/>
      <x:name val="Tahoma"/>
    </x:font>
    <x:font>
      <x:b/>
      <x:sz val="10"/>
      <x:color rgb="FFFFFFFF"/>
      <x:name val="Arial"/>
    </x:font>
    <x:font>
      <x:sz val="10"/>
      <x:color rgb="FF1F2937"/>
      <x:name val="Arial"/>
    </x:font>
    <x:font>
      <x:b/>
      <x:sz val="10"/>
      <x:color rgb="FF1F2937"/>
      <x:name val="Arial"/>
    </x:font>
    <x:font>
      <x:b/>
      <x:sz val="16"/>
      <x:color rgb="FF17365D"/>
      <x:name val="Arial"/>
    </x:font>
    <x:font>
      <x:b/>
      <x:sz val="10"/>
      <x:color rgb="FF006100"/>
      <x:name val="Arial"/>
    </x:font>
  </x:fonts>
  <x:fills count="14">
    <x:fill>
      <x:patternFill patternType="none"/>
    </x:fill>
    <x:fill>
      <x:patternFill patternType="gray125"/>
    </x:fill>
    <x:fill>
      <x:patternFill patternType="solid">
        <x:fgColor rgb="FF1F4E78"/>
      </x:patternFill>
    </x:fill>
    <x:fill>
      <x:patternFill patternType="solid">
        <x:fgColor rgb="FFF2F6FA"/>
      </x:patternFill>
    </x:fill>
    <x:fill>
      <x:patternFill patternType="solid">
        <x:fgColor rgb="FFC00000"/>
      </x:patternFill>
    </x:fill>
    <x:fill>
      <x:patternFill patternType="solid">
        <x:fgColor rgb="FFED7D31"/>
      </x:patternFill>
    </x:fill>
    <x:fill>
      <x:patternFill patternType="solid">
        <x:fgColor rgb="FFFFC000"/>
      </x:patternFill>
    </x:fill>
    <x:fill>
      <x:patternFill patternType="solid">
        <x:fgColor rgb="FF70AD47"/>
      </x:patternFill>
    </x:fill>
    <x:fill>
      <x:patternFill patternType="solid">
        <x:fgColor rgb="FFD9D9D9"/>
      </x:patternFill>
    </x:fill>
    <x:fill>
      <x:patternFill patternType="solid">
        <x:fgColor rgb="FF2E9599"/>
      </x:patternFill>
    </x:fill>
    <x:fill>
      <x:patternFill patternType="solid">
        <x:fgColor rgb="FFFFF2CC"/>
      </x:patternFill>
    </x:fill>
    <x:fill>
      <x:patternFill patternType="solid">
        <x:fgColor rgb="FFE2EFDA"/>
      </x:patternFill>
    </x:fill>
    <x:fill>
      <x:patternFill patternType="solid">
        <x:fgColor rgb="FF17365D"/>
      </x:patternFill>
    </x:fill>
    <x:fill>
      <x:patternFill patternType="solid">
        <x:fgColor rgb="FFE2F0D9"/>
      </x:patternFill>
    </x:fill>
  </x:fills>
  <x:borders count="2">
    <x:border/>
    <x:border>
      <x:left style="thin">
        <x:color rgb="FFB8CCE4"/>
      </x:left>
      <x:right style="thin">
        <x:color rgb="FFB8CCE4"/>
      </x:right>
      <x:top style="thin">
        <x:color rgb="FFB8CCE4"/>
      </x:top>
      <x:bottom style="thin">
        <x:color rgb="FFB8CCE4"/>
      </x:bottom>
    </x:border>
  </x:borders>
  <x:cellStyleXfs count="1">
    <x:xf numFmtId="0" fontId="0" fillId="0" borderId="0"/>
  </x:cellStyleXfs>
  <x:cellXfs count="43">
    <x:xf numFmtId="0" fontId="0" fillId="0" borderId="0" xfId="0"/>
    <x:xf numFmtId="0" fontId="1" fillId="0" borderId="0" xfId="0"/>
    <x:xf numFmtId="0" fontId="2" fillId="0" borderId="0" xfId="0"/>
    <x:xf numFmtId="0" fontId="3" fillId="0" borderId="0" xfId="0"/>
    <x:xf numFmtId="0" fontId="4" fillId="0" borderId="1" xfId="0" applyAlignment="1">
      <x:alignment horizontal="right" vertical="top" wrapText="1"/>
    </x:xf>
    <x:xf numFmtId="0" fontId="5" fillId="2" borderId="1" xfId="0" applyAlignment="1">
      <x:alignment horizontal="center" vertical="center" wrapText="1"/>
    </x:xf>
    <x:xf numFmtId="0" fontId="4" fillId="3" borderId="1" xfId="0" applyAlignment="1">
      <x:alignment horizontal="right" vertical="top" wrapText="1"/>
    </x:xf>
    <x:xf numFmtId="0" fontId="5" fillId="4" borderId="1" xfId="0" applyAlignment="1">
      <x:alignment horizontal="right" vertical="top" wrapText="1"/>
    </x:xf>
    <x:xf numFmtId="0" fontId="0" fillId="0" borderId="1" xfId="0"/>
    <x:xf numFmtId="0" fontId="5" fillId="5" borderId="1" xfId="0" applyAlignment="1">
      <x:alignment horizontal="right" vertical="top" wrapText="1"/>
    </x:xf>
    <x:xf numFmtId="0" fontId="6" fillId="6" borderId="1" xfId="0" applyAlignment="1">
      <x:alignment horizontal="right" vertical="top" wrapText="1"/>
    </x:xf>
    <x:xf numFmtId="0" fontId="5" fillId="7" borderId="1" xfId="0" applyAlignment="1">
      <x:alignment horizontal="right" vertical="top" wrapText="1"/>
    </x:xf>
    <x:xf numFmtId="0" fontId="6" fillId="8" borderId="1" xfId="0" applyAlignment="1">
      <x:alignment horizontal="right" vertical="top" wrapText="1"/>
    </x:xf>
    <x:xf numFmtId="0" fontId="5" fillId="9" borderId="1" xfId="0" applyAlignment="1">
      <x:alignment horizontal="right" vertical="top" wrapText="1"/>
    </x:xf>
    <x:xf numFmtId="0" fontId="6" fillId="10" borderId="1" xfId="0" applyAlignment="1">
      <x:alignment horizontal="right" vertical="top" wrapText="1"/>
    </x:xf>
    <x:xf numFmtId="0" fontId="7" fillId="11" borderId="1" xfId="0" applyAlignment="1">
      <x:alignment horizontal="right" vertical="top" wrapText="1"/>
    </x:xf>
    <x:xf numFmtId="0" fontId="7" fillId="0" borderId="1" xfId="0" applyAlignment="1">
      <x:alignment horizontal="right" vertical="top" wrapText="1"/>
    </x:xf>
    <x:xf numFmtId="0" fontId="4" fillId="0" borderId="1" xfId="0" applyAlignment="1">
      <x:alignment horizontal="center" vertical="center" wrapText="1"/>
    </x:xf>
    <x:xf numFmtId="0" fontId="8" fillId="11" borderId="1" xfId="0" applyAlignment="1">
      <x:alignment horizontal="center" vertical="center" wrapText="1"/>
    </x:xf>
    <x:xf numFmtId="0" fontId="4" fillId="3" borderId="1" xfId="0" applyAlignment="1">
      <x:alignment horizontal="center" vertical="center" wrapText="1"/>
    </x:xf>
    <x:xf numFmtId="9" fontId="8" fillId="11" borderId="1" xfId="0" applyAlignment="1">
      <x:alignment horizontal="center" vertical="center" wrapText="1"/>
    </x:xf>
    <x:xf numFmtId="0" fontId="5" fillId="2" borderId="0" xfId="0"/>
    <x:xf numFmtId="0" fontId="4" fillId="0" borderId="0" xfId="0"/>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horizontal="center"/>
    </x:xf>
    <x:xf numFmtId="0" fontId="9" fillId="12" borderId="0" xfId="0" applyNumberFormat="1" applyFont="1" applyFill="1" applyBorder="1" applyAlignment="1">
      <x:alignment horizontal="center" vertical="center"/>
    </x:xf>
    <x:xf numFmtId="0" fontId="9" fillId="12" borderId="0" xfId="0" applyNumberFormat="1" applyFont="1" applyFill="1" applyBorder="1" applyAlignment="1">
      <x:alignment horizontal="center" vertical="center" wrapText="1"/>
    </x:xf>
    <x:xf numFmtId="0" fontId="10" fillId="0" borderId="0" xfId="0" applyNumberFormat="1" applyFont="1" applyFill="1" applyBorder="1"/>
    <x:xf numFmtId="0" fontId="10" fillId="0" borderId="0" xfId="0" applyNumberFormat="1" applyFont="1" applyFill="1" applyBorder="1" applyAlignment="1">
      <x:alignment vertical="top"/>
    </x:xf>
    <x:xf numFmtId="0" fontId="10"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0" fillId="0" borderId="0" xfId="0" applyNumberFormat="1" applyFont="1" applyFill="1" applyBorder="1">
      <x:extLst>
        <x:ext uri="{C7286773-470A-42A8-94C5-96B5CB345126}">
          <xfpb:xfComplement xmlns:xfpb="http://schemas.microsoft.com/office/spreadsheetml/2022/featurepropertybag" i="0"/>
        </x:ext>
      </x:extLst>
    </x:xf>
    <x:xf numFmtId="0" fontId="1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1" fillId="12" borderId="0" xfId="0" applyNumberFormat="1" applyFont="1" applyFill="1" applyBorder="1"/>
    <x:xf numFmtId="0" fontId="11" fillId="12" borderId="0" xfId="0" applyNumberFormat="1" applyFont="1" applyFill="1" applyBorder="1" applyAlignment="1">
      <x:alignment wrapText="1"/>
    </x:xf>
    <x:xf numFmtId="0" fontId="10" fillId="0" borderId="0" xfId="0" applyNumberFormat="1" applyFont="1" applyFill="1" applyBorder="1" applyAlignment="1">
      <x:alignment wrapText="1"/>
    </x:xf>
    <x:xf numFmtId="0" fontId="12" fillId="0" borderId="0" xfId="0" applyNumberFormat="1" applyFont="1" applyFill="1" applyBorder="1"/>
    <x:xf numFmtId="0" fontId="10" fillId="12" borderId="0" xfId="0" applyNumberFormat="1" applyFont="1" applyFill="1" applyBorder="1"/>
    <x:xf numFmtId="0" fontId="9" fillId="0" borderId="0" xfId="0" applyNumberFormat="1" applyFont="1" applyFill="1" applyBorder="1"/>
    <x:xf numFmtId="0" fontId="10" fillId="13" borderId="0" xfId="0" applyNumberFormat="1" applyFont="1" applyFill="1" applyBorder="1" applyAlignment="1">
      <x:alignment wrapText="1"/>
    </x:xf>
    <x:xf numFmtId="0" fontId="13" fillId="13" borderId="0" xfId="0" applyNumberFormat="1" applyFont="1" applyFill="1" applyBorder="1" applyAlignment="1">
      <x:alignment wrapText="1"/>
    </x:xf>
  </x:cellXfs>
  <x:cellStyles count="1">
    <x:cellStyle name="Normal" xfId="0"/>
  </x:cellStyles>
  <x:dxfs count="12">
    <x:dxf>
      <x:font>
        <x:b/>
        <x:color rgb="00FFFFFF"/>
      </x:font>
      <x:fill>
        <x:patternFill>
          <x:bgColor rgb="00C00000"/>
        </x:patternFill>
      </x:fill>
    </x:dxf>
    <x:dxf>
      <x:font>
        <x:color rgb="00FFFFFF"/>
      </x:font>
      <x:fill>
        <x:patternFill>
          <x:bgColor rgb="00ED7D31"/>
        </x:patternFill>
      </x:fill>
    </x:dxf>
    <x:dxf>
      <x:fill>
        <x:patternFill>
          <x:bgColor rgb="00FFC000"/>
        </x:patternFill>
      </x:fill>
    </x:dxf>
    <x:dxf>
      <x:font>
        <x:color rgb="00FFFFFF"/>
      </x:font>
      <x:fill>
        <x:patternFill>
          <x:bgColor rgb="0070AD47"/>
        </x:patternFill>
      </x:fill>
    </x:dxf>
    <x:dxf>
      <x:font>
        <x:color rgb="00FFFFFF"/>
      </x:font>
      <x:fill>
        <x:patternFill>
          <x:bgColor rgb="004472C4"/>
        </x:patternFill>
      </x:fill>
    </x:dxf>
    <x:dxf>
      <x:font>
        <x:color rgb="00FFFFFF"/>
      </x:font>
      <x:fill>
        <x:patternFill>
          <x:bgColor rgb="002E9599"/>
        </x:patternFill>
      </x:fill>
    </x:dxf>
    <x:dxf>
      <x:fill>
        <x:patternFill>
          <x:bgColor rgb="00D9D9D9"/>
        </x:patternFill>
      </x:fill>
    </x:dxf>
    <x:dxf>
      <x:fill>
        <x:patternFill>
          <x:bgColor rgb="00FFF2CC"/>
        </x:patternFill>
      </x:fill>
    </x:dxf>
    <x:dxf>
      <x:font>
        <x:b/>
        <x:color rgb="00FFFFFF"/>
      </x:font>
      <x:fill>
        <x:patternFill>
          <x:bgColor rgb="0070AD47"/>
        </x:patternFill>
      </x:fill>
    </x:dxf>
    <x:dxf>
      <x:font>
        <x:color rgb="00000000"/>
      </x:font>
      <x:fill>
        <x:patternFill>
          <x:bgColor rgb="00FFC000"/>
        </x:patternFill>
      </x:fill>
    </x:dxf>
    <x:dxf>
      <x:font>
        <x:color rgb="00000000"/>
      </x:font>
      <x:fill>
        <x:patternFill>
          <x:bgColor rgb="00D9D9D9"/>
        </x:patternFill>
      </x:fill>
    </x:dxf>
    <x:dxf>
      <x:fill>
        <x:patternFill>
          <x:bgColor rgb="00ED7D31"/>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0bbc83ce0b140ff" /><Relationship Type="http://schemas.openxmlformats.org/officeDocument/2006/relationships/theme" Target="/xl/theme/theme1.xml" Id="Rd0ff53b3d472427f" /><Relationship Type="http://schemas.microsoft.com/office/2022/11/relationships/FeaturePropertyBag" Target="/xl/featurePropertyBag/featurePropertyBag.xml" Id="R45e994d49afe405c" /><Relationship Type="http://schemas.openxmlformats.org/officeDocument/2006/relationships/sharedStrings" Target="/xl/sharedStrings.xml" Id="R2b5a36d9969a4fae" /><Relationship Type="http://schemas.openxmlformats.org/officeDocument/2006/relationships/worksheet" Target="/xl/worksheets/sheet1.xml" Id="R46ffc8dcaa184c29" /><Relationship Type="http://schemas.openxmlformats.org/officeDocument/2006/relationships/worksheet" Target="/xl/worksheets/sheet2.xml" Id="R732745bf645c4b6c" /><Relationship Type="http://schemas.openxmlformats.org/officeDocument/2006/relationships/worksheet" Target="/xl/worksheets/sheet3.xml" Id="Rb3ebdcc6e63e43f6" /><Relationship Type="http://schemas.openxmlformats.org/officeDocument/2006/relationships/worksheet" Target="/xl/worksheets/sheet4.xml" Id="R0106e360a0d148ba" /><Relationship Type="http://schemas.openxmlformats.org/officeDocument/2006/relationships/worksheet" Target="/xl/worksheets/sheet5.xml" Id="R672ebcc53dae479e" /><Relationship Type="http://schemas.openxmlformats.org/officeDocument/2006/relationships/worksheet" Target="/xl/worksheets/sheet6.xml" Id="R550aff51129a4219" /><Relationship Type="http://schemas.openxmlformats.org/officeDocument/2006/relationships/worksheet" Target="/xl/worksheets/sheet7.xml" Id="Rc0b941879db548ff" /><Relationship Type="http://schemas.openxmlformats.org/officeDocument/2006/relationships/worksheet" Target="/xl/worksheets/sheet8.xml" Id="R3f02c4a0961e4249" /><Relationship Type="http://schemas.openxmlformats.org/officeDocument/2006/relationships/worksheet" Target="/xl/worksheets/sheet9.xml" Id="R184030bda49c46d0" /><Relationship Type="http://schemas.openxmlformats.org/officeDocument/2006/relationships/worksheet" Target="/xl/worksheets/sheet10.xml" Id="R40ebe88696564676" /><Relationship Type="http://schemas.openxmlformats.org/officeDocument/2006/relationships/worksheet" Target="/xl/worksheets/sheet11.xml" Id="Rf288f0abdd814283" /><Relationship Type="http://schemas.openxmlformats.org/officeDocument/2006/relationships/worksheet" Target="/xl/worksheets/sheet12.xml" Id="Redf88b8598f84857" /><Relationship Type="http://schemas.openxmlformats.org/officeDocument/2006/relationships/worksheet" Target="/xl/worksheets/sheet13.xml" Id="R0a02dfa2271a4f56" /><Relationship Type="http://schemas.openxmlformats.org/officeDocument/2006/relationships/worksheet" Target="/xl/worksheets/sheet14.xml" Id="R51edee83571d44cb" /><Relationship Type="http://schemas.openxmlformats.org/officeDocument/2006/relationships/worksheet" Target="/xl/worksheets/sheet15.xml" Id="Rad5c9652e5394186" /><Relationship Type="http://schemas.openxmlformats.org/officeDocument/2006/relationships/worksheet" Target="/xl/worksheets/sheet16.xml" Id="R275855e2607848a6" /><Relationship Type="http://schemas.openxmlformats.org/officeDocument/2006/relationships/worksheet" Target="/xl/worksheets/sheet17.xml" Id="Rd2d6db0bac724bb8" /><Relationship Type="http://schemas.openxmlformats.org/officeDocument/2006/relationships/worksheet" Target="/xl/worksheets/sheet18.xml" Id="Rba3c0b2d33a448cd" /><Relationship Type="http://schemas.openxmlformats.org/officeDocument/2006/relationships/worksheet" Target="/xl/worksheets/sheet19.xml" Id="R1807e3ef7a834c17" /><Relationship Type="http://schemas.openxmlformats.org/officeDocument/2006/relationships/worksheet" Target="/xl/worksheets/sheet20.xml" Id="Rde62f5f254064c1a" /><Relationship Type="http://schemas.openxmlformats.org/officeDocument/2006/relationships/worksheet" Target="/xl/worksheets/sheet21.xml" Id="Rca54771d92364324" /><Relationship Type="http://schemas.openxmlformats.org/officeDocument/2006/relationships/worksheet" Target="/xl/worksheets/sheet22.xml" Id="R49f968e4dc3f4655" /><Relationship Type="http://schemas.openxmlformats.org/officeDocument/2006/relationships/worksheet" Target="/xl/worksheets/sheet23.xml" Id="Rbd4b50a6f79b4fdb" /><Relationship Type="http://schemas.openxmlformats.org/officeDocument/2006/relationships/worksheet" Target="/xl/worksheets/sheet24.xml" Id="R3e3a06e0a16a427f" /><Relationship Type="http://schemas.openxmlformats.org/officeDocument/2006/relationships/worksheet" Target="/xl/worksheets/sheet25.xml" Id="Rc3625fb45fa245a7" /><Relationship Type="http://schemas.openxmlformats.org/officeDocument/2006/relationships/worksheet" Target="/xl/worksheets/sheet26.xml" Id="Rc2cc98537ce442fa" /></Relationships>
</file>

<file path=xl/drawings/_rels/drawing1.xml.rels>&#65279;<?xml version="1.0" encoding="utf-8"?><Relationships xmlns="http://schemas.openxmlformats.org/package/2006/relationships"><Relationship Type="http://schemas.openxmlformats.org/officeDocument/2006/relationships/chart" Target="/xl/drawings/charts/chart1.xml" Id="Rb3bfd2527f9c4e1d" /><Relationship Type="http://schemas.openxmlformats.org/officeDocument/2006/relationships/chart" Target="/xl/drawings/charts/chart2.xml" Id="R5432871b99414b34" /><Relationship Type="http://schemas.openxmlformats.org/officeDocument/2006/relationships/chart" Target="/xl/drawings/charts/chart3.xml" Id="Rc35668bfafc9494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تعداد Task در هر موج</a:t>
            </a:r>
          </a:p>
        </c:rich>
      </c:tx>
      <c:overlay val="0"/>
    </c:title>
    <c:plotArea>
      <c:barChart>
        <c:barDir val="col"/>
        <c:varyColors val="0"/>
        <c:ser>
          <c:idx val="0"/>
          <c:order val="0"/>
          <c:tx>
            <c:v>تعداد Task</c:v>
          </c:tx>
          <c:cat>
            <c:strRef>
              <c:f>'Executive_Dashboard'!$A$4:$A$10</c:f>
              <c:strCache>
                <c:ptCount val="0"/>
              </c:strCache>
            </c:strRef>
          </c:cat>
          <c:val>
            <c:numRef>
              <c:f>'Executive_Dashboard'!$B$4:$B$10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ترکیب اولویت‌ها</a:t>
            </a:r>
          </a:p>
        </c:rich>
      </c:tx>
      <c:overlay val="0"/>
    </c:title>
    <c:plotArea>
      <c:barChart>
        <c:barDir val="col"/>
        <c:varyColors val="0"/>
        <c:ser>
          <c:idx val="0"/>
          <c:order val="0"/>
          <c:tx>
            <c:v>تعداد</c:v>
          </c:tx>
          <c:cat>
            <c:strRef>
              <c:f>'Executive_Dashboard'!$D$4:$D$7</c:f>
              <c:strCache>
                <c:ptCount val="0"/>
              </c:strCache>
            </c:strRef>
          </c:cat>
          <c:val>
            <c:numRef>
              <c:f>'Executive_Dashboard'!$E$4:$E$7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وضعیت اجرای Taskها</a:t>
            </a:r>
          </a:p>
        </c:rich>
      </c:tx>
      <c:overlay val="0"/>
    </c:title>
    <c:plotArea>
      <c:barChart>
        <c:barDir val="col"/>
        <c:varyColors val="0"/>
        <c:ser>
          <c:idx val="0"/>
          <c:order val="0"/>
          <c:tx>
            <c:v>تعداد</c:v>
          </c:tx>
          <c:cat>
            <c:strRef>
              <c:f>'Executive_Dashboard'!$G$4:$G$9</c:f>
              <c:strCache>
                <c:ptCount val="0"/>
              </c:strCache>
            </c:strRef>
          </c:cat>
          <c:val>
            <c:numRef>
              <c:f>'Executive_Dashboard'!$H$4:$H$9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11</xdr:row>
      <xdr:rowOff>0</xdr:rowOff>
    </xdr:from>
    <xdr:to>
      <xdr:col>8</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bfd2527f9c4e1d"/>
        </a:graphicData>
      </a:graphic>
    </xdr:graphicFrame>
    <xdr:clientData/>
  </xdr:twoCellAnchor>
  <xdr:twoCellAnchor>
    <xdr:from>
      <xdr:col>8</xdr:col>
      <xdr:colOff>0</xdr:colOff>
      <xdr:row>11</xdr:row>
      <xdr:rowOff>0</xdr:rowOff>
    </xdr:from>
    <xdr:to>
      <xdr:col>16</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32871b99414b34"/>
        </a:graphicData>
      </a:graphic>
    </xdr:graphicFrame>
    <xdr:clientData/>
  </xdr:twoCellAnchor>
  <xdr:twoCellAnchor>
    <xdr:from>
      <xdr:col>0</xdr:col>
      <xdr:colOff>0</xdr:colOff>
      <xdr:row>29</xdr:row>
      <xdr:rowOff>0</xdr:rowOff>
    </xdr:from>
    <xdr:to>
      <xdr:col>8</xdr:col>
      <xdr:colOff>0</xdr:colOff>
      <xdr:row>46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5668bfafc9494e"/>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BACKLOG" displayName="T_BACKLOG" ref="A1:P285" headerRowCount="1">
  <x:autoFilter ref="A1:P285"/>
  <x:tableColumns count="16">
    <x:tableColumn id="1" name="Task_ID"/>
    <x:tableColumn id="2" name="Task_Title_FA"/>
    <x:tableColumn id="3" name="Task_Title_EN"/>
    <x:tableColumn id="4" name="Category"/>
    <x:tableColumn id="5" name="Ref_ID"/>
    <x:tableColumn id="6" name="Wave"/>
    <x:tableColumn id="7" name="Strategic_Phase"/>
    <x:tableColumn id="8" name="Priority"/>
    <x:tableColumn id="9" name="Owner_Role"/>
    <x:tableColumn id="10" name="Impact (1-5)"/>
    <x:tableColumn id="11" name="Effort (1-5)"/>
    <x:tableColumn id="12" name="Impact_Effort_Score"/>
    <x:tableColumn id="13" name="Dependencies"/>
    <x:tableColumn id="14" name="Acceptance_Criteria"/>
    <x:tableColumn id="15" name="Status"/>
    <x:tableColumn id="16" name="Notes"/>
  </x:tableColumns>
  <x:tableStyleInfo name="TableStyleMedium2" showFirstColumn="0" showLastColumn="0" showRowStripes="0" showColumnStripes="0"/>
</x:table>
</file>

<file path=xl/tables/table2.xml><?xml version="1.0" encoding="utf-8"?>
<x:table xmlns:x="http://schemas.openxmlformats.org/spreadsheetml/2006/main" id="24" name="BacklogExecutionMetadata" displayName="BacklogExecutionMetadata" ref="Q1:AH285" headerRowCount="1" totalsRowCount="0" totalsRowShown="0">
  <x:tableColumns count="18">
    <x:tableColumn id="1" name="Task_ID_Link"/>
    <x:tableColumn id="2" name="Parent_ID"/>
    <x:tableColumn id="3" name="Component_Type"/>
    <x:tableColumn id="4" name="Component_ID"/>
    <x:tableColumn id="5" name="Description_FA"/>
    <x:tableColumn id="6" name="Blocking_Status"/>
    <x:tableColumn id="7" name="Data_Source"/>
    <x:tableColumn id="8" name="Destination_System"/>
    <x:tableColumn id="9" name="Business_Owner"/>
    <x:tableColumn id="10" name="Estimated_Duration_Days"/>
    <x:tableColumn id="11" name="Start_Order"/>
    <x:tableColumn id="12" name="Testing_Method"/>
    <x:tableColumn id="13" name="Risk"/>
    <x:tableColumn id="14" name="Mitigation"/>
    <x:tableColumn id="15" name="Deliverable"/>
    <x:tableColumn id="16" name="Related_Event_IDs"/>
    <x:tableColumn id="17" name="Related_KPI_IDs"/>
    <x:tableColumn id="18" name="Related_Report_IDs"/>
  </x:tableColumns>
  <x:tableStyleInfo name="TableStyleMedium2" showFirstColumn="0" showLastColumn="0" showRowStripes="1" showColumnStripes="0"/>
</x:table>
</file>

<file path=xl/tables/table3.xml><?xml version="1.0" encoding="utf-8"?>
<x:table xmlns:x="http://schemas.openxmlformats.org/spreadsheetml/2006/main" id="2" name="T_EVENTS" displayName="T_EVENTS" ref="A1:X25" headerRowCount="1">
  <x:autoFilter ref="A1:X25"/>
  <x:tableColumns count="24">
    <x:tableColumn id="1" name="Event_ID"/>
    <x:tableColumn id="2" name="Event_Name_EN"/>
    <x:tableColumn id="3" name="Event_Name_FA"/>
    <x:tableColumn id="4" name="Funnel_Category"/>
    <x:tableColumn id="5" name="Purpose_FA"/>
    <x:tableColumn id="6" name="Trigger"/>
    <x:tableColumn id="7" name="Platforms"/>
    <x:tableColumn id="8" name="Collection_Layer"/>
    <x:tableColumn id="9" name="Client_or_Server"/>
    <x:tableColumn id="10" name="Source_System"/>
    <x:tableColumn id="11" name="Destinations"/>
    <x:tableColumn id="12" name="Conversion_Type"/>
    <x:tableColumn id="13" name="Primary_Flag"/>
    <x:tableColumn id="14" name="Dedup_Key"/>
    <x:tableColumn id="15" name="Join_Keys"/>
    <x:tableColumn id="16" name="Consent"/>
    <x:tableColumn id="17" name="PII_Risk"/>
    <x:tableColumn id="18" name="Priority"/>
    <x:tableColumn id="19" name="Owner"/>
    <x:tableColumn id="20" name="Testing_Method"/>
    <x:tableColumn id="21" name="Acceptance_Criteria"/>
    <x:tableColumn id="22" name="Related_KPIs"/>
    <x:tableColumn id="23" name="Related_Reports"/>
    <x:tableColumn id="24" name="Notes"/>
  </x:tableColumns>
  <x:tableStyleInfo name="TableStyleMedium2" showFirstColumn="0" showLastColumn="0" showRowStripes="0" showColumnStripes="0"/>
</x:table>
</file>

<file path=xl/tables/table4.xml><?xml version="1.0" encoding="utf-8"?>
<x:table xmlns:x="http://schemas.openxmlformats.org/spreadsheetml/2006/main" id="3" name="T_PARAMS" displayName="T_PARAMS" ref="A1:O135" headerRowCount="1">
  <x:autoFilter ref="A1:O135"/>
  <x:tableColumns count="15">
    <x:tableColumn id="1" name="Event_ID"/>
    <x:tableColumn id="2" name="Param_Name_EN"/>
    <x:tableColumn id="3" name="Param_Name_FA"/>
    <x:tableColumn id="4" name="Definition"/>
    <x:tableColumn id="5" name="Data_Type"/>
    <x:tableColumn id="6" name="Required"/>
    <x:tableColumn id="7" name="Example"/>
    <x:tableColumn id="8" name="Allowed_Values"/>
    <x:tableColumn id="9" name="Source_Field"/>
    <x:tableColumn id="10" name="Transform"/>
    <x:tableColumn id="11" name="Validation_Rule"/>
    <x:tableColumn id="12" name="PII"/>
    <x:tableColumn id="13" name="Joining_Key"/>
    <x:tableColumn id="14" name="Destinations"/>
    <x:tableColumn id="15" name="Notes"/>
  </x:tableColumns>
  <x:tableStyleInfo name="TableStyleMedium2" showFirstColumn="0" showLastColumn="0" showRowStripes="0" showColumnStripes="0"/>
</x:table>
</file>

<file path=xl/tables/table5.xml><?xml version="1.0" encoding="utf-8"?>
<x:table xmlns:x="http://schemas.openxmlformats.org/spreadsheetml/2006/main" id="25" name="EventParameterGovernance" displayName="EventParameterGovernance" ref="P1:T135" headerRowCount="1" totalsRowCount="0" totalsRowShown="0">
  <x:tableColumns count="5">
    <x:tableColumn id="1" name="Parameter_ID"/>
    <x:tableColumn id="2" name="Event_ID_Link"/>
    <x:tableColumn id="3" name="Implementation_Wave"/>
    <x:tableColumn id="4" name="Owner"/>
    <x:tableColumn id="5" name="Status"/>
  </x:tableColumns>
  <x:tableStyleInfo name="TableStyleMedium2" showFirstColumn="0" showLastColumn="0" showRowStripes="1" showColumnStripes="0"/>
</x:table>
</file>

<file path=xl/tables/table6.xml><?xml version="1.0" encoding="utf-8"?>
<x:table xmlns:x="http://schemas.openxmlformats.org/spreadsheetml/2006/main" id="4" name="T_PROPS" displayName="T_PROPS" ref="A1:O16" headerRowCount="1">
  <x:autoFilter ref="A1:O16"/>
  <x:tableColumns count="15">
    <x:tableColumn id="1" name="Prop_ID"/>
    <x:tableColumn id="2" name="Scope"/>
    <x:tableColumn id="3" name="Property_Name"/>
    <x:tableColumn id="4" name="Definition"/>
    <x:tableColumn id="5" name="Data_Type"/>
    <x:tableColumn id="6" name="Source"/>
    <x:tableColumn id="7" name="Update_Frequency"/>
    <x:tableColumn id="8" name="Persistence"/>
    <x:tableColumn id="9" name="PII"/>
    <x:tableColumn id="10" name="Allowed_Values"/>
    <x:tableColumn id="11" name="Used_By_Events"/>
    <x:tableColumn id="12" name="Used_By_KPIs"/>
    <x:tableColumn id="13" name="Phase"/>
    <x:tableColumn id="14" name="Owner"/>
    <x:tableColumn id="15" name="Status"/>
  </x:tableColumns>
  <x:tableStyleInfo name="TableStyleMedium2" showFirstColumn="0" showLastColumn="0" showRowStripes="0" showColumnStripes="0"/>
</x:table>
</file>

<file path=xl/tables/table7.xml><?xml version="1.0" encoding="utf-8"?>
<x:table xmlns:x="http://schemas.openxmlformats.org/spreadsheetml/2006/main" id="5" name="T_DIMS" displayName="T_DIMS" ref="A1:S33" headerRowCount="1">
  <x:autoFilter ref="A1:S33"/>
  <x:tableColumns count="19">
    <x:tableColumn id="1" name="Dim_ID"/>
    <x:tableColumn id="2" name="Name_EN"/>
    <x:tableColumn id="3" name="Name_FA"/>
    <x:tableColumn id="4" name="Definition"/>
    <x:tableColumn id="5" name="Domain"/>
    <x:tableColumn id="6" name="Entity_Level"/>
    <x:tableColumn id="7" name="Data_Type"/>
    <x:tableColumn id="8" name="Source_System"/>
    <x:tableColumn id="9" name="Source_Field"/>
    <x:tableColumn id="10" name="Grain"/>
    <x:tableColumn id="11" name="Hierarchy"/>
    <x:tableColumn id="12" name="Allowed_Values"/>
    <x:tableColumn id="13" name="Join_Key"/>
    <x:tableColumn id="14" name="SCD_Type"/>
    <x:tableColumn id="15" name="Required_Reports"/>
    <x:tableColumn id="16" name="Related_KPIs"/>
    <x:tableColumn id="17" name="Phase"/>
    <x:tableColumn id="18" name="Data_Owner"/>
    <x:tableColumn id="19" name="DQ_Rule"/>
  </x:tableColumns>
  <x:tableStyleInfo name="TableStyleMedium2" showFirstColumn="0" showLastColumn="0" showRowStripes="0" showColumnStripes="0"/>
</x:table>
</file>

<file path=xl/tables/table8.xml><?xml version="1.0" encoding="utf-8"?>
<x:table xmlns:x="http://schemas.openxmlformats.org/spreadsheetml/2006/main" id="26" name="DimensionStatus" displayName="DimensionStatus" ref="T1:U33" headerRowCount="1" totalsRowCount="0" totalsRowShown="0">
  <x:tableColumns count="2">
    <x:tableColumn id="1" name="Dimension_ID_Link"/>
    <x:tableColumn id="2" name="Status"/>
  </x:tableColumns>
  <x:tableStyleInfo name="TableStyleMedium2" showFirstColumn="0" showLastColumn="0" showRowStripes="1" showColumnStripes="0"/>
</x:table>
</file>

<file path=xl/tables/table9.xml><?xml version="1.0" encoding="utf-8"?>
<x:table xmlns:x="http://schemas.openxmlformats.org/spreadsheetml/2006/main" id="6" name="T_METRICS" displayName="T_METRICS" ref="A1:S38" headerRowCount="1">
  <x:autoFilter ref="A1:S38"/>
  <x:tableColumns count="19">
    <x:tableColumn id="1" name="Metric_ID"/>
    <x:tableColumn id="2" name="Name_EN"/>
    <x:tableColumn id="3" name="Name_FA"/>
    <x:tableColumn id="4" name="Definition"/>
    <x:tableColumn id="5" name="Metric_Type"/>
    <x:tableColumn id="6" name="Aggregation"/>
    <x:tableColumn id="7" name="Numerator"/>
    <x:tableColumn id="8" name="Denominator"/>
    <x:tableColumn id="9" name="Formula"/>
    <x:tableColumn id="10" name="Unit"/>
    <x:tableColumn id="11" name="Grain"/>
    <x:tableColumn id="12" name="Source_System"/>
    <x:tableColumn id="13" name="Source_Field"/>
    <x:tableColumn id="14" name="Required_Events"/>
    <x:tableColumn id="15" name="Dimensions"/>
    <x:tableColumn id="16" name="Refresh"/>
    <x:tableColumn id="17" name="Phase"/>
    <x:tableColumn id="18" name="Owner"/>
    <x:tableColumn id="19" name="Validation"/>
  </x:tableColumns>
  <x:tableStyleInfo name="TableStyleMedium2" showFirstColumn="0" showLastColumn="0" showRowStripes="0" showColumnStripes="0"/>
</x:table>
</file>

<file path=xl/tables/table10.xml><?xml version="1.0" encoding="utf-8"?>
<x:table xmlns:x="http://schemas.openxmlformats.org/spreadsheetml/2006/main" id="7" name="T_KPI" displayName="T_KPI" ref="A1:AC86" headerRowCount="1">
  <x:autoFilter ref="A1:AC86"/>
  <x:tableColumns count="29">
    <x:tableColumn id="1" name="KPI_ID"/>
    <x:tableColumn id="2" name="Name_EN"/>
    <x:tableColumn id="3" name="Name_FA"/>
    <x:tableColumn id="4" name="Abbrev"/>
    <x:tableColumn id="5" name="Family"/>
    <x:tableColumn id="6" name="Definition_FA"/>
    <x:tableColumn id="7" name="Formula_Text"/>
    <x:tableColumn id="8" name="Numerator"/>
    <x:tableColumn id="9" name="Denominator"/>
    <x:tableColumn id="10" name="Unit"/>
    <x:tableColumn id="11" name="KPI_Type"/>
    <x:tableColumn id="12" name="Grain"/>
    <x:tableColumn id="13" name="Data_Sources"/>
    <x:tableColumn id="14" name="Required_Events"/>
    <x:tableColumn id="15" name="Required_Metrics"/>
    <x:tableColumn id="16" name="Dimensions"/>
    <x:tableColumn id="17" name="Time_Window"/>
    <x:tableColumn id="18" name="Increases_When"/>
    <x:tableColumn id="19" name="Decreases_When"/>
    <x:tableColumn id="20" name="Related_KPIs"/>
    <x:tableColumn id="21" name="Common_Errors"/>
    <x:tableColumn id="22" name="Limitations"/>
    <x:tableColumn id="23" name="Benchmark"/>
    <x:tableColumn id="24" name="Bench_Validation_Status"/>
    <x:tableColumn id="25" name="Recommended_Action"/>
    <x:tableColumn id="26" name="Wave"/>
    <x:tableColumn id="27" name="Priority"/>
    <x:tableColumn id="28" name="Owner_Role"/>
    <x:tableColumn id="29" name="Acceptance_Criteria"/>
  </x:tableColumns>
  <x:tableStyleInfo name="TableStyleMedium2" showFirstColumn="0" showLastColumn="0" showRowStripes="0" showColumnStripes="0"/>
</x:table>
</file>

<file path=xl/tables/table11.xml><?xml version="1.0" encoding="utf-8"?>
<x:table xmlns:x="http://schemas.openxmlformats.org/spreadsheetml/2006/main" id="27" name="KPIStatus" displayName="KPIStatus" ref="AD1:AE86" headerRowCount="1" totalsRowCount="0" totalsRowShown="0">
  <x:tableColumns count="2">
    <x:tableColumn id="1" name="KPI_ID_Link"/>
    <x:tableColumn id="2" name="Status"/>
  </x:tableColumns>
  <x:tableStyleInfo name="TableStyleMedium2" showFirstColumn="0" showLastColumn="0" showRowStripes="1" showColumnStripes="0"/>
</x:table>
</file>

<file path=xl/tables/table12.xml><?xml version="1.0" encoding="utf-8"?>
<x:table xmlns:x="http://schemas.openxmlformats.org/spreadsheetml/2006/main" id="8" name="T_FIELDS" displayName="T_FIELDS" ref="A1:M128" headerRowCount="1">
  <x:autoFilter ref="A1:M128"/>
  <x:tableColumns count="13">
    <x:tableColumn id="1" name="Field_ID"/>
    <x:tableColumn id="2" name="Entity"/>
    <x:tableColumn id="3" name="Field_Name_EN"/>
    <x:tableColumn id="4" name="Definition_FA"/>
    <x:tableColumn id="5" name="Data_Type"/>
    <x:tableColumn id="6" name="Data_Level"/>
    <x:tableColumn id="7" name="Required"/>
    <x:tableColumn id="8" name="Source_System"/>
    <x:tableColumn id="9" name="Refresh_Frequency"/>
    <x:tableColumn id="10" name="Join_Key"/>
    <x:tableColumn id="11" name="Analytical_Use_FA"/>
    <x:tableColumn id="12" name="Privacy_Security_FA"/>
    <x:tableColumn id="13" name="Expected_Quality_FA"/>
  </x:tableColumns>
  <x:tableStyleInfo name="TableStyleMedium2" showFirstColumn="0" showLastColumn="0" showRowStripes="0" showColumnStripes="0"/>
</x:table>
</file>

<file path=xl/tables/table13.xml><?xml version="1.0" encoding="utf-8"?>
<x:table xmlns:x="http://schemas.openxmlformats.org/spreadsheetml/2006/main" id="28" name="DataFieldGovernance" displayName="DataFieldGovernance" ref="N1:X128" headerRowCount="1" totalsRowCount="0" totalsRowShown="0">
  <x:tableColumns count="11">
    <x:tableColumn id="1" name="Field_ID_Link"/>
    <x:tableColumn id="2" name="Primary_Key_Flag"/>
    <x:tableColumn id="3" name="Foreign_Key_Flag"/>
    <x:tableColumn id="4" name="Source_Table"/>
    <x:tableColumn id="5" name="Destination_Table"/>
    <x:tableColumn id="6" name="Transformation_Rule"/>
    <x:tableColumn id="7" name="Historical_Depth"/>
    <x:tableColumn id="8" name="Retention_Policy"/>
    <x:tableColumn id="9" name="Used_By_KPIs"/>
    <x:tableColumn id="10" name="Owner"/>
    <x:tableColumn id="11" name="Status"/>
  </x:tableColumns>
  <x:tableStyleInfo name="TableStyleMedium2" showFirstColumn="0" showLastColumn="0" showRowStripes="1" showColumnStripes="0"/>
</x:table>
</file>

<file path=xl/tables/table14.xml><?xml version="1.0" encoding="utf-8"?>
<x:table xmlns:x="http://schemas.openxmlformats.org/spreadsheetml/2006/main" id="9" name="T_SOURCES" displayName="T_SOURCES" ref="A1:K14" headerRowCount="1">
  <x:autoFilter ref="A1:K14"/>
  <x:tableColumns count="11">
    <x:tableColumn id="1" name="Source_ID"/>
    <x:tableColumn id="2" name="Name_EN"/>
    <x:tableColumn id="3" name="Name_FA"/>
    <x:tableColumn id="4" name="Description_FA"/>
    <x:tableColumn id="5" name="Data_Provided"/>
    <x:tableColumn id="6" name="Integration_Method"/>
    <x:tableColumn id="7" name="Access_Status"/>
    <x:tableColumn id="8" name="Credentials_Needed"/>
    <x:tableColumn id="9" name="Wave"/>
    <x:tableColumn id="10" name="Priority"/>
    <x:tableColumn id="11" name="Owner_Role"/>
  </x:tableColumns>
  <x:tableStyleInfo name="TableStyleMedium2" showFirstColumn="0" showLastColumn="0" showRowStripes="0" showColumnStripes="0"/>
</x:table>
</file>

<file path=xl/tables/table15.xml><?xml version="1.0" encoding="utf-8"?>
<x:table xmlns:x="http://schemas.openxmlformats.org/spreadsheetml/2006/main" id="29" name="DataSourceGovernance" displayName="DataSourceGovernance" ref="L1:T14" headerRowCount="1" totalsRowCount="0" totalsRowShown="0">
  <x:tableColumns count="9">
    <x:tableColumn id="1" name="Source_ID_Link"/>
    <x:tableColumn id="2" name="Authentication_Method"/>
    <x:tableColumn id="3" name="Expected_Tables"/>
    <x:tableColumn id="4" name="Refresh_Frequency"/>
    <x:tableColumn id="5" name="Historical_Data_Available"/>
    <x:tableColumn id="6" name="Backfill_Required"/>
    <x:tableColumn id="7" name="PII_Present"/>
    <x:tableColumn id="8" name="Source_of_Truth_For"/>
    <x:tableColumn id="9" name="Status"/>
  </x:tableColumns>
  <x:tableStyleInfo name="TableStyleMedium2" showFirstColumn="0" showLastColumn="0" showRowStripes="1" showColumnStripes="0"/>
</x:table>
</file>

<file path=xl/tables/table16.xml><?xml version="1.0" encoding="utf-8"?>
<x:table xmlns:x="http://schemas.openxmlformats.org/spreadsheetml/2006/main" id="10" name="T_REPORTS" displayName="T_REPORTS" ref="A1:R49" headerRowCount="1">
  <x:autoFilter ref="A1:R49"/>
  <x:tableColumns count="18">
    <x:tableColumn id="1" name="Report_ID"/>
    <x:tableColumn id="2" name="Category"/>
    <x:tableColumn id="3" name="Name_FA"/>
    <x:tableColumn id="4" name="Name_EN"/>
    <x:tableColumn id="5" name="Objective_FA"/>
    <x:tableColumn id="6" name="Decision_FA"/>
    <x:tableColumn id="7" name="Users"/>
    <x:tableColumn id="8" name="Main_KPIs"/>
    <x:tableColumn id="9" name="Diagnostic_KPIs"/>
    <x:tableColumn id="10" name="Dimensions"/>
    <x:tableColumn id="11" name="Data_Required"/>
    <x:tableColumn id="12" name="Data_Sources"/>
    <x:tableColumn id="13" name="Granularity"/>
    <x:tableColumn id="14" name="Comparison_Window"/>
    <x:tableColumn id="15" name="Visualization"/>
    <x:tableColumn id="16" name="Refresh"/>
    <x:tableColumn id="17" name="Importance"/>
    <x:tableColumn id="18" name="Recommended_Action"/>
  </x:tableColumns>
  <x:tableStyleInfo name="TableStyleMedium2" showFirstColumn="0" showLastColumn="0" showRowStripes="0" showColumnStripes="0"/>
</x:table>
</file>

<file path=xl/tables/table17.xml><?xml version="1.0" encoding="utf-8"?>
<x:table xmlns:x="http://schemas.openxmlformats.org/spreadsheetml/2006/main" id="30" name="ReportGovernance" displayName="ReportGovernance" ref="S1:X49" headerRowCount="1" totalsRowCount="0" totalsRowShown="0">
  <x:tableColumns count="6">
    <x:tableColumn id="1" name="Report_ID_Link"/>
    <x:tableColumn id="2" name="Implementation_Wave"/>
    <x:tableColumn id="3" name="Dependencies"/>
    <x:tableColumn id="4" name="Owner"/>
    <x:tableColumn id="5" name="Status"/>
    <x:tableColumn id="6" name="Acceptance_Criteria"/>
  </x:tableColumns>
  <x:tableStyleInfo name="TableStyleMedium2" showFirstColumn="0" showLastColumn="0" showRowStripes="1" showColumnStripes="0"/>
</x:table>
</file>

<file path=xl/tables/table18.xml><?xml version="1.0" encoding="utf-8"?>
<x:table xmlns:x="http://schemas.openxmlformats.org/spreadsheetml/2006/main" id="11" name="T_DASH_TIER" displayName="T_DASH_TIER" ref="A1:L4" headerRowCount="1">
  <x:autoFilter ref="A1:L4"/>
  <x:tableColumns count="12">
    <x:tableColumn id="1" name="Dashboard_Code"/>
    <x:tableColumn id="2" name="Tier"/>
    <x:tableColumn id="3" name="Title_FA"/>
    <x:tableColumn id="4" name="Audience"/>
    <x:tableColumn id="5" name="Decision_Cadence"/>
    <x:tableColumn id="6" name="Time_Horizon"/>
    <x:tableColumn id="7" name="Refresh"/>
    <x:tableColumn id="8" name="KPI_Mapping_Legacy"/>
    <x:tableColumn id="9" name="Official_KPI_Mapping"/>
    <x:tableColumn id="10" name="Filters"/>
    <x:tableColumn id="11" name="Underlying_Reports_Legacy"/>
    <x:tableColumn id="12" name="Official_Report_Mapping"/>
  </x:tableColumns>
  <x:tableStyleInfo name="TableStyleMedium2" showFirstColumn="0" showLastColumn="0" showRowStripes="0" showColumnStripes="0"/>
</x:table>
</file>

<file path=xl/tables/table19.xml><?xml version="1.0" encoding="utf-8"?>
<x:table xmlns:x="http://schemas.openxmlformats.org/spreadsheetml/2006/main" id="12" name="T_DASH_ZONES" displayName="T_DASH_ZONES" ref="A6:J18" headerRowCount="1">
  <x:autoFilter ref="A6:J18"/>
  <x:tableColumns count="10">
    <x:tableColumn id="1" name="Dashboard_Code"/>
    <x:tableColumn id="2" name="Tier"/>
    <x:tableColumn id="3" name="Zone_Code"/>
    <x:tableColumn id="4" name="Zone_Position_FA"/>
    <x:tableColumn id="5" name="Zone_Description_FA"/>
    <x:tableColumn id="6" name="Mapped_KPIs_Legacy"/>
    <x:tableColumn id="7" name="Official_KPI_Mapping"/>
    <x:tableColumn id="8" name="Underlying_Reports"/>
    <x:tableColumn id="9" name="Refresh_FA"/>
    <x:tableColumn id="10" name="Audience_FA"/>
  </x:tableColumns>
  <x:tableStyleInfo name="TableStyleMedium2" showFirstColumn="0" showLastColumn="0" showRowStripes="0" showColumnStripes="0"/>
</x:table>
</file>

<file path=xl/tables/table20.xml><?xml version="1.0" encoding="utf-8"?>
<x:table xmlns:x="http://schemas.openxmlformats.org/spreadsheetml/2006/main" id="31" name="DashboardGovernance" displayName="DashboardGovernance" ref="M1:T18" headerRowCount="1" totalsRowCount="0" totalsRowShown="0">
  <x:tableColumns count="8">
    <x:tableColumn id="1" name="Dashboard_ID_Link"/>
    <x:tableColumn id="2" name="Implementation_Wave"/>
    <x:tableColumn id="3" name="Owner"/>
    <x:tableColumn id="4" name="Status"/>
    <x:tableColumn id="5" name="Acceptance_Criteria"/>
    <x:tableColumn id="6" name="Alerts"/>
    <x:tableColumn id="7" name="Exports"/>
    <x:tableColumn id="8" name="Permitted_Actions"/>
  </x:tableColumns>
  <x:tableStyleInfo name="TableStyleMedium2" showFirstColumn="0" showLastColumn="0" showRowStripes="1" showColumnStripes="0"/>
</x:table>
</file>

<file path=xl/tables/table21.xml><?xml version="1.0" encoding="utf-8"?>
<x:table xmlns:x="http://schemas.openxmlformats.org/spreadsheetml/2006/main" id="13" name="T_ALERTS" displayName="T_ALERTS" ref="A1:L17" headerRowCount="1">
  <x:autoFilter ref="A1:L17"/>
  <x:tableColumns count="12">
    <x:tableColumn id="1" name="Alert_ID"/>
    <x:tableColumn id="2" name="Title_FA"/>
    <x:tableColumn id="3" name="Title_EN"/>
    <x:tableColumn id="4" name="Watched_Metric_Legacy"/>
    <x:tableColumn id="5" name="Severity"/>
    <x:tableColumn id="6" name="Detection_Mechanism"/>
    <x:tableColumn id="7" name="Trigger_Condition_FA"/>
    <x:tableColumn id="8" name="Check_Frequency"/>
    <x:tableColumn id="9" name="Notification_Channels"/>
    <x:tableColumn id="10" name="Escalation_Path_FA"/>
    <x:tableColumn id="11" name="Remediation_Runbook_FA"/>
    <x:tableColumn id="12" name="Status"/>
  </x:tableColumns>
  <x:tableStyleInfo name="TableStyleMedium2" showFirstColumn="0" showLastColumn="0" showRowStripes="0" showColumnStripes="0"/>
</x:table>
</file>

<file path=xl/tables/table22.xml><?xml version="1.0" encoding="utf-8"?>
<x:table xmlns:x="http://schemas.openxmlformats.org/spreadsheetml/2006/main" id="32" name="AlertGovernance" displayName="AlertGovernance" ref="M1:S17" headerRowCount="1" totalsRowCount="0" totalsRowShown="0">
  <x:tableColumns count="7">
    <x:tableColumn id="1" name="Alert_ID_Link"/>
    <x:tableColumn id="2" name="Implementation_Wave"/>
    <x:tableColumn id="3" name="Owner"/>
    <x:tableColumn id="4" name="Status"/>
    <x:tableColumn id="5" name="Cooldown_Period"/>
    <x:tableColumn id="6" name="False_Positive_Risk"/>
    <x:tableColumn id="7" name="Testing_Method"/>
  </x:tableColumns>
  <x:tableStyleInfo name="TableStyleMedium2" showFirstColumn="0" showLastColumn="0" showRowStripes="1" showColumnStripes="0"/>
</x:table>
</file>

<file path=xl/tables/table23.xml><?xml version="1.0" encoding="utf-8"?>
<x:table xmlns:x="http://schemas.openxmlformats.org/spreadsheetml/2006/main" id="14" name="T_MODELS" displayName="T_MODELS" ref="A1:J26" headerRowCount="1">
  <x:autoFilter ref="A1:J26"/>
  <x:tableColumns count="10">
    <x:tableColumn id="1" name="Model_ID"/>
    <x:tableColumn id="2" name="Name_FA"/>
    <x:tableColumn id="3" name="Name_EN"/>
    <x:tableColumn id="4" name="Business_Objective_FA"/>
    <x:tableColumn id="5" name="Methodology_FA"/>
    <x:tableColumn id="6" name="Input_Features_FA"/>
    <x:tableColumn id="7" name="Preprocessing_FA"/>
    <x:tableColumn id="8" name="Output_Delivery_FA"/>
    <x:tableColumn id="9" name="Evaluation_Metrics_FA"/>
    <x:tableColumn id="10" name="Constraints_Risks_FA"/>
  </x:tableColumns>
  <x:tableStyleInfo name="TableStyleMedium2" showFirstColumn="0" showLastColumn="0" showRowStripes="0" showColumnStripes="0"/>
</x:table>
</file>

<file path=xl/tables/table24.xml><?xml version="1.0" encoding="utf-8"?>
<x:table xmlns:x="http://schemas.openxmlformats.org/spreadsheetml/2006/main" id="33" name="ModelGovernance" displayName="ModelGovernance" ref="K1:R26" headerRowCount="1" totalsRowCount="0" totalsRowShown="0">
  <x:tableColumns count="8">
    <x:tableColumn id="1" name="Model_ID_Link"/>
    <x:tableColumn id="2" name="Implementation_Wave"/>
    <x:tableColumn id="3" name="Priority"/>
    <x:tableColumn id="4" name="Model_Owner"/>
    <x:tableColumn id="5" name="Status"/>
    <x:tableColumn id="6" name="Minimum_Data_Volume"/>
    <x:tableColumn id="7" name="Monitoring_Metric"/>
    <x:tableColumn id="8" name="Retraining_Condition"/>
  </x:tableColumns>
  <x:tableStyleInfo name="TableStyleMedium2" showFirstColumn="0" showLastColumn="0" showRowStripes="1" showColumnStripes="0"/>
</x:table>
</file>

<file path=xl/tables/table25.xml><?xml version="1.0" encoding="utf-8"?>
<x:table xmlns:x="http://schemas.openxmlformats.org/spreadsheetml/2006/main" id="15" name="T_DEPS" displayName="T_DEPS" ref="A1:F61" headerRowCount="1">
  <x:autoFilter ref="A1:F61"/>
  <x:tableColumns count="6">
    <x:tableColumn id="1" name="Dep_ID"/>
    <x:tableColumn id="2" name="From_Item"/>
    <x:tableColumn id="3" name="To_Item"/>
    <x:tableColumn id="4" name="Type"/>
    <x:tableColumn id="5" name="Description_FA"/>
    <x:tableColumn id="6" name="Blocking"/>
  </x:tableColumns>
  <x:tableStyleInfo name="TableStyleMedium2" showFirstColumn="0" showLastColumn="0" showRowStripes="0" showColumnStripes="0"/>
</x:table>
</file>

<file path=xl/tables/table26.xml><?xml version="1.0" encoding="utf-8"?>
<x:table xmlns:x="http://schemas.openxmlformats.org/spreadsheetml/2006/main" id="16" name="T_PHASES" displayName="T_PHASES" ref="A1:M8" headerRowCount="1">
  <x:autoFilter ref="A1:M8"/>
  <x:tableColumns count="13">
    <x:tableColumn id="1" name="Wave"/>
    <x:tableColumn id="2" name="Name_FA"/>
    <x:tableColumn id="3" name="Name_EN"/>
    <x:tableColumn id="4" name="Start_Day"/>
    <x:tableColumn id="5" name="End_Day"/>
    <x:tableColumn id="6" name="Strategic_Phase"/>
    <x:tableColumn id="7" name="Focus_FA"/>
    <x:tableColumn id="8" name="Task_Range"/>
    <x:tableColumn id="9" name="Task_Count"/>
    <x:tableColumn id="10" name="Done_Count"/>
    <x:tableColumn id="11" name="Progress_%"/>
    <x:tableColumn id="12" name="Exit_Criteria_FA"/>
    <x:tableColumn id="13" name="Owner_Role"/>
  </x:tableColumns>
  <x:tableStyleInfo name="TableStyleMedium2" showFirstColumn="0" showLastColumn="0" showRowStripes="0" showColumnStripes="0"/>
</x:table>
</file>

<file path=xl/tables/table27.xml><?xml version="1.0" encoding="utf-8"?>
<x:table xmlns:x="http://schemas.openxmlformats.org/spreadsheetml/2006/main" id="17" name="T_CADENCE" displayName="T_CADENCE" ref="A10:J14" headerRowCount="1">
  <x:autoFilter ref="A10:J14"/>
  <x:tableColumns count="10">
    <x:tableColumn id="1" name="Cad_ID"/>
    <x:tableColumn id="2" name="Period"/>
    <x:tableColumn id="3" name="Meeting_FA"/>
    <x:tableColumn id="4" name="Owner"/>
    <x:tableColumn id="5" name="Participants"/>
    <x:tableColumn id="6" name="Reports_Legacy"/>
    <x:tableColumn id="7" name="Key_KPIs"/>
    <x:tableColumn id="8" name="Agenda_FA"/>
    <x:tableColumn id="9" name="Outputs_FA"/>
    <x:tableColumn id="10" name="SLA_FA"/>
  </x:tableColumns>
  <x:tableStyleInfo name="TableStyleMedium2" showFirstColumn="0" showLastColumn="0" showRowStripes="0" showColumnStripes="0"/>
</x:table>
</file>

<file path=xl/tables/table28.xml><?xml version="1.0" encoding="utf-8"?>
<x:table xmlns:x="http://schemas.openxmlformats.org/spreadsheetml/2006/main" id="18" name="T_RACI" displayName="T_RACI" ref="A1:Q31" headerRowCount="1">
  <x:autoFilter ref="A1:Q31"/>
  <x:tableColumns count="17">
    <x:tableColumn id="1" name="Row_ID"/>
    <x:tableColumn id="2" name="Item"/>
    <x:tableColumn id="3" name="CEO"/>
    <x:tableColumn id="4" name="CMO"/>
    <x:tableColumn id="5" name="CFO"/>
    <x:tableColumn id="6" name="Performance Marketing Lead"/>
    <x:tableColumn id="7" name="Media Buyer"/>
    <x:tableColumn id="8" name="Senior Data Engineer"/>
    <x:tableColumn id="9" name="Data Scientist"/>
    <x:tableColumn id="10" name="BI Lead"/>
    <x:tableColumn id="11" name="CRO Specialist"/>
    <x:tableColumn id="12" name="CRM Manager"/>
    <x:tableColumn id="13" name="B2B Sales Director"/>
    <x:tableColumn id="14" name="DevOps/Web Engineer"/>
    <x:tableColumn id="15" name="Security &amp; Governance"/>
    <x:tableColumn id="16" name="Warehouse/Materials Manager"/>
    <x:tableColumn id="17" name="Finance Manager"/>
  </x:tableColumns>
  <x:tableStyleInfo name="TableStyleMedium2" showFirstColumn="0" showLastColumn="0" showRowStripes="0" showColumnStripes="0"/>
</x:table>
</file>

<file path=xl/tables/table29.xml><?xml version="1.0" encoding="utf-8"?>
<x:table xmlns:x="http://schemas.openxmlformats.org/spreadsheetml/2006/main" id="19" name="T_TESTS" displayName="T_TESTS" ref="A1:J37" headerRowCount="1">
  <x:autoFilter ref="A1:J37"/>
  <x:tableColumns count="10">
    <x:tableColumn id="1" name="Test_ID"/>
    <x:tableColumn id="2" name="Name_EN"/>
    <x:tableColumn id="3" name="Name_FA"/>
    <x:tableColumn id="4" name="Scope"/>
    <x:tableColumn id="5" name="Steps_FA"/>
    <x:tableColumn id="6" name="Expected_FA"/>
    <x:tableColumn id="7" name="Severity"/>
    <x:tableColumn id="8" name="Wave"/>
    <x:tableColumn id="9" name="Owner_Role"/>
    <x:tableColumn id="10" name="Linked_Items"/>
  </x:tableColumns>
  <x:tableStyleInfo name="TableStyleMedium2" showFirstColumn="0" showLastColumn="0" showRowStripes="0" showColumnStripes="0"/>
</x:table>
</file>

<file path=xl/tables/table30.xml><?xml version="1.0" encoding="utf-8"?>
<x:table xmlns:x="http://schemas.openxmlformats.org/spreadsheetml/2006/main" id="20" name="T_CHECKLISTS" displayName="T_CHECKLISTS" ref="A39:F49" headerRowCount="1">
  <x:autoFilter ref="A39:F49"/>
  <x:tableColumns count="6">
    <x:tableColumn id="1" name="Chk_ID"/>
    <x:tableColumn id="2" name="Title"/>
    <x:tableColumn id="3" name="Intro_FA"/>
    <x:tableColumn id="4" name="Item_Count"/>
    <x:tableColumn id="5" name="Items_FA"/>
    <x:tableColumn id="6" name="Cadence/Owner"/>
  </x:tableColumns>
  <x:tableStyleInfo name="TableStyleMedium2" showFirstColumn="0" showLastColumn="0" showRowStripes="0" showColumnStripes="0"/>
</x:table>
</file>

<file path=xl/tables/table31.xml><?xml version="1.0" encoding="utf-8"?>
<x:table xmlns:x="http://schemas.openxmlformats.org/spreadsheetml/2006/main" id="34" name="TechnicalTestExecution" displayName="TechnicalTestExecution" ref="K1:R37" headerRowCount="1" totalsRowCount="0" totalsRowShown="0">
  <x:tableColumns count="8">
    <x:tableColumn id="1" name="Test_ID_Link"/>
    <x:tableColumn id="2" name="Actual_Result"/>
    <x:tableColumn id="3" name="Environment"/>
    <x:tableColumn id="4" name="Priority"/>
    <x:tableColumn id="5" name="Status"/>
    <x:tableColumn id="6" name="Defect_ID"/>
    <x:tableColumn id="7" name="Retest_Required"/>
    <x:tableColumn id="8" name="Evidence_Link"/>
  </x:tableColumns>
  <x:tableStyleInfo name="TableStyleMedium2" showFirstColumn="0" showLastColumn="0" showRowStripes="1" showColumnStripes="0"/>
</x:table>
</file>

<file path=xl/tables/table32.xml><?xml version="1.0" encoding="utf-8"?>
<x:table xmlns:x="http://schemas.openxmlformats.org/spreadsheetml/2006/main" id="21" name="T_GAPS" displayName="T_GAPS" ref="A1:I33" headerRowCount="1">
  <x:autoFilter ref="A1:I33"/>
  <x:tableColumns count="9">
    <x:tableColumn id="1" name="Gap_ID"/>
    <x:tableColumn id="2" name="Area"/>
    <x:tableColumn id="3" name="Description_FA"/>
    <x:tableColumn id="4" name="Evidence_Source"/>
    <x:tableColumn id="5" name="Impact_FA"/>
    <x:tableColumn id="6" name="Remediation_FA"/>
    <x:tableColumn id="7" name="Owner"/>
    <x:tableColumn id="8" name="Wave"/>
    <x:tableColumn id="9" name="Status"/>
  </x:tableColumns>
  <x:tableStyleInfo name="TableStyleMedium2" showFirstColumn="0" showLastColumn="0" showRowStripes="0" showColumnStripes="0"/>
</x:table>
</file>

<file path=xl/tables/table33.xml><?xml version="1.0" encoding="utf-8"?>
<x:table xmlns:x="http://schemas.openxmlformats.org/spreadsheetml/2006/main" id="35" name="GapGovernance" displayName="GapGovernance" ref="J1:L33" headerRowCount="1" totalsRowCount="0" totalsRowShown="0">
  <x:tableColumns count="3">
    <x:tableColumn id="1" name="Gap_ID_Link"/>
    <x:tableColumn id="2" name="Root_Cause"/>
    <x:tableColumn id="3" name="Evidence_Required"/>
  </x:tableColumns>
  <x:tableStyleInfo name="TableStyleMedium2" showFirstColumn="0" showLastColumn="0" showRowStripes="1" showColumnStripes="0"/>
</x:table>
</file>

<file path=xl/tables/table34.xml><?xml version="1.0" encoding="utf-8"?>
<x:table xmlns:x="http://schemas.openxmlformats.org/spreadsheetml/2006/main" id="22" name="T_BENCH" displayName="T_BENCH" ref="A1:H33" headerRowCount="1">
  <x:autoFilter ref="A1:H33"/>
  <x:tableColumns count="8">
    <x:tableColumn id="1" name="Bench_ID"/>
    <x:tableColumn id="2" name="Section"/>
    <x:tableColumn id="3" name="Metric"/>
    <x:tableColumn id="4" name="Benchmark_Value"/>
    <x:tableColumn id="5" name="Validation_Status"/>
    <x:tableColumn id="6" name="Business_Logic_FA"/>
    <x:tableColumn id="7" name="Source_Doc"/>
    <x:tableColumn id="8" name="Calibration_Protocol"/>
  </x:tableColumns>
  <x:tableStyleInfo name="TableStyleMedium2" showFirstColumn="0" showLastColumn="0" showRowStripes="0" showColumnStripes="0"/>
</x:table>
</file>

<file path=xl/tables/table35.xml><?xml version="1.0" encoding="utf-8"?>
<x:table xmlns:x="http://schemas.openxmlformats.org/spreadsheetml/2006/main" id="36" name="BenchmarkApproval" displayName="BenchmarkApproval" ref="I1:L33" headerRowCount="1" totalsRowCount="0" totalsRowShown="0">
  <x:tableColumns count="4">
    <x:tableColumn id="1" name="Benchmark_ID_Link"/>
    <x:tableColumn id="2" name="Required_Data_Window"/>
    <x:tableColumn id="3" name="Approved_Value"/>
    <x:tableColumn id="4" name="Approved_By"/>
  </x:tableColumns>
  <x:tableStyleInfo name="TableStyleMedium2" showFirstColumn="0" showLastColumn="0" showRowStripes="1" showColumnStripes="0"/>
</x:table>
</file>

<file path=xl/tables/table36.xml><?xml version="1.0" encoding="utf-8"?>
<x:table xmlns:x="http://schemas.openxmlformats.org/spreadsheetml/2006/main" id="23" name="T_ROADMAP" displayName="T_ROADMAP" ref="A1:K14" headerRowCount="1">
  <x:autoFilter ref="A1:K14"/>
  <x:tableColumns count="11">
    <x:tableColumn id="1" name="Item_ID"/>
    <x:tableColumn id="2" name="Item_FA"/>
    <x:tableColumn id="3" name="Type"/>
    <x:tableColumn id="4" name="Timeline"/>
    <x:tableColumn id="5" name="Task_Range"/>
    <x:tableColumn id="6" name="Task_Count"/>
    <x:tableColumn id="7" name="Done_Count"/>
    <x:tableColumn id="8" name="Progress_%"/>
    <x:tableColumn id="9" name="Key_Milestones_FA"/>
    <x:tableColumn id="10" name="Gate_Criteria_FA"/>
    <x:tableColumn id="11" name="Owner"/>
  </x:tableColumns>
  <x:tableStyleInfo name="TableStyleMedium2" showFirstColumn="0" showLastColumn="0" showRowStripes="0" showColumnStripes="0"/>
</x:table>
</file>

<file path=xl/tables/table37.xml><?xml version="1.0" encoding="utf-8"?>
<x:table xmlns:x="http://schemas.openxmlformats.org/spreadsheetml/2006/main" id="37" name="ReportingCadenceTable" displayName="ReportingCadenceTable" ref="A1:M5" headerRowCount="1" totalsRowCount="0" totalsRowShown="0">
  <x:tableColumns count="13">
    <x:tableColumn id="1" name="Cad_ID"/>
    <x:tableColumn id="2" name="Period"/>
    <x:tableColumn id="3" name="Meeting_FA"/>
    <x:tableColumn id="4" name="Owner"/>
    <x:tableColumn id="5" name="Participants"/>
    <x:tableColumn id="6" name="Reports_Legacy"/>
    <x:tableColumn id="7" name="Key_KPIs"/>
    <x:tableColumn id="8" name="Agenda_FA"/>
    <x:tableColumn id="9" name="Outputs_FA"/>
    <x:tableColumn id="10" name="SLA_FA"/>
    <x:tableColumn id="11" name="Column11"/>
    <x:tableColumn id="12" name="Column12"/>
    <x:tableColumn id="13" name="Column13"/>
  </x:tableColumns>
  <x:tableStyleInfo name="TableStyleMedium2" showFirstColumn="0" showLastColumn="0" showRowStripes="1" showColumnStripes="0"/>
</x:table>
</file>

<file path=xl/tables/table38.xml><?xml version="1.0" encoding="utf-8"?>
<x:table xmlns:x="http://schemas.openxmlformats.org/spreadsheetml/2006/main" id="38" name="AuditChecklistTable" displayName="AuditChecklistTable" ref="A1:J11" headerRowCount="1" totalsRowCount="0" totalsRowShown="0">
  <x:tableColumns count="10">
    <x:tableColumn id="1" name="Chk_ID"/>
    <x:tableColumn id="2" name="Title"/>
    <x:tableColumn id="3" name="Intro_FA"/>
    <x:tableColumn id="4" name="Item_Count"/>
    <x:tableColumn id="5" name="Items_FA"/>
    <x:tableColumn id="6" name="Cadence/Owner"/>
    <x:tableColumn id="7" name="Column7"/>
    <x:tableColumn id="8" name="Column8"/>
    <x:tableColumn id="9" name="Column9"/>
    <x:tableColumn id="10" name="Column1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d57af99d7ab4126" /><Relationship Type="http://schemas.openxmlformats.org/officeDocument/2006/relationships/table" Target="/xl/tables/table2.xml" Id="R1bf3919716014506" /></Relationships>
</file>

<file path=xl/worksheets/_rels/sheet3.xml.rels>&#65279;<?xml version="1.0" encoding="utf-8"?><Relationships xmlns="http://schemas.openxmlformats.org/package/2006/relationships"><Relationship Type="http://schemas.openxmlformats.org/officeDocument/2006/relationships/table" Target="/xl/tables/table3.xml" Id="R492c1658e0cf4df3" /></Relationships>
</file>

<file path=xl/worksheets/_rels/sheet4.xml.rels>&#65279;<?xml version="1.0" encoding="utf-8"?><Relationships xmlns="http://schemas.openxmlformats.org/package/2006/relationships"><Relationship Type="http://schemas.openxmlformats.org/officeDocument/2006/relationships/table" Target="/xl/tables/table4.xml" Id="R0ab6836a28dd4e2f" /><Relationship Type="http://schemas.openxmlformats.org/officeDocument/2006/relationships/table" Target="/xl/tables/table5.xml" Id="R9f576196b420413c" /></Relationships>
</file>

<file path=xl/worksheets/_rels/sheet5.xml.rels>&#65279;<?xml version="1.0" encoding="utf-8"?><Relationships xmlns="http://schemas.openxmlformats.org/package/2006/relationships"><Relationship Type="http://schemas.openxmlformats.org/officeDocument/2006/relationships/table" Target="/xl/tables/table6.xml" Id="R49ed5696f5254684" /></Relationships>
</file>

<file path=xl/worksheets/_rels/sheet6.xml.rels>&#65279;<?xml version="1.0" encoding="utf-8"?><Relationships xmlns="http://schemas.openxmlformats.org/package/2006/relationships"><Relationship Type="http://schemas.openxmlformats.org/officeDocument/2006/relationships/table" Target="/xl/tables/table7.xml" Id="R47d7cf5625104a13" /><Relationship Type="http://schemas.openxmlformats.org/officeDocument/2006/relationships/table" Target="/xl/tables/table8.xml" Id="Rc5ffad75ba664e48" /></Relationships>
</file>

<file path=xl/worksheets/_rels/sheet7.xml.rels>&#65279;<?xml version="1.0" encoding="utf-8"?><Relationships xmlns="http://schemas.openxmlformats.org/package/2006/relationships"><Relationship Type="http://schemas.openxmlformats.org/officeDocument/2006/relationships/table" Target="/xl/tables/table9.xml" Id="R2476a3704aba4e77" /></Relationships>
</file>

<file path=xl/worksheets/_rels/sheet8.xml.rels>&#65279;<?xml version="1.0" encoding="utf-8"?><Relationships xmlns="http://schemas.openxmlformats.org/package/2006/relationships"><Relationship Type="http://schemas.openxmlformats.org/officeDocument/2006/relationships/table" Target="/xl/tables/table10.xml" Id="R3e150c7cf1964e73" /><Relationship Type="http://schemas.openxmlformats.org/officeDocument/2006/relationships/table" Target="/xl/tables/table11.xml" Id="R88e9abab04bc4ff1" /></Relationships>
</file>

<file path=xl/worksheets/_rels/sheet9.xml.rels>&#65279;<?xml version="1.0" encoding="utf-8"?><Relationships xmlns="http://schemas.openxmlformats.org/package/2006/relationships"><Relationship Type="http://schemas.openxmlformats.org/officeDocument/2006/relationships/table" Target="/xl/tables/table12.xml" Id="R14d9226d578e4080" /><Relationship Type="http://schemas.openxmlformats.org/officeDocument/2006/relationships/table" Target="/xl/tables/table13.xml" Id="Rc2ef9fbfd5d34163" /></Relationships>
</file>

<file path=xl/worksheets/_rels/sheet10.xml.rels>&#65279;<?xml version="1.0" encoding="utf-8"?><Relationships xmlns="http://schemas.openxmlformats.org/package/2006/relationships"><Relationship Type="http://schemas.openxmlformats.org/officeDocument/2006/relationships/table" Target="/xl/tables/table14.xml" Id="Rb9bcd33db2104c78" /><Relationship Type="http://schemas.openxmlformats.org/officeDocument/2006/relationships/table" Target="/xl/tables/table15.xml" Id="R6656c03905ea41f8" /></Relationships>
</file>

<file path=xl/worksheets/_rels/sheet11.xml.rels>&#65279;<?xml version="1.0" encoding="utf-8"?><Relationships xmlns="http://schemas.openxmlformats.org/package/2006/relationships"><Relationship Type="http://schemas.openxmlformats.org/officeDocument/2006/relationships/table" Target="/xl/tables/table16.xml" Id="R18d2145ed5614703" /><Relationship Type="http://schemas.openxmlformats.org/officeDocument/2006/relationships/table" Target="/xl/tables/table17.xml" Id="Rf08ad3d889104ae3" /></Relationships>
</file>

<file path=xl/worksheets/_rels/sheet12.xml.rels>&#65279;<?xml version="1.0" encoding="utf-8"?><Relationships xmlns="http://schemas.openxmlformats.org/package/2006/relationships"><Relationship Type="http://schemas.openxmlformats.org/officeDocument/2006/relationships/table" Target="/xl/tables/table18.xml" Id="R2ca7c939373d4f53" /><Relationship Type="http://schemas.openxmlformats.org/officeDocument/2006/relationships/table" Target="/xl/tables/table19.xml" Id="R852ac07d5af34432" /><Relationship Type="http://schemas.openxmlformats.org/officeDocument/2006/relationships/table" Target="/xl/tables/table20.xml" Id="Rd713be32354a4660" /></Relationships>
</file>

<file path=xl/worksheets/_rels/sheet13.xml.rels>&#65279;<?xml version="1.0" encoding="utf-8"?><Relationships xmlns="http://schemas.openxmlformats.org/package/2006/relationships"><Relationship Type="http://schemas.openxmlformats.org/officeDocument/2006/relationships/table" Target="/xl/tables/table21.xml" Id="R8e8e497aee044241" /><Relationship Type="http://schemas.openxmlformats.org/officeDocument/2006/relationships/table" Target="/xl/tables/table22.xml" Id="R6520faf755bd44b3" /></Relationships>
</file>

<file path=xl/worksheets/_rels/sheet14.xml.rels>&#65279;<?xml version="1.0" encoding="utf-8"?><Relationships xmlns="http://schemas.openxmlformats.org/package/2006/relationships"><Relationship Type="http://schemas.openxmlformats.org/officeDocument/2006/relationships/table" Target="/xl/tables/table23.xml" Id="R1618c678fce940e5" /><Relationship Type="http://schemas.openxmlformats.org/officeDocument/2006/relationships/table" Target="/xl/tables/table24.xml" Id="Raff67617a7c04a85" /></Relationships>
</file>

<file path=xl/worksheets/_rels/sheet15.xml.rels>&#65279;<?xml version="1.0" encoding="utf-8"?><Relationships xmlns="http://schemas.openxmlformats.org/package/2006/relationships"><Relationship Type="http://schemas.openxmlformats.org/officeDocument/2006/relationships/table" Target="/xl/tables/table25.xml" Id="Ra7a8a07e88d34d6c" /></Relationships>
</file>

<file path=xl/worksheets/_rels/sheet16.xml.rels>&#65279;<?xml version="1.0" encoding="utf-8"?><Relationships xmlns="http://schemas.openxmlformats.org/package/2006/relationships"><Relationship Type="http://schemas.openxmlformats.org/officeDocument/2006/relationships/table" Target="/xl/tables/table26.xml" Id="Rcadd82a33d3a4853" /><Relationship Type="http://schemas.openxmlformats.org/officeDocument/2006/relationships/table" Target="/xl/tables/table27.xml" Id="R3ab50ab703c3423c" /></Relationships>
</file>

<file path=xl/worksheets/_rels/sheet17.xml.rels>&#65279;<?xml version="1.0" encoding="utf-8"?><Relationships xmlns="http://schemas.openxmlformats.org/package/2006/relationships"><Relationship Type="http://schemas.openxmlformats.org/officeDocument/2006/relationships/table" Target="/xl/tables/table28.xml" Id="R9f555e54f9d54bcf" /></Relationships>
</file>

<file path=xl/worksheets/_rels/sheet18.xml.rels>&#65279;<?xml version="1.0" encoding="utf-8"?><Relationships xmlns="http://schemas.openxmlformats.org/package/2006/relationships"><Relationship Type="http://schemas.openxmlformats.org/officeDocument/2006/relationships/table" Target="/xl/tables/table29.xml" Id="R80bd7164e70140e4" /><Relationship Type="http://schemas.openxmlformats.org/officeDocument/2006/relationships/table" Target="/xl/tables/table30.xml" Id="Rf8622bff89b046f2" /><Relationship Type="http://schemas.openxmlformats.org/officeDocument/2006/relationships/table" Target="/xl/tables/table31.xml" Id="Rb4b9e325c0c24cde" /></Relationships>
</file>

<file path=xl/worksheets/_rels/sheet19.xml.rels>&#65279;<?xml version="1.0" encoding="utf-8"?><Relationships xmlns="http://schemas.openxmlformats.org/package/2006/relationships"><Relationship Type="http://schemas.openxmlformats.org/officeDocument/2006/relationships/table" Target="/xl/tables/table32.xml" Id="Re8e361bacea7484a" /><Relationship Type="http://schemas.openxmlformats.org/officeDocument/2006/relationships/table" Target="/xl/tables/table33.xml" Id="R476a9bc448744a4d" /></Relationships>
</file>

<file path=xl/worksheets/_rels/sheet20.xml.rels>&#65279;<?xml version="1.0" encoding="utf-8"?><Relationships xmlns="http://schemas.openxmlformats.org/package/2006/relationships"><Relationship Type="http://schemas.openxmlformats.org/officeDocument/2006/relationships/table" Target="/xl/tables/table34.xml" Id="Rba9f3065ea034085" /><Relationship Type="http://schemas.openxmlformats.org/officeDocument/2006/relationships/table" Target="/xl/tables/table35.xml" Id="Rcd3ef07260324297" /></Relationships>
</file>

<file path=xl/worksheets/_rels/sheet21.xml.rels>&#65279;<?xml version="1.0" encoding="utf-8"?><Relationships xmlns="http://schemas.openxmlformats.org/package/2006/relationships"><Relationship Type="http://schemas.openxmlformats.org/officeDocument/2006/relationships/table" Target="/xl/tables/table36.xml" Id="R08ff12942aaa4c2a" /></Relationships>
</file>

<file path=xl/worksheets/_rels/sheet24.xml.rels>&#65279;<?xml version="1.0" encoding="utf-8"?><Relationships xmlns="http://schemas.openxmlformats.org/package/2006/relationships"><Relationship Type="http://schemas.openxmlformats.org/officeDocument/2006/relationships/table" Target="/xl/tables/table37.xml" Id="R51363150141b42c7" /></Relationships>
</file>

<file path=xl/worksheets/_rels/sheet25.xml.rels>&#65279;<?xml version="1.0" encoding="utf-8"?><Relationships xmlns="http://schemas.openxmlformats.org/package/2006/relationships"><Relationship Type="http://schemas.openxmlformats.org/officeDocument/2006/relationships/table" Target="/xl/tables/table38.xml" Id="R8c35534fabaf46a2" /></Relationships>
</file>

<file path=xl/worksheets/_rels/sheet26.xml.rels>&#65279;<?xml version="1.0" encoding="utf-8"?><Relationships xmlns="http://schemas.openxmlformats.org/package/2006/relationships"><Relationship Type="http://schemas.openxmlformats.org/officeDocument/2006/relationships/drawing" Target="/xl/drawings/drawing1.xml" Id="R00c75b8495374032" /></Relationships>
</file>

<file path=xl/worksheets/sheet1.xml><?xml version="1.0" encoding="utf-8"?>
<x:worksheet xmlns:x="http://schemas.openxmlformats.org/spreadsheetml/2006/main">
  <x:sheetPr>
    <x:tabColor rgb="FFC00000"/>
  </x:sheetPr>
  <x:sheetViews>
    <x:sheetView workbookViewId="0">
      <x:pane ySplit="2" topLeftCell="A3" activePane="bottomLeft" state="frozen"/>
    </x:sheetView>
  </x:sheetViews>
  <x:sheetFormatPr baseColWidth="8" defaultRowHeight="15"/>
  <x:cols>
    <x:col min="1" max="1" width="4" customWidth="1"/>
    <x:col min="2" max="2" width="34" customWidth="1"/>
    <x:col min="3" max="3" width="110" customWidth="1"/>
    <x:col min="4" max="4" width="46" customWidth="1"/>
  </x:cols>
  <x:sheetData>
    <x:row r="1" ht="26" customHeight="1">
      <x:c r="B1" s="1" t="inlineStr">
        <x:is>
          <x:t xml:space="preserve">نقشه راه عملیاتی بازاریابی پرفورمنس تیتانا — Measurement Plan + Data Dictionary + Implementation Backlog + Roadmap</x:t>
        </x:is>
      </x:c>
    </x:row>
    <x:row r="2">
      <x:c r="B2" s="2" t="inlineStr">
        <x:is>
          <x:t xml:space="preserve">کسب‌وکار: Titana | شناسه بیزینس: ۱۰۷ | حوزه: B2B تجهیزات و مواد دندان‌پزشکی | نسخه: 1.0.0 | تاریخ: ۱۴۰۵-06-30 | شاخه: arena/01a0c31a-titana-performance</x:t>
        </x:is>
      </x:c>
    </x:row>
    <x:row r="4">
      <x:c r="B4" s="3" t="inlineStr">
        <x:is>
          <x:t xml:space="preserve">۱. هدف و نحوه استفاده</x:t>
        </x:is>
      </x:c>
    </x:row>
    <x:row r="5" ht="42" customHeight="1">
      <x:c r="C5" s="4" t="inlineStr">
        <x:is>
          <x:t xml:space="preserve">این فایل خروجی قابل‌اجرای مستندات رسمی docs/performance-marketing/ (۱۴ سند v1.0.0) است. همه آیتم‌ها به‌صورت وظیفه اجراپذیر (TK) با مالک، اولویت، وابستگی و معیار پذیرش ثبت شده‌اند. شروع کار از W0 (حاکمیت و نام‌گذاری) است؛ ستون Status هر وظیفه را به‌مرور اجرا تغییر دهید؛ ستون‌های شمارش و درصد پیشرفت در این شیت و شیت 20 به‌صورت فرمول زنده به‌روز می‌شوند.</x:t>
        </x:is>
      </x:c>
    </x:row>
    <x:row r="7">
      <x:c r="B7" s="3" t="inlineStr">
        <x:is>
          <x:t xml:space="preserve">۲. نقشه شیت‌ها</x:t>
        </x:is>
      </x:c>
    </x:row>
    <x:row r="8" ht="30" customHeight="1">
      <x:c r="A8" s="5" t="inlineStr">
        <x:is>
          <x:t xml:space="preserve">شیت</x:t>
        </x:is>
      </x:c>
      <x:c r="B8" s="5" t="inlineStr">
        <x:is>
          <x:t xml:space="preserve">محتوا</x:t>
        </x:is>
      </x:c>
    </x:row>
    <x:row r="9">
      <x:c r="A9" s="4" t="inlineStr">
        <x:is>
          <x:t xml:space="preserve">00_README</x:t>
        </x:is>
      </x:c>
      <x:c r="B9" s="4" t="inlineStr">
        <x:is>
          <x:t xml:space="preserve">راهنما، افسانه رنگ، مقیاس‌ها و سلسله‌مراتب تصمیم</x:t>
        </x:is>
      </x:c>
    </x:row>
    <x:row r="10">
      <x:c r="A10" s="6" t="inlineStr">
        <x:is>
          <x:t xml:space="preserve">01_MASTER_BACKLOG</x:t>
        </x:is>
      </x:c>
      <x:c r="B10" s="6" t="inlineStr">
        <x:is>
          <x:t xml:space="preserve">۲۸۴ وظیفه اجراپذیر (TK-001..284) در ۷ موج W0..W6 با فرمول Impact_Effort_Score</x:t>
        </x:is>
      </x:c>
    </x:row>
    <x:row r="11">
      <x:c r="A11" s="4" t="inlineStr">
        <x:is>
          <x:t xml:space="preserve">02_EVENTS</x:t>
        </x:is>
      </x:c>
      <x:c r="B11" s="4" t="inlineStr">
        <x:is>
          <x:t xml:space="preserve">۲۴ رویداد ردیابی استاندارد (EVT-01..24)</x:t>
        </x:is>
      </x:c>
    </x:row>
    <x:row r="12">
      <x:c r="A12" s="6" t="inlineStr">
        <x:is>
          <x:t xml:space="preserve">03_EVENT_PARAMETERS</x:t>
        </x:is>
      </x:c>
      <x:c r="B12" s="6" t="inlineStr">
        <x:is>
          <x:t xml:space="preserve">۱۳۴ پارامتر رویداد — هر پارامتر یک ردف مستقل (هرگز تجمیعی)</x:t>
        </x:is>
      </x:c>
    </x:row>
    <x:row r="13">
      <x:c r="A13" s="4" t="inlineStr">
        <x:is>
          <x:t xml:space="preserve">04_PROPERTIES</x:t>
        </x:is>
      </x:c>
      <x:c r="B13" s="4" t="inlineStr">
        <x:is>
          <x:t xml:space="preserve">۱۵ ویژگی کاربر/سشن</x:t>
        </x:is>
      </x:c>
    </x:row>
    <x:row r="14">
      <x:c r="A14" s="6" t="inlineStr">
        <x:is>
          <x:t xml:space="preserve">05_DIMENSIONS</x:t>
        </x:is>
      </x:c>
      <x:c r="B14" s="6" t="inlineStr">
        <x:is>
          <x:t xml:space="preserve">۳۲ بُعد تحلیلی</x:t>
        </x:is>
      </x:c>
    </x:row>
    <x:row r="15">
      <x:c r="A15" s="4" t="inlineStr">
        <x:is>
          <x:t xml:space="preserve">06_METRICS</x:t>
        </x:is>
      </x:c>
      <x:c r="B15" s="4" t="inlineStr">
        <x:is>
          <x:t xml:space="preserve">۳۷ متریک خام/مشتقه/مالی/رفتاری/عملیاتی (جدا از KPI)</x:t>
        </x:is>
      </x:c>
    </x:row>
    <x:row r="16">
      <x:c r="A16" s="6" t="inlineStr">
        <x:is>
          <x:t xml:space="preserve">07_KPI_DICTIONARY</x:t>
        </x:is>
      </x:c>
      <x:c r="B16" s="6" t="inlineStr">
        <x:is>
          <x:t xml:space="preserve">۸۵ شناسنامه KPI با فرمول متن‌خوان + بنچ‌مارک</x:t>
        </x:is>
      </x:c>
    </x:row>
    <x:row r="17">
      <x:c r="A17" s="4" t="inlineStr">
        <x:is>
          <x:t xml:space="preserve">08_DATA_FIELDS</x:t>
        </x:is>
      </x:c>
      <x:c r="B17" s="4" t="str">
        <x:v>08_DATA_FIELDS</x:v>
      </x:c>
      <x:c r="C17" t="str">
        <x:v>۱۲۷ فیلد داده در ۲۹ سطح موجودیت با الزامات امنیتی و تحلیلی</x:v>
      </x:c>
    </x:row>
    <x:row r="18">
      <x:c r="A18" s="6" t="inlineStr">
        <x:is>
          <x:t xml:space="preserve">09_DATA_SOURCES</x:t>
        </x:is>
      </x:c>
      <x:c r="B18" s="6" t="inlineStr">
        <x:is>
          <x:t xml:space="preserve">۱۳ سرچشمه داده با وضعیت دسترسی «مجهول — نیازمند اعتبارسنجی»</x:t>
        </x:is>
      </x:c>
    </x:row>
    <x:row r="19">
      <x:c r="A19" s="4" t="inlineStr">
        <x:is>
          <x:t xml:space="preserve">10_REPORTS</x:t>
        </x:is>
      </x:c>
      <x:c r="B19" s="4" t="inlineStr">
        <x:is>
          <x:t xml:space="preserve">۴۸ گزارش (REP-01..48)</x:t>
        </x:is>
      </x:c>
    </x:row>
    <x:row r="20">
      <x:c r="A20" s="6" t="inlineStr">
        <x:is>
          <x:t xml:space="preserve">11_DASHBOARDS</x:t>
        </x:is>
      </x:c>
      <x:c r="B20" s="6" t="inlineStr">
        <x:is>
          <x:t xml:space="preserve">۳ داشبورد سازمانی — ۱۲ ردیف زون + مشخصات تیر</x:t>
        </x:is>
      </x:c>
    </x:row>
    <x:row r="21">
      <x:c r="A21" s="4" t="inlineStr">
        <x:is>
          <x:t xml:space="preserve">12_ALERTS</x:t>
        </x:is>
      </x:c>
      <x:c r="B21" s="4" t="inlineStr">
        <x:is>
          <x:t xml:space="preserve">۱۶ سناریوی هشدار (ALT-01..16) با Runbook</x:t>
        </x:is>
      </x:c>
    </x:row>
    <x:row r="22">
      <x:c r="A22" s="6" t="inlineStr">
        <x:is>
          <x:t xml:space="preserve">13_ANALYTICAL_MODELS</x:t>
        </x:is>
      </x:c>
      <x:c r="B22" s="6" t="inlineStr">
        <x:is>
          <x:t xml:space="preserve">۲۵ مدل علم داده/AI (MOD-01..25)</x:t>
        </x:is>
      </x:c>
    </x:row>
    <x:row r="23">
      <x:c r="A23" s="4" t="inlineStr">
        <x:is>
          <x:t xml:space="preserve">14_DEPENDENCIES</x:t>
        </x:is>
      </x:c>
      <x:c r="B23" s="4" t="inlineStr">
        <x:is>
          <x:t xml:space="preserve">ماتریس وابستگی‌ها (۶۰ ردیف، ۳۹ مسدودکننده)</x:t>
        </x:is>
      </x:c>
    </x:row>
    <x:row r="24">
      <x:c r="A24" s="6" t="inlineStr">
        <x:is>
          <x:t xml:space="preserve">15_PHASE_PLAN</x:t>
        </x:is>
      </x:c>
      <x:c r="B24" s="6" t="inlineStr">
        <x:is>
          <x:t xml:space="preserve">۷ موج W0..W6 + ۴ ریتم گزارش‌دهی CAD + معیار خروج هر موج</x:t>
        </x:is>
      </x:c>
    </x:row>
    <x:row r="25">
      <x:c r="A25" s="4" t="inlineStr">
        <x:is>
          <x:t xml:space="preserve">16_RACI</x:t>
        </x:is>
      </x:c>
      <x:c r="B25" s="4" t="inlineStr">
        <x:is>
          <x:t xml:space="preserve">۳۰ ردیف × ۱۵ عنوان شغلی (بدون نام شخصی)</x:t>
        </x:is>
      </x:c>
    </x:row>
    <x:row r="26">
      <x:c r="A26" s="6" t="inlineStr">
        <x:is>
          <x:t xml:space="preserve">17_TESTING_QA</x:t>
        </x:is>
      </x:c>
      <x:c r="B26" s="6" t="inlineStr">
        <x:is>
          <x:t xml:space="preserve">۳۶ تست + ۱۰ چک‌لیست (۶۶ آیتم)</x:t>
        </x:is>
      </x:c>
    </x:row>
    <x:row r="27">
      <x:c r="A27" s="4" t="inlineStr">
        <x:is>
          <x:t xml:space="preserve">18_DATA_GAPS</x:t>
        </x:is>
      </x:c>
      <x:c r="B27" s="4" t="inlineStr">
        <x:is>
          <x:t xml:space="preserve">شکاف‌های داده، تداخلات اسناد و مدارک موردنیاز</x:t>
        </x:is>
      </x:c>
    </x:row>
    <x:row r="28">
      <x:c r="A28" s="6" t="inlineStr">
        <x:is>
          <x:t xml:space="preserve">19_BENCHMARKS</x:t>
        </x:is>
      </x:c>
      <x:c r="B28" s="6" t="inlineStr">
        <x:is>
          <x:t xml:space="preserve">۳۲ بنچ‌مارک — فرض‌ها با برچسب رسمی اعتبارسنجی</x:t>
        </x:is>
      </x:c>
    </x:row>
    <x:row r="29">
      <x:c r="A29" s="4" t="inlineStr">
        <x:is>
          <x:t xml:space="preserve">20_EXECUTIVE_ROADMAP</x:t>
        </x:is>
      </x:c>
      <x:c r="B29" s="4" t="inlineStr">
        <x:is>
          <x:t xml:space="preserve">داشبورد اجرایی: فازهای راهبردی، پیشرفت زنده در‌صد، ۳۰-۶۰-۹۰</x:t>
        </x:is>
      </x:c>
    </x:row>
    <x:row r="30">
      <x:c r="A30" s="6" t="inlineStr">
        <x:is>
          <x:t xml:space="preserve">QA_SUMMARY</x:t>
        </x:is>
      </x:c>
      <x:c r="B30" s="6" t="inlineStr">
        <x:is>
          <x:t xml:space="preserve">۱۷ چک کنترل کیفیت با فرمول زنده PASS/FAIL</x:t>
        </x:is>
      </x:c>
    </x:row>
    <x:row r="32">
      <x:c r="B32" s="3" t="inlineStr">
        <x:is>
          <x:t xml:space="preserve">۳. افسانه رنگ (ثابت — تغییر ندهید)</x:t>
        </x:is>
      </x:c>
    </x:row>
    <x:row r="33">
      <x:c r="B33" s="7" t="inlineStr">
        <x:is>
          <x:t xml:space="preserve">Critical / P1 / Blocked</x:t>
        </x:is>
      </x:c>
      <x:c r="C33" s="8" t="inlineStr">
        <x:is>
          <x:t xml:space="preserve"/>
        </x:is>
      </x:c>
    </x:row>
    <x:row r="34">
      <x:c r="B34" s="9" t="inlineStr">
        <x:is>
          <x:t xml:space="preserve">High / P2 / In Progress</x:t>
        </x:is>
      </x:c>
      <x:c r="C34" s="8" t="inlineStr">
        <x:is>
          <x:t xml:space="preserve"/>
        </x:is>
      </x:c>
    </x:row>
    <x:row r="35">
      <x:c r="B35" s="10" t="inlineStr">
        <x:is>
          <x:t xml:space="preserve">Medium / P3</x:t>
        </x:is>
      </x:c>
      <x:c r="C35" s="8" t="inlineStr">
        <x:is>
          <x:t xml:space="preserve"/>
        </x:is>
      </x:c>
    </x:row>
    <x:row r="36">
      <x:c r="B36" s="11" t="inlineStr">
        <x:is>
          <x:t xml:space="preserve">Low / Tested</x:t>
        </x:is>
      </x:c>
      <x:c r="C36" s="8" t="inlineStr">
        <x:is>
          <x:t xml:space="preserve"/>
        </x:is>
      </x:c>
    </x:row>
    <x:row r="37">
      <x:c r="B37" s="12" t="inlineStr">
        <x:is>
          <x:t xml:space="preserve">Proposed</x:t>
        </x:is>
      </x:c>
      <x:c r="C37" s="8" t="inlineStr">
        <x:is>
          <x:t xml:space="preserve"/>
        </x:is>
      </x:c>
    </x:row>
    <x:row r="38">
      <x:c r="B38" s="13" t="inlineStr">
        <x:is>
          <x:t xml:space="preserve">Ready</x:t>
        </x:is>
      </x:c>
      <x:c r="C38" s="8" t="inlineStr">
        <x:is>
          <x:t xml:space="preserve"/>
        </x:is>
      </x:c>
    </x:row>
    <x:row r="39">
      <x:c r="B39" s="14" t="inlineStr">
        <x:is>
          <x:t xml:space="preserve">بنچ‌مارک «فرض اولیه»</x:t>
        </x:is>
      </x:c>
      <x:c r="C39" s="8" t="inlineStr">
        <x:is>
          <x:t xml:space="preserve"/>
        </x:is>
      </x:c>
    </x:row>
    <x:row r="40">
      <x:c r="B40" s="15" t="inlineStr">
        <x:is>
          <x:t xml:space="preserve">سلول فرمولی (فقط-خواندنی)</x:t>
        </x:is>
      </x:c>
      <x:c r="C40" s="8" t="str">
        <x:v>Proposed → Ready → In Progress → Implemented → Tested؛ وضعیت Blocked در هر مرحله قابل استفاده است. فقط Implemented و Tested در پیشرفت تکمیل‌شده شمرده می‌شوند.</x:v>
      </x:c>
    </x:row>
    <x:row r="41">
      <x:c r="C41" t="str">
        <x:v>مقیاس ۱ تا ۵؛ Impact_Effort_Score = Impact×2 − Effort. امتیاز بالاتر یعنی اثر بیشتر با تلاش کمتر.</x:v>
      </x:c>
    </x:row>
    <x:row r="42">
      <x:c r="B42" s="3" t="inlineStr">
        <x:is>
          <x:t xml:space="preserve">۴. مقیاس‌ها</x:t>
        </x:is>
      </x:c>
    </x:row>
    <x:row r="43">
      <x:c r="B43" s="16" t="inlineStr">
        <x:is>
          <x:t xml:space="preserve">Priority</x:t>
        </x:is>
      </x:c>
      <x:c r="C43" s="4" t="inlineStr">
        <x:is>
          <x:t xml:space="preserve">Critical=وقف‌کننده درآمد/داده حیاتی | High=کلان و پرتکرار | Medium=مهم‌تر از حاشیه‌ای | Low=بهینه‌سازی</x:t>
        </x:is>
      </x:c>
    </x:row>
    <x:row r="44">
      <x:c r="B44" s="16" t="inlineStr">
        <x:is>
          <x:t xml:space="preserve">Status</x:t>
        </x:is>
      </x:c>
      <x:c r="C44" s="4" t="inlineStr">
        <x:is>
          <x:t xml:space="preserve">Proposed(پیشنهادی) → In Progress(در حال اجرا) → Blocked(مسدود) → Ready(آماده) → Tested(تأییدشده)</x:t>
        </x:is>
      </x:c>
    </x:row>
    <x:row r="45">
      <x:c r="B45" s="16" t="inlineStr">
        <x:is>
          <x:t xml:space="preserve">Impact / Effort</x:t>
        </x:is>
      </x:c>
      <x:c r="C45" s="4" t="inlineStr">
        <x:is>
          <x:t xml:space="preserve">مقیاس ۱ تا ؛ Impact_Effort_Score = Impact×2 + Effort (فرمول زنده، محدوده ۳ تا ۱۵)</x:t>
        </x:is>
      </x:c>
    </x:row>
    <x:row r="46">
      <x:c r="B46" s="16" t="inlineStr">
        <x:is>
          <x:t xml:space="preserve">Severity هشدار</x:t>
        </x:is>
      </x:c>
      <x:c r="C46" s="4" t="inlineStr">
        <x:is>
          <x:t xml:space="preserve">P1 بحرانی (۳۰ دقیقه) | P2 تاکتیکی (۴ ساعت) | P3 هفتگی</x:t>
        </x:is>
      </x:c>
    </x:row>
    <x:row r="47">
      <x:c r="B47" s="16" t="inlineStr">
        <x:is>
          <x:t xml:space="preserve">موج W0..W6</x:t>
        </x:is>
      </x:c>
      <x:c r="C47" s="4" t="str">
        <x:v>طبق ممیزی TITANA-MARKETING-DATA-ROADMAP.md: هیچ فاز اجرایی تکمیل‌شده ثبت نشده است؛ وضعیت اولیه Taskها Proposed باقی می‌ماند تا شواهد اجرا ثبت شود.</x:v>
      </x:c>
    </x:row>
    <x:row r="48">
      <x:c r="B48" s="16" t="inlineStr">
        <x:is>
          <x:t xml:space="preserve">فاز راهبردی</x:t>
        </x:is>
      </x:c>
      <x:c r="C48" s="4" t="inlineStr">
        <x:is>
          <x:t xml:space="preserve">S1 Foundation (W0-W2) | S2 Professional Analytics (W3-W5) | S3 Advanced Intelligence (W6)</x:t>
        </x:is>
      </x:c>
    </x:row>
    <x:row r="50">
      <x:c r="B50" s="3" t="inlineStr">
        <x:is>
          <x:t xml:space="preserve">۵. وضعیت واقعی و سلسله‌مراتب تصمیم (مهم)</x:t>
        </x:is>
      </x:c>
    </x:row>
    <x:row r="51">
      <x:c r="B51" s="16" t="inlineStr">
        <x:is>
          <x:t xml:space="preserve">وضعیت اجرای فعلی</x:t>
        </x:is>
      </x:c>
      <x:c r="C51" s="4" t="inlineStr">
        <x:is>
          <x:t xml:space="preserve">طبق ممیزی RITANA-MARKETING-DATA-ROADMAP.md: ۰ از ۶ فاز اجرا شده؛ GTM/GA4 «فعال ولی کیفیت مجهول»؛ هیچ فایل وضعیت/اجرا در مخزن نیست. بنابراین Status همه ۲۸۴ وظیفه = Proposed (بدون ادعای اجرا بدون مدرک).</x:t>
        </x:is>
      </x:c>
    </x:row>
    <x:row r="52">
      <x:c r="B52" s="16" t="inlineStr">
        <x:is>
          <x:t xml:space="preserve">سلسله‌مراتب اسناد</x:t>
        </x:is>
      </x:c>
      <x:c r="C52" s="4" t="inlineStr">
        <x:is>
          <x:t xml:space="preserve">۱) مصوبات دور ممیزی (سند ۱۲) ۲) مشخصات فنی پنج‌گانه ۳) راهبرد کلان — در صورت تعارض، این سلسله ملاک است.</x:t>
        </x:is>
      </x:c>
    </x:row>
    <x:row r="53">
      <x:c r="B53" s="16" t="inlineStr">
        <x:is>
          <x:t xml:space="preserve">تعارض شناس‌شده</x:t>
        </x:is>
      </x:c>
      <x:c r="C53" s="4" t="inlineStr">
        <x:is>
          <x:t xml:space="preserve">اسناد ۰۵/۰۶/۰۷ از شماره‌گذاری legacy KPI/REP استفاده می‌کنند؛ در شیت‌های داشبورد و CAD همزمان هر دو نمایش داده و نگاشت «نزدیک‌ترین رسمی» ثبت شده است (TK-002).</x:t>
        </x:is>
      </x:c>
    </x:row>
    <x:row r="54">
      <x:c r="B54" s="16" t="inlineStr">
        <x:is>
          <x:t xml:space="preserve">سرچشمه‌های داده</x:t>
        </x:is>
      </x:c>
      <x:c r="C54" s="4" t="inlineStr">
        <x:is>
          <x:t xml:space="preserve">وجود هیچ پلتفرم (Ads/GA4/GTM/CRM/ERP/WMS/درگاه/VoIP/ایمیل/وفاداری/همکار/نظام) بدون مدرک فرض نشده؛ همه «مجهول — نیازمند اعتبارسنجی» (۹ مدرک در 18_DATA_GAPS).</x:t>
        </x:is>
      </x:c>
    </x:row>
    <x:row r="55">
      <x:c r="B55" s="16" t="inlineStr">
        <x:is>
          <x:t xml:space="preserve">موارد نیازمند تصویب صاحب‌کار</x:t>
        </x:is>
      </x:c>
      <x:c r="C55" s="4" t="inlineStr">
        <x:is>
          <x:t xml:space="preserve">بنچ‌مارک‌های «فرض اولیه» (۲۹ از ۳۲)، سقف بودجه، حاشیه سود هدف، و قرارداد رسمی استعلام نظام پزشکی.</x:t>
        </x:is>
      </x:c>
    </x:row>
    <x:row r="56">
      <x:c r="C56" t="inlineStr">
        <x:is>
          <x:t xml:space="preserve"/>
        </x:is>
      </x:c>
    </x:row>
  </x:sheetData>
  <x:pageMargins left="0.7" right="0.7" top="0.75" bottom="0.75" header="0.3" footer="0.3"/>
</x:worksheet>
</file>

<file path=xl/worksheets/sheet2.xml><?xml version="1.0" encoding="utf-8"?>
<x:worksheet xmlns:x="http://schemas.openxmlformats.org/spreadsheetml/2006/main">
  <x:sheetPr>
    <x:tabColor rgb="FF1F4E78"/>
  </x:sheetPr>
  <x:sheetViews>
    <x:sheetView workbookViewId="0">
      <x:pane xSplit="2" ySplit="1" topLeftCell="C2" activePane="bottomRight" state="frozen"/>
    </x:sheetView>
  </x:sheetViews>
  <x:sheetFormatPr baseColWidth="8" defaultRowHeight="15"/>
  <x:cols>
    <x:col min="1" max="1" width="9" customWidth="1"/>
    <x:col min="2" max="2" width="34" customWidth="1"/>
    <x:col min="3" max="3" width="30" customWidth="1"/>
    <x:col min="4" max="4" width="13" customWidth="1"/>
    <x:col min="5" max="5" width="22" customWidth="1"/>
    <x:col min="6" max="6" width="7" customWidth="1"/>
    <x:col min="7" max="7" width="15" customWidth="1"/>
    <x:col min="8" max="8" width="10" customWidth="1"/>
    <x:col min="9" max="9" width="20" customWidth="1"/>
    <x:col min="10" max="10" width="9" customWidth="1"/>
    <x:col min="11" max="11" width="9" customWidth="1"/>
    <x:col min="12" max="12" width="11" customWidth="1"/>
    <x:col min="13" max="13" width="22" customWidth="1"/>
    <x:col min="14" max="14" width="44" customWidth="1"/>
    <x:col min="15" max="15" width="11" customWidth="1"/>
    <x:col min="16" max="16" width="26" customWidth="1"/>
    <x:col min="17" max="17" width="18" hidden="0" customWidth="1"/>
    <x:col min="18" max="18" width="18" hidden="0" customWidth="1"/>
    <x:col min="19" max="19" width="18" hidden="0" customWidth="1"/>
    <x:col min="20" max="20" width="18" hidden="0" customWidth="1"/>
    <x:col min="21" max="21" width="34"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32" hidden="0" customWidth="1"/>
    <x:col min="29" max="29" width="24" hidden="0" customWidth="1"/>
    <x:col min="30" max="30" width="24" hidden="0" customWidth="1"/>
    <x:col min="31" max="31" width="30" hidden="0" customWidth="1"/>
    <x:col min="32" max="32" width="18" hidden="0" customWidth="1"/>
    <x:col min="33" max="33" width="18" hidden="0" customWidth="1"/>
    <x:col min="34" max="34" width="18" hidden="0" customWidth="1"/>
  </x:cols>
  <x:sheetData>
    <x:row r="1" ht="30" customHeight="1">
      <x:c r="A1" s="5" t="inlineStr">
        <x:is>
          <x:t xml:space="preserve">Task_ID</x:t>
        </x:is>
      </x:c>
      <x:c r="B1" s="5" t="inlineStr">
        <x:is>
          <x:t xml:space="preserve">Task_Title_FA</x:t>
        </x:is>
      </x:c>
      <x:c r="C1" s="5" t="inlineStr">
        <x:is>
          <x:t xml:space="preserve">Task_Title_EN</x:t>
        </x:is>
      </x:c>
      <x:c r="D1" s="5" t="inlineStr">
        <x:is>
          <x:t xml:space="preserve">Category</x:t>
        </x:is>
      </x:c>
      <x:c r="E1" s="5" t="inlineStr">
        <x:is>
          <x:t xml:space="preserve">Ref_ID</x:t>
        </x:is>
      </x:c>
      <x:c r="F1" s="5" t="inlineStr">
        <x:is>
          <x:t xml:space="preserve">Wave</x:t>
        </x:is>
      </x:c>
      <x:c r="G1" s="5" t="inlineStr">
        <x:is>
          <x:t xml:space="preserve">Strategic_Phase</x:t>
        </x:is>
      </x:c>
      <x:c r="H1" s="5" t="inlineStr">
        <x:is>
          <x:t xml:space="preserve">Priority</x:t>
        </x:is>
      </x:c>
      <x:c r="I1" s="5" t="inlineStr">
        <x:is>
          <x:t xml:space="preserve">Owner_Role</x:t>
        </x:is>
      </x:c>
      <x:c r="J1" s="5" t="inlineStr">
        <x:is>
          <x:t xml:space="preserve">Impact (1-5)</x:t>
        </x:is>
      </x:c>
      <x:c r="K1" s="5" t="inlineStr">
        <x:is>
          <x:t xml:space="preserve">Effort (1-5)</x:t>
        </x:is>
      </x:c>
      <x:c r="L1" s="5" t="inlineStr">
        <x:is>
          <x:t xml:space="preserve">Impact_Effort_Score</x:t>
        </x:is>
      </x:c>
      <x:c r="M1" s="5" t="inlineStr">
        <x:is>
          <x:t xml:space="preserve">Dependencies</x:t>
        </x:is>
      </x:c>
      <x:c r="N1" s="5" t="inlineStr">
        <x:is>
          <x:t xml:space="preserve">Acceptance_Criteria</x:t>
        </x:is>
      </x:c>
      <x:c r="O1" s="5" t="inlineStr">
        <x:is>
          <x:t xml:space="preserve">Status</x:t>
        </x:is>
      </x:c>
      <x:c r="P1" s="5" t="inlineStr">
        <x:is>
          <x:t xml:space="preserve">Notes</x:t>
        </x:is>
      </x:c>
      <x:c r="Q1" s="27" t="str">
        <x:v>Task_ID_Link</x:v>
      </x:c>
      <x:c r="R1" s="27" t="str">
        <x:v>Parent_ID</x:v>
      </x:c>
      <x:c r="S1" s="27" t="str">
        <x:v>Component_Type</x:v>
      </x:c>
      <x:c r="T1" s="27" t="str">
        <x:v>Component_ID</x:v>
      </x:c>
      <x:c r="U1" s="27" t="str">
        <x:v>Description_FA</x:v>
      </x:c>
      <x:c r="V1" s="27" t="str">
        <x:v>Blocking_Status</x:v>
      </x:c>
      <x:c r="W1" s="27" t="str">
        <x:v>Data_Source</x:v>
      </x:c>
      <x:c r="X1" s="27" t="str">
        <x:v>Destination_System</x:v>
      </x:c>
      <x:c r="Y1" s="27" t="str">
        <x:v>Business_Owner</x:v>
      </x:c>
      <x:c r="Z1" s="27" t="str">
        <x:v>Estimated_Duration_Days</x:v>
      </x:c>
      <x:c r="AA1" s="27" t="str">
        <x:v>Start_Order</x:v>
      </x:c>
      <x:c r="AB1" s="27" t="str">
        <x:v>Testing_Method</x:v>
      </x:c>
      <x:c r="AC1" s="27" t="str">
        <x:v>Risk</x:v>
      </x:c>
      <x:c r="AD1" s="27" t="str">
        <x:v>Mitigation</x:v>
      </x:c>
      <x:c r="AE1" s="27" t="str">
        <x:v>Deliverable</x:v>
      </x:c>
      <x:c r="AF1" s="27" t="str">
        <x:v>Related_Event_IDs</x:v>
      </x:c>
      <x:c r="AG1" s="27" t="str">
        <x:v>Related_KPI_IDs</x:v>
      </x:c>
      <x:c r="AH1" s="27" t="str">
        <x:v>Related_Report_IDs</x:v>
      </x:c>
    </x:row>
    <x:row r="2">
      <x:c r="A2" s="17" t="inlineStr">
        <x:is>
          <x:t xml:space="preserve">TK-001</x:t>
        </x:is>
      </x:c>
      <x:c r="B2" s="4" t="inlineStr">
        <x:is>
          <x:t xml:space="preserve">تصویب سیاست حاکمیت داده و استاندارد نام‌گذاری</x:t>
        </x:is>
      </x:c>
      <x:c r="C2" s="4" t="inlineStr">
        <x:is>
          <x:t xml:space="preserve">Approve Data Governance Policy &amp; Naming Standard</x:t>
        </x:is>
      </x:c>
      <x:c r="D2" s="4" t="inlineStr">
        <x:is>
          <x:t xml:space="preserve">Governance</x:t>
        </x:is>
      </x:c>
      <x:c r="E2" s="4" t="inlineStr">
        <x:is>
          <x:t xml:space="preserve">P-02</x:t>
        </x:is>
      </x:c>
      <x:c r="F2" s="17" t="inlineStr">
        <x:is>
          <x:t xml:space="preserve">W0</x:t>
        </x:is>
      </x:c>
      <x:c r="G2" s="4" t="inlineStr">
        <x:is>
          <x:t xml:space="preserve">S1</x:t>
        </x:is>
      </x:c>
      <x:c r="H2" s="17" t="inlineStr">
        <x:is>
          <x:t xml:space="preserve">Critical</x:t>
        </x:is>
      </x:c>
      <x:c r="I2" s="4" t="inlineStr">
        <x:is>
          <x:t xml:space="preserve">CMO</x:t>
        </x:is>
      </x:c>
      <x:c r="J2" s="17" t="n">
        <x:v>5</x:v>
      </x:c>
      <x:c r="K2" s="17" t="n">
        <x:v>1</x:v>
      </x:c>
      <x:c r="L2" s="18" t="n">
        <x:f>J2*2-K2</x:f>
        <x:v>9</x:v>
      </x:c>
      <x:c r="M2" s="4" t="inlineStr">
        <x:is>
          <x:t xml:space="preserve">—</x:t>
        </x:is>
      </x:c>
      <x:c r="N2" s="4" t="inlineStr">
        <x:is>
          <x:t xml:space="preserve">سند نام‌گذاری snake_case + تاکسونومی کانال و UTM امضا شده</x:t>
        </x:is>
      </x:c>
      <x:c r="O2" s="17" t="inlineStr">
        <x:is>
          <x:t xml:space="preserve">Proposed</x:t>
        </x:is>
      </x:c>
      <x:c r="P2" s="4" t="inlineStr">
        <x:is>
          <x:t xml:space="preserve">مرجع همه مراحل بعدی</x:t>
        </x:is>
      </x:c>
      <x:c r="Q2" s="30" t="str">
        <x:v>TK-001</x:v>
      </x:c>
      <x:c r="R2" s="30" t="str"/>
      <x:c r="S2" s="30" t="str">
        <x:v>Governance</x:v>
      </x:c>
      <x:c r="T2" s="30" t="str">
        <x:v>P-02</x:v>
      </x:c>
      <x:c r="U2" s="30" t="str">
        <x:v>تصویب سیاست حاکمیت داده و استاندارد نام‌گذاری</x:v>
      </x:c>
      <x:c r="V2" s="30" t="str">
        <x:v>Pending dependency review</x:v>
      </x:c>
      <x:c r="W2" s="30" t="str">
        <x:v>نیازمند تکمیل و تأیید مالک</x:v>
      </x:c>
      <x:c r="X2" s="30" t="str">
        <x:v>نیازمند تکمیل و تأیید مالک</x:v>
      </x:c>
      <x:c r="Y2" s="30" t="str">
        <x:v>CMO</x:v>
      </x:c>
      <x:c r="Z2" s="30" t="n">
        <x:v>3</x:v>
      </x:c>
      <x:c r="AA2" s="30" t="n">
        <x:v>1</x:v>
      </x:c>
      <x:c r="AB2" s="30" t="str">
        <x:v>سند نام‌گذاری snake_case + تاکسونومی کانال و UTM امضا شده</x:v>
      </x:c>
      <x:c r="AC2" s="30" t="str">
        <x:v>نیازمند تکمیل و تأیید مالک</x:v>
      </x:c>
      <x:c r="AD2" s="30" t="str">
        <x:v>نیازمند تکمیل و تأیید مالک</x:v>
      </x:c>
      <x:c r="AE2" s="30" t="str">
        <x:v>سند نام‌گذاری snake_case + تاکسونومی کانال و UTM امضا شده</x:v>
      </x:c>
      <x:c r="AF2" s="30" t="str"/>
      <x:c r="AG2" s="30" t="str"/>
      <x:c r="AH2" s="30" t="str"/>
    </x:row>
    <x:row r="3">
      <x:c r="A3" s="19" t="inlineStr">
        <x:is>
          <x:t xml:space="preserve">TK-002</x:t>
        </x:is>
      </x:c>
      <x:c r="B3" s="6" t="inlineStr">
        <x:is>
          <x:t xml:space="preserve">تصویب نگاشت شناسه‌های رسمی (KPI/REP/EVT/FLD) و پیمایش legacy→official</x:t>
        </x:is>
      </x:c>
      <x:c r="C3" s="6" t="inlineStr">
        <x:is>
          <x:t xml:space="preserve">Approve Official ID Mapping &amp; Legacy Migration Table</x:t>
        </x:is>
      </x:c>
      <x:c r="D3" s="6" t="inlineStr">
        <x:is>
          <x:t xml:space="preserve">Governance</x:t>
        </x:is>
      </x:c>
      <x:c r="E3" s="6" t="inlineStr">
        <x:is>
          <x:t xml:space="preserve">KPI-01..85, REP-01..48</x:t>
        </x:is>
      </x:c>
      <x:c r="F3" s="19" t="inlineStr">
        <x:is>
          <x:t xml:space="preserve">W0</x:t>
        </x:is>
      </x:c>
      <x:c r="G3" s="6" t="inlineStr">
        <x:is>
          <x:t xml:space="preserve">S1</x:t>
        </x:is>
      </x:c>
      <x:c r="H3" s="19" t="inlineStr">
        <x:is>
          <x:t xml:space="preserve">Critical</x:t>
        </x:is>
      </x:c>
      <x:c r="I3" s="6" t="inlineStr">
        <x:is>
          <x:t xml:space="preserve">BI Lead</x:t>
        </x:is>
      </x:c>
      <x:c r="J3" s="19" t="n">
        <x:v>4</x:v>
      </x:c>
      <x:c r="K3" s="19" t="n">
        <x:v>1</x:v>
      </x:c>
      <x:c r="L3" s="18" t="n">
        <x:f>J3*2-K3</x:f>
        <x:v>7</x:v>
      </x:c>
      <x:c r="M3" s="6" t="inlineStr">
        <x:is>
          <x:t xml:space="preserve">—</x:t>
        </x:is>
      </x:c>
      <x:c r="N3" s="6" t="inlineStr">
        <x:is>
          <x:t xml:space="preserve">جدول نگاشت legacy IDs اسناد ۰۵/۰۶/۰۷ به شناسه رسمی ۰۱/۰۲ قفل شد</x:t>
        </x:is>
      </x:c>
      <x:c r="O3" s="19" t="inlineStr">
        <x:is>
          <x:t xml:space="preserve">Proposed</x:t>
        </x:is>
      </x:c>
      <x:c r="P3" s="6" t="inlineStr">
        <x:is>
          <x:t xml:space="preserve">تعارض شماره‌گذاری legacy در اسناد قدیمی</x:t>
        </x:is>
      </x:c>
      <x:c r="Q3" s="30" t="str">
        <x:v>TK-002</x:v>
      </x:c>
      <x:c r="R3" s="30" t="str"/>
      <x:c r="S3" s="30" t="str">
        <x:v>Governance</x:v>
      </x:c>
      <x:c r="T3" s="30" t="str">
        <x:v>KPI-01..85, REP-01..48</x:v>
      </x:c>
      <x:c r="U3" s="30" t="str">
        <x:v>تصویب نگاشت شناسه‌های رسمی (KPI/REP/EVT/FLD) و پیمایش legacy→official</x:v>
      </x:c>
      <x:c r="V3" s="30" t="str">
        <x:v>Pending dependency review</x:v>
      </x:c>
      <x:c r="W3" s="30" t="str">
        <x:v>نیازمند تکمیل و تأیید مالک</x:v>
      </x:c>
      <x:c r="X3" s="30" t="str">
        <x:v>نیازمند تکمیل و تأیید مالک</x:v>
      </x:c>
      <x:c r="Y3" s="30" t="str">
        <x:v>BI Lead</x:v>
      </x:c>
      <x:c r="Z3" s="30" t="n">
        <x:v>3</x:v>
      </x:c>
      <x:c r="AA3" s="30" t="n">
        <x:v>2</x:v>
      </x:c>
      <x:c r="AB3" s="30" t="str">
        <x:v>جدول نگاشت legacy IDs اسناد ۰۵/۰۶/۰۷ به شناسه رسمی ۰۱/۰۲ قفل شد</x:v>
      </x:c>
      <x:c r="AC3" s="30" t="str">
        <x:v>نیازمند تکمیل و تأیید مالک</x:v>
      </x:c>
      <x:c r="AD3" s="30" t="str">
        <x:v>نیازمند تکمیل و تأیید مالک</x:v>
      </x:c>
      <x:c r="AE3" s="30" t="str">
        <x:v>جدول نگاشت legacy IDs اسناد ۰۵/۰۶/۰۷ به شناسه رسمی ۰۱/۰۲ قفل شد</x:v>
      </x:c>
      <x:c r="AF3" s="30" t="str"/>
      <x:c r="AG3" s="30" t="str">
        <x:v>KPI-01..85, REP-01..48</x:v>
      </x:c>
      <x:c r="AH3" s="30" t="str">
        <x:v>KPI-01..85, REP-01..48</x:v>
      </x:c>
    </x:row>
    <x:row r="4">
      <x:c r="A4" s="17" t="inlineStr">
        <x:is>
          <x:t xml:space="preserve">TK-003</x:t>
        </x:is>
      </x:c>
      <x:c r="B4" s="4" t="inlineStr">
        <x:is>
          <x:t xml:space="preserve">تصویب قراردادهای داده SLA بین واحدها</x:t>
        </x:is>
      </x:c>
      <x:c r="C4" s="4" t="inlineStr">
        <x:is>
          <x:t xml:space="preserve">Approve Inter-Departmental Data Contracts</x:t>
        </x:is>
      </x:c>
      <x:c r="D4" s="4" t="inlineStr">
        <x:is>
          <x:t xml:space="preserve">Governance</x:t>
        </x:is>
      </x:c>
      <x:c r="E4" s="4" t="inlineStr">
        <x:is>
          <x:t xml:space="preserve">SLA×3</x:t>
        </x:is>
      </x:c>
      <x:c r="F4" s="17" t="inlineStr">
        <x:is>
          <x:t xml:space="preserve">W0</x:t>
        </x:is>
      </x:c>
      <x:c r="G4" s="4" t="inlineStr">
        <x:is>
          <x:t xml:space="preserve">S1</x:t>
        </x:is>
      </x:c>
      <x:c r="H4" s="17" t="inlineStr">
        <x:is>
          <x:t xml:space="preserve">Critical</x:t>
        </x:is>
      </x:c>
      <x:c r="I4" s="4" t="inlineStr">
        <x:is>
          <x:t xml:space="preserve">CMO</x:t>
        </x:is>
      </x:c>
      <x:c r="J4" s="17" t="n">
        <x:v>5</x:v>
      </x:c>
      <x:c r="K4" s="17" t="n">
        <x:v>1</x:v>
      </x:c>
      <x:c r="L4" s="18" t="n">
        <x:f>J4*2-K4</x:f>
        <x:v>9</x:v>
      </x:c>
      <x:c r="M4" s="4" t="inlineStr">
        <x:is>
          <x:t xml:space="preserve">—</x:t>
        </x:is>
      </x:c>
      <x:c r="N4" s="4" t="inlineStr">
        <x:is>
          <x:t xml:space="preserve">۳ قرارداد داده (مارکتینگ-فروش / مارکتینگ-مالی / WMS-مارکتینگ) امضا شد</x:t>
        </x:is>
      </x:c>
      <x:c r="O4" s="17" t="inlineStr">
        <x:is>
          <x:t xml:space="preserve">Proposed</x:t>
        </x:is>
      </x:c>
      <x:c r="P4" s="4" t="inlineStr">
        <x:is>
          <x:t xml:space="preserve">بر اساس سند ۱۲</x:t>
        </x:is>
      </x:c>
      <x:c r="Q4" s="30" t="str">
        <x:v>TK-003</x:v>
      </x:c>
      <x:c r="R4" s="30" t="str"/>
      <x:c r="S4" s="30" t="str">
        <x:v>Governance</x:v>
      </x:c>
      <x:c r="T4" s="30" t="str">
        <x:v>SLA×3</x:v>
      </x:c>
      <x:c r="U4" s="30" t="str">
        <x:v>تصویب قراردادهای داده SLA بین واحدها</x:v>
      </x:c>
      <x:c r="V4" s="30" t="str">
        <x:v>Pending dependency review</x:v>
      </x:c>
      <x:c r="W4" s="30" t="str">
        <x:v>نیازمند تکمیل و تأیید مالک</x:v>
      </x:c>
      <x:c r="X4" s="30" t="str">
        <x:v>نیازمند تکمیل و تأیید مالک</x:v>
      </x:c>
      <x:c r="Y4" s="30" t="str">
        <x:v>CMO</x:v>
      </x:c>
      <x:c r="Z4" s="30" t="n">
        <x:v>3</x:v>
      </x:c>
      <x:c r="AA4" s="30" t="n">
        <x:v>3</x:v>
      </x:c>
      <x:c r="AB4" s="30" t="str">
        <x:v>۳ قرارداد داده (مارکتینگ-فروش / مارکتینگ-مالی / WMS-مارکتینگ) امضا شد</x:v>
      </x:c>
      <x:c r="AC4" s="30" t="str">
        <x:v>نیازمند تکمیل و تأیید مالک</x:v>
      </x:c>
      <x:c r="AD4" s="30" t="str">
        <x:v>نیازمند تکمیل و تأیید مالک</x:v>
      </x:c>
      <x:c r="AE4" s="30" t="str">
        <x:v>۳ قرارداد داده (مارکتینگ-فروش / مارکتینگ-مالی / WMS-مارکتینگ) امضا شد</x:v>
      </x:c>
      <x:c r="AF4" s="30" t="str"/>
      <x:c r="AG4" s="30" t="str"/>
      <x:c r="AH4" s="30" t="str"/>
    </x:row>
    <x:row r="5">
      <x:c r="A5" s="19" t="inlineStr">
        <x:is>
          <x:t xml:space="preserve">TK-004</x:t>
        </x:is>
      </x:c>
      <x:c r="B5" s="6" t="inlineStr">
        <x:is>
          <x:t xml:space="preserve">تصویب سیاست حریم خصوصی و هشینگ</x:t>
        </x:is>
      </x:c>
      <x:c r="C5" s="6" t="inlineStr">
        <x:is>
          <x:t xml:space="preserve">Approve Privacy &amp; Hashing Policy</x:t>
        </x:is>
      </x:c>
      <x:c r="D5" s="6" t="inlineStr">
        <x:is>
          <x:t xml:space="preserve">Security</x:t>
        </x:is>
      </x:c>
      <x:c r="E5" s="6" t="inlineStr">
        <x:is>
          <x:t xml:space="preserve">FLD hashed_phone_number</x:t>
        </x:is>
      </x:c>
      <x:c r="F5" s="19" t="inlineStr">
        <x:is>
          <x:t xml:space="preserve">W0</x:t>
        </x:is>
      </x:c>
      <x:c r="G5" s="6" t="inlineStr">
        <x:is>
          <x:t xml:space="preserve">S1</x:t>
        </x:is>
      </x:c>
      <x:c r="H5" s="19" t="inlineStr">
        <x:is>
          <x:t xml:space="preserve">Critical</x:t>
        </x:is>
      </x:c>
      <x:c r="I5" s="6" t="inlineStr">
        <x:is>
          <x:t xml:space="preserve">Security &amp; Governance</x:t>
        </x:is>
      </x:c>
      <x:c r="J5" s="19" t="n">
        <x:v>5</x:v>
      </x:c>
      <x:c r="K5" s="19" t="n">
        <x:v>1</x:v>
      </x:c>
      <x:c r="L5" s="18" t="n">
        <x:f>J5*2-K5</x:f>
        <x:v>9</x:v>
      </x:c>
      <x:c r="M5" s="6" t="inlineStr">
        <x:is>
          <x:t xml:space="preserve">—</x:t>
        </x:is>
      </x:c>
      <x:c r="N5" s="6" t="inlineStr">
        <x:is>
          <x:t xml:space="preserve">سیاست SHA-256 + E.164 و ممنوعیت ذخیره PII خام تصویب شد</x:t>
        </x:is>
      </x:c>
      <x:c r="O5" s="19" t="inlineStr">
        <x:is>
          <x:t xml:space="preserve">Proposed</x:t>
        </x:is>
      </x:c>
      <x:c r="P5" s="6" t="inlineStr">
        <x:is>
          <x:t xml:space="preserve">ریسک R7/F9</x:t>
        </x:is>
      </x:c>
      <x:c r="Q5" s="30" t="str">
        <x:v>TK-004</x:v>
      </x:c>
      <x:c r="R5" s="30" t="str"/>
      <x:c r="S5" s="30" t="str">
        <x:v>Security</x:v>
      </x:c>
      <x:c r="T5" s="30" t="str">
        <x:v>FLD hashed_phone_number</x:v>
      </x:c>
      <x:c r="U5" s="30" t="str">
        <x:v>تصویب سیاست حریم خصوصی و هشینگ</x:v>
      </x:c>
      <x:c r="V5" s="30" t="str">
        <x:v>Pending dependency review</x:v>
      </x:c>
      <x:c r="W5" s="30" t="str">
        <x:v>نیازمند تکمیل و تأیید مالک</x:v>
      </x:c>
      <x:c r="X5" s="30" t="str">
        <x:v>نیازمند تکمیل و تأیید مالک</x:v>
      </x:c>
      <x:c r="Y5" s="30" t="str">
        <x:v>Security &amp; Governance</x:v>
      </x:c>
      <x:c r="Z5" s="30" t="n">
        <x:v>3</x:v>
      </x:c>
      <x:c r="AA5" s="30" t="n">
        <x:v>4</x:v>
      </x:c>
      <x:c r="AB5" s="30" t="str">
        <x:v>سیاست SHA-256 + E.164 و ممنوعیت ذخیره PII خام تصویب شد</x:v>
      </x:c>
      <x:c r="AC5" s="30" t="str">
        <x:v>نیازمند تکمیل و تأیید مالک</x:v>
      </x:c>
      <x:c r="AD5" s="30" t="str">
        <x:v>نیازمند تکمیل و تأیید مالک</x:v>
      </x:c>
      <x:c r="AE5" s="30" t="str">
        <x:v>سیاست SHA-256 + E.164 و ممنوعیت ذخیره PII خام تصویب شد</x:v>
      </x:c>
      <x:c r="AF5" s="30" t="str"/>
      <x:c r="AG5" s="30" t="str"/>
      <x:c r="AH5" s="30" t="str"/>
    </x:row>
    <x:row r="6">
      <x:c r="A6" s="17" t="inlineStr">
        <x:is>
          <x:t xml:space="preserve">TK-005</x:t>
        </x:is>
      </x:c>
      <x:c r="B6" s="4" t="inlineStr">
        <x:is>
          <x:t xml:space="preserve">راه‌اندازی UTM Builder و الزام تگ‌گذاری</x:t>
        </x:is>
      </x:c>
      <x:c r="C6" s="4" t="inlineStr">
        <x:is>
          <x:t xml:space="preserve">Deploy UTM Builder &amp; Enforced Tagging</x:t>
        </x:is>
      </x:c>
      <x:c r="D6" s="4" t="inlineStr">
        <x:is>
          <x:t xml:space="preserve">Process</x:t>
        </x:is>
      </x:c>
      <x:c r="E6" s="4" t="inlineStr">
        <x:is>
          <x:t xml:space="preserve">KPI-78</x:t>
        </x:is>
      </x:c>
      <x:c r="F6" s="17" t="inlineStr">
        <x:is>
          <x:t xml:space="preserve">W0</x:t>
        </x:is>
      </x:c>
      <x:c r="G6" s="4" t="inlineStr">
        <x:is>
          <x:t xml:space="preserve">S1</x:t>
        </x:is>
      </x:c>
      <x:c r="H6" s="17" t="inlineStr">
        <x:is>
          <x:t xml:space="preserve">Critical</x:t>
        </x:is>
      </x:c>
      <x:c r="I6" s="4" t="inlineStr">
        <x:is>
          <x:t xml:space="preserve">Performance Marketing Lead</x:t>
        </x:is>
      </x:c>
      <x:c r="J6" s="17" t="n">
        <x:v>4</x:v>
      </x:c>
      <x:c r="K6" s="17" t="n">
        <x:v>2</x:v>
      </x:c>
      <x:c r="L6" s="18" t="n">
        <x:f>J6*2-K6</x:f>
        <x:v>6</x:v>
      </x:c>
      <x:c r="M6" s="4" t="inlineStr">
        <x:is>
          <x:t xml:space="preserve">TK-001</x:t>
        </x:is>
      </x:c>
      <x:c r="N6" s="4" t="inlineStr">
        <x:is>
          <x:t xml:space="preserve">مسدودسازی لینک دستی + ابزار تولید لینک با اعتبارسنجی خودکار</x:t>
        </x:is>
      </x:c>
      <x:c r="O6" s="17" t="inlineStr">
        <x:is>
          <x:t xml:space="preserve">Proposed</x:t>
        </x:is>
      </x:c>
      <x:c r="P6" s="4" t="inlineStr">
        <x:is>
          <x:t xml:space="preserve">UTM-Comp% ≥ 98</x:t>
        </x:is>
      </x:c>
      <x:c r="Q6" s="30" t="str">
        <x:v>TK-005</x:v>
      </x:c>
      <x:c r="R6" s="30" t="str"/>
      <x:c r="S6" s="30" t="str">
        <x:v>Process</x:v>
      </x:c>
      <x:c r="T6" s="30" t="str">
        <x:v>KPI-78</x:v>
      </x:c>
      <x:c r="U6" s="30" t="str">
        <x:v>راه‌اندازی UTM Builder و الزام تگ‌گذاری</x:v>
      </x:c>
      <x:c r="V6" s="30" t="str">
        <x:v>Pending dependency review</x:v>
      </x:c>
      <x:c r="W6" s="30" t="str">
        <x:v>نیازمند تکمیل و تأیید مالک</x:v>
      </x:c>
      <x:c r="X6" s="30" t="str">
        <x:v>نیازمند تکمیل و تأیید مالک</x:v>
      </x:c>
      <x:c r="Y6" s="30" t="str">
        <x:v>Performance Marketing Lead</x:v>
      </x:c>
      <x:c r="Z6" s="30" t="n">
        <x:v>3</x:v>
      </x:c>
      <x:c r="AA6" s="30" t="n">
        <x:v>5</x:v>
      </x:c>
      <x:c r="AB6" s="30" t="str">
        <x:v>مسدودسازی لینک دستی + ابزار تولید لینک با اعتبارسنجی خودکار</x:v>
      </x:c>
      <x:c r="AC6" s="30" t="str">
        <x:v>نیازمند تکمیل و تأیید مالک</x:v>
      </x:c>
      <x:c r="AD6" s="30" t="str">
        <x:v>نیازمند تکمیل و تأیید مالک</x:v>
      </x:c>
      <x:c r="AE6" s="30" t="str">
        <x:v>مسدودسازی لینک دستی + ابزار تولید لینک با اعتبارسنجی خودکار</x:v>
      </x:c>
      <x:c r="AF6" s="30" t="str"/>
      <x:c r="AG6" s="30" t="str">
        <x:v>KPI-78</x:v>
      </x:c>
      <x:c r="AH6" s="30" t="str"/>
    </x:row>
    <x:row r="7">
      <x:c r="A7" s="19" t="inlineStr">
        <x:is>
          <x:t xml:space="preserve">TK-006</x:t>
        </x:is>
      </x:c>
      <x:c r="B7" s="6" t="inlineStr">
        <x:is>
          <x:t xml:space="preserve">گزارش‌برداری و بررسی دسترسی ۱۳ سرچشمه داده</x:t>
        </x:is>
      </x:c>
      <x:c r="C7" s="6" t="inlineStr">
        <x:is>
          <x:t xml:space="preserve">Audit 13 Data Sources &amp; Access Inventory</x:t>
        </x:is>
      </x:c>
      <x:c r="D7" s="6" t="inlineStr">
        <x:is>
          <x:t xml:space="preserve">Data</x:t>
        </x:is>
      </x:c>
      <x:c r="E7" s="6" t="inlineStr">
        <x:is>
          <x:t xml:space="preserve">SRC-01..13</x:t>
        </x:is>
      </x:c>
      <x:c r="F7" s="19" t="inlineStr">
        <x:is>
          <x:t xml:space="preserve">W0</x:t>
        </x:is>
      </x:c>
      <x:c r="G7" s="6" t="inlineStr">
        <x:is>
          <x:t xml:space="preserve">S1</x:t>
        </x:is>
      </x:c>
      <x:c r="H7" s="19" t="inlineStr">
        <x:is>
          <x:t xml:space="preserve">High</x:t>
        </x:is>
      </x:c>
      <x:c r="I7" s="6" t="inlineStr">
        <x:is>
          <x:t xml:space="preserve">Senior Data Engineer</x:t>
        </x:is>
      </x:c>
      <x:c r="J7" s="19" t="n">
        <x:v>4</x:v>
      </x:c>
      <x:c r="K7" s="19" t="n">
        <x:v>2</x:v>
      </x:c>
      <x:c r="L7" s="18" t="n">
        <x:f>J7*2-K7</x:f>
        <x:v>6</x:v>
      </x:c>
      <x:c r="M7" s="6" t="inlineStr">
        <x:is>
          <x:t xml:space="preserve">—</x:t>
        </x:is>
      </x:c>
      <x:c r="N7" s="6" t="inlineStr">
        <x:is>
          <x:t xml:space="preserve">فرم وضعیت دسترسی هر ۱۳ منبع پر شده و لیست مدارک لازم به مدیریت داده شد</x:t>
        </x:is>
      </x:c>
      <x:c r="O7" s="19" t="inlineStr">
        <x:is>
          <x:t xml:space="preserve">Proposed</x:t>
        </x:is>
      </x:c>
      <x:c r="P7" s="6" t="inlineStr">
        <x:is>
          <x:t xml:space="preserve">طبق قاعده: بدون مدرک فرض وجود نمی‌شود</x:t>
        </x:is>
      </x:c>
      <x:c r="Q7" s="30" t="str">
        <x:v>TK-006</x:v>
      </x:c>
      <x:c r="R7" s="30" t="str"/>
      <x:c r="S7" s="30" t="str">
        <x:v>Data</x:v>
      </x:c>
      <x:c r="T7" s="30" t="str">
        <x:v>SRC-01..13</x:v>
      </x:c>
      <x:c r="U7" s="30" t="str">
        <x:v>گزارش‌برداری و بررسی دسترسی ۱۳ سرچشمه داده</x:v>
      </x:c>
      <x:c r="V7" s="30" t="str">
        <x:v>Pending dependency review</x:v>
      </x:c>
      <x:c r="W7" s="30" t="str">
        <x:v>نیازمند تکمیل و تأیید مالک</x:v>
      </x:c>
      <x:c r="X7" s="30" t="str">
        <x:v>نیازمند تکمیل و تأیید مالک</x:v>
      </x:c>
      <x:c r="Y7" s="30" t="str">
        <x:v>Senior Data Engineer</x:v>
      </x:c>
      <x:c r="Z7" s="30" t="n">
        <x:v>3</x:v>
      </x:c>
      <x:c r="AA7" s="30" t="n">
        <x:v>6</x:v>
      </x:c>
      <x:c r="AB7" s="30" t="str">
        <x:v>فرم وضعیت دسترسی هر ۱۳ منبع پر شده و لیست مدارک لازم به مدیریت داده شد</x:v>
      </x:c>
      <x:c r="AC7" s="30" t="str">
        <x:v>نیازمند تکمیل و تأیید مالک</x:v>
      </x:c>
      <x:c r="AD7" s="30" t="str">
        <x:v>نیازمند تکمیل و تأیید مالک</x:v>
      </x:c>
      <x:c r="AE7" s="30" t="str">
        <x:v>فرم وضعیت دسترسی هر ۱۳ منبع پر شده و لیست مدارک لازم به مدیریت داده شد</x:v>
      </x:c>
      <x:c r="AF7" s="30" t="str"/>
      <x:c r="AG7" s="30" t="str"/>
      <x:c r="AH7" s="30" t="str"/>
    </x:row>
    <x:row r="8">
      <x:c r="A8" s="17" t="inlineStr">
        <x:is>
          <x:t xml:space="preserve">TK-007</x:t>
        </x:is>
      </x:c>
      <x:c r="B8" s="4" t="inlineStr">
        <x:is>
          <x:t xml:space="preserve">ممیزی پایانه وضعیت ترکینگ فعلی (GA4/GTM/Clarity)</x:t>
        </x:is>
      </x:c>
      <x:c r="C8" s="4" t="inlineStr">
        <x:is>
          <x:t xml:space="preserve">Baseline Audit of Current Tracking (GA4/GTM/Clarity)</x:t>
        </x:is>
      </x:c>
      <x:c r="D8" s="4" t="inlineStr">
        <x:is>
          <x:t xml:space="preserve">Audit</x:t>
        </x:is>
      </x:c>
      <x:c r="E8" s="4" t="inlineStr">
        <x:is>
          <x:t xml:space="preserve">F1..F12</x:t>
        </x:is>
      </x:c>
      <x:c r="F8" s="17" t="inlineStr">
        <x:is>
          <x:t xml:space="preserve">W0</x:t>
        </x:is>
      </x:c>
      <x:c r="G8" s="4" t="inlineStr">
        <x:is>
          <x:t xml:space="preserve">S1</x:t>
        </x:is>
      </x:c>
      <x:c r="H8" s="17" t="inlineStr">
        <x:is>
          <x:t xml:space="preserve">High</x:t>
        </x:is>
      </x:c>
      <x:c r="I8" s="4" t="inlineStr">
        <x:is>
          <x:t xml:space="preserve">Performance Marketing Lead</x:t>
        </x:is>
      </x:c>
      <x:c r="J8" s="17" t="n">
        <x:v>4</x:v>
      </x:c>
      <x:c r="K8" s="17" t="n">
        <x:v>3</x:v>
      </x:c>
      <x:c r="L8" s="18" t="n">
        <x:f>J8*2-K8</x:f>
        <x:v>5</x:v>
      </x:c>
      <x:c r="M8" s="4" t="inlineStr">
        <x:is>
          <x:t xml:space="preserve">—</x:t>
        </x:is>
      </x:c>
      <x:c r="N8" s="4" t="inlineStr">
        <x:is>
          <x:t xml:space="preserve">گزارش ممیزی با وضعیت هر ۱۲ یافته (F1-F12) و اقدامات اصلاحی</x:t>
        </x:is>
      </x:c>
      <x:c r="O8" s="17" t="inlineStr">
        <x:is>
          <x:t xml:space="preserve">Proposed</x:t>
        </x:is>
      </x:c>
      <x:c r="P8" s="4" t="inlineStr">
        <x:is>
          <x:t xml:space="preserve">GTM/GA4 «فعال ولی کیفیت مجهول» — نیاز به سنجش</x:t>
        </x:is>
      </x:c>
      <x:c r="Q8" s="30" t="str">
        <x:v>TK-007</x:v>
      </x:c>
      <x:c r="R8" s="30" t="str"/>
      <x:c r="S8" s="30" t="str">
        <x:v>Audit</x:v>
      </x:c>
      <x:c r="T8" s="30" t="str">
        <x:v>F1..F12</x:v>
      </x:c>
      <x:c r="U8" s="30" t="str">
        <x:v>ممیزی پایانه وضعیت ترکینگ فعلی (GA4/GTM/Clarity)</x:v>
      </x:c>
      <x:c r="V8" s="30" t="str">
        <x:v>Pending dependency review</x:v>
      </x:c>
      <x:c r="W8" s="30" t="str">
        <x:v>نیازمند تکمیل و تأیید مالک</x:v>
      </x:c>
      <x:c r="X8" s="30" t="str">
        <x:v>نیازمند تکمیل و تأیید مالک</x:v>
      </x:c>
      <x:c r="Y8" s="30" t="str">
        <x:v>Performance Marketing Lead</x:v>
      </x:c>
      <x:c r="Z8" s="30" t="n">
        <x:v>3</x:v>
      </x:c>
      <x:c r="AA8" s="30" t="n">
        <x:v>7</x:v>
      </x:c>
      <x:c r="AB8" s="30" t="str">
        <x:v>گزارش ممیزی با وضعیت هر ۱۲ یافته (F1-F12) و اقدامات اصلاحی</x:v>
      </x:c>
      <x:c r="AC8" s="30" t="str">
        <x:v>نیازمند تکمیل و تأیید مالک</x:v>
      </x:c>
      <x:c r="AD8" s="30" t="str">
        <x:v>نیازمند تکمیل و تأیید مالک</x:v>
      </x:c>
      <x:c r="AE8" s="30" t="str">
        <x:v>گزارش ممیزی با وضعیت هر ۱۲ یافته (F1-F12) و اقدامات اصلاحی</x:v>
      </x:c>
      <x:c r="AF8" s="30" t="str"/>
      <x:c r="AG8" s="30" t="str"/>
      <x:c r="AH8" s="30" t="str"/>
    </x:row>
    <x:row r="9">
      <x:c r="A9" s="19" t="inlineStr">
        <x:is>
          <x:t xml:space="preserve">TK-008</x:t>
        </x:is>
      </x:c>
      <x:c r="B9" s="6" t="inlineStr">
        <x:is>
          <x:t xml:space="preserve">برنامه‌ریزی زیرساخت سرور ترکینگ و انبار داده</x:t>
        </x:is>
      </x:c>
      <x:c r="C9" s="6" t="inlineStr">
        <x:is>
          <x:t xml:space="preserve">Provision Tracking Server &amp; DWH Infrastructure</x:t>
        </x:is>
      </x:c>
      <x:c r="D9" s="6" t="inlineStr">
        <x:is>
          <x:t xml:space="preserve">Infrastructure</x:t>
        </x:is>
      </x:c>
      <x:c r="E9" s="6" t="inlineStr">
        <x:is>
          <x:t xml:space="preserve">P-01, P-03</x:t>
        </x:is>
      </x:c>
      <x:c r="F9" s="19" t="inlineStr">
        <x:is>
          <x:t xml:space="preserve">W1</x:t>
        </x:is>
      </x:c>
      <x:c r="G9" s="6" t="inlineStr">
        <x:is>
          <x:t xml:space="preserve">S1</x:t>
        </x:is>
      </x:c>
      <x:c r="H9" s="19" t="inlineStr">
        <x:is>
          <x:t xml:space="preserve">Critical</x:t>
        </x:is>
      </x:c>
      <x:c r="I9" s="6" t="inlineStr">
        <x:is>
          <x:t xml:space="preserve">DevOps/Web Engineer</x:t>
        </x:is>
      </x:c>
      <x:c r="J9" s="19" t="n">
        <x:v>5</x:v>
      </x:c>
      <x:c r="K9" s="19" t="n">
        <x:v>3</x:v>
      </x:c>
      <x:c r="L9" s="18" t="n">
        <x:f>J9*2-K9</x:f>
        <x:v>7</x:v>
      </x:c>
      <x:c r="M9" s="6" t="inlineStr">
        <x:is>
          <x:t xml:space="preserve">TK-006</x:t>
        </x:is>
      </x:c>
      <x:c r="N9" s="6" t="inlineStr">
        <x:is>
          <x:t xml:space="preserve">سرور کلود داخل/خارج با دسترسی امن + کانتینر GTM سرورساید آماده</x:t>
        </x:is>
      </x:c>
      <x:c r="O9" s="19" t="inlineStr">
        <x:is>
          <x:t xml:space="preserve">Proposed</x:t>
        </x:is>
      </x:c>
      <x:c r="P9" s="6" t="inlineStr">
        <x:is>
          <x:t xml:space="preserve">ریسک فیلترینگ متا: پروکسی معکوس امن</x:t>
        </x:is>
      </x:c>
      <x:c r="Q9" s="30" t="str">
        <x:v>TK-008</x:v>
      </x:c>
      <x:c r="R9" s="30" t="str"/>
      <x:c r="S9" s="30" t="str">
        <x:v>Infrastructure</x:v>
      </x:c>
      <x:c r="T9" s="30" t="str">
        <x:v>P-01, P-03</x:v>
      </x:c>
      <x:c r="U9" s="30" t="str">
        <x:v>برنامه‌ریزی زیرساخت سرور ترکینگ و انبار داده</x:v>
      </x:c>
      <x:c r="V9" s="30" t="str">
        <x:v>Pending dependency review</x:v>
      </x:c>
      <x:c r="W9" s="30" t="str">
        <x:v>نیازمند تکمیل و تأیید مالک</x:v>
      </x:c>
      <x:c r="X9" s="30" t="str">
        <x:v>نیازمند تکمیل و تأیید مالک</x:v>
      </x:c>
      <x:c r="Y9" s="30" t="str">
        <x:v>DevOps/Web Engineer</x:v>
      </x:c>
      <x:c r="Z9" s="30" t="n">
        <x:v>7</x:v>
      </x:c>
      <x:c r="AA9" s="30" t="n">
        <x:v>8</x:v>
      </x:c>
      <x:c r="AB9" s="30" t="str">
        <x:v>سرور کلود داخل/خارج با دسترسی امن + کانتینر GTM سرورساید آماده</x:v>
      </x:c>
      <x:c r="AC9" s="30" t="str">
        <x:v>نیازمند تکمیل و تأیید مالک</x:v>
      </x:c>
      <x:c r="AD9" s="30" t="str">
        <x:v>نیازمند تکمیل و تأیید مالک</x:v>
      </x:c>
      <x:c r="AE9" s="30" t="str">
        <x:v>سرور کلود داخل/خارج با دسترسی امن + کانتینر GTM سرورساید آماده</x:v>
      </x:c>
      <x:c r="AF9" s="30" t="str"/>
      <x:c r="AG9" s="30" t="str"/>
      <x:c r="AH9" s="30" t="str"/>
    </x:row>
    <x:row r="10">
      <x:c r="A10" s="17" t="inlineStr">
        <x:is>
          <x:t xml:space="preserve">TK-009</x:t>
        </x:is>
      </x:c>
      <x:c r="B10" s="4" t="inlineStr">
        <x:is>
          <x:t xml:space="preserve">طراحی اسکیمای ستاره‌ای DWH (Fact/Dimension)</x:t>
        </x:is>
      </x:c>
      <x:c r="C10" s="4" t="inlineStr">
        <x:is>
          <x:t xml:space="preserve">Design DWH Star Schema (Fact/Dimension)</x:t>
        </x:is>
      </x:c>
      <x:c r="D10" s="4" t="inlineStr">
        <x:is>
          <x:t xml:space="preserve">Data Design</x:t>
        </x:is>
      </x:c>
      <x:c r="E10" s="4" t="inlineStr">
        <x:is>
          <x:t xml:space="preserve">DWH</x:t>
        </x:is>
      </x:c>
      <x:c r="F10" s="17" t="inlineStr">
        <x:is>
          <x:t xml:space="preserve">W1</x:t>
        </x:is>
      </x:c>
      <x:c r="G10" s="4" t="inlineStr">
        <x:is>
          <x:t xml:space="preserve">S1</x:t>
        </x:is>
      </x:c>
      <x:c r="H10" s="17" t="inlineStr">
        <x:is>
          <x:t xml:space="preserve">Critical</x:t>
        </x:is>
      </x:c>
      <x:c r="I10" s="4" t="inlineStr">
        <x:is>
          <x:t xml:space="preserve">Senior Data Engineer</x:t>
        </x:is>
      </x:c>
      <x:c r="J10" s="17" t="n">
        <x:v>5</x:v>
      </x:c>
      <x:c r="K10" s="17" t="n">
        <x:v>4</x:v>
      </x:c>
      <x:c r="L10" s="18" t="n">
        <x:f>J10*2-K10</x:f>
        <x:v>6</x:v>
      </x:c>
      <x:c r="M10" s="4" t="inlineStr">
        <x:is>
          <x:t xml:space="preserve">TK-008</x:t>
        </x:is>
      </x:c>
      <x:c r="N10" s="4" t="inlineStr">
        <x:is>
          <x:t xml:space="preserve">مدل ۱۳ فکت/دایمنشن اصلی با داکیومنت و تایید آرکی‌تکت</x:t>
        </x:is>
      </x:c>
      <x:c r="O10" s="17" t="inlineStr">
        <x:is>
          <x:t xml:space="preserve">Proposed</x:t>
        </x:is>
      </x:c>
      <x:c r="P10" s="4" t="inlineStr">
        <x:is>
          <x:t xml:space="preserve">پایه ۲۹ موجودیت</x:t>
        </x:is>
      </x:c>
      <x:c r="Q10" s="30" t="str">
        <x:v>TK-009</x:v>
      </x:c>
      <x:c r="R10" s="30" t="str"/>
      <x:c r="S10" s="30" t="str">
        <x:v>Data Design</x:v>
      </x:c>
      <x:c r="T10" s="30" t="str">
        <x:v>DWH</x:v>
      </x:c>
      <x:c r="U10" s="30" t="str">
        <x:v>طراحی اسکیمای ستاره‌ای DWH (Fact/Dimension)</x:v>
      </x:c>
      <x:c r="V10" s="30" t="str">
        <x:v>Pending dependency review</x:v>
      </x:c>
      <x:c r="W10" s="30" t="str">
        <x:v>نیازمند تکمیل و تأیید مالک</x:v>
      </x:c>
      <x:c r="X10" s="30" t="str">
        <x:v>نیازمند تکمیل و تأیید مالک</x:v>
      </x:c>
      <x:c r="Y10" s="30" t="str">
        <x:v>Senior Data Engineer</x:v>
      </x:c>
      <x:c r="Z10" s="30" t="n">
        <x:v>7</x:v>
      </x:c>
      <x:c r="AA10" s="30" t="n">
        <x:v>9</x:v>
      </x:c>
      <x:c r="AB10" s="30" t="str">
        <x:v>مدل ۱۳ فکت/دایمنشن اصلی با داکیومنت و تایید آرکی‌تکت</x:v>
      </x:c>
      <x:c r="AC10" s="30" t="str">
        <x:v>نیازمند تکمیل و تأیید مالک</x:v>
      </x:c>
      <x:c r="AD10" s="30" t="str">
        <x:v>نیازمند تکمیل و تأیید مالک</x:v>
      </x:c>
      <x:c r="AE10" s="30" t="str">
        <x:v>مدل ۱۳ فکت/دایمنشن اصلی با داکیومنت و تایید آرکی‌تکت</x:v>
      </x:c>
      <x:c r="AF10" s="30" t="str"/>
      <x:c r="AG10" s="30" t="str"/>
      <x:c r="AH10" s="30" t="str"/>
    </x:row>
    <x:row r="11">
      <x:c r="A11" s="19" t="inlineStr">
        <x:is>
          <x:t xml:space="preserve">TK-010</x:t>
        </x:is>
      </x:c>
      <x:c r="B11" s="6" t="inlineStr">
        <x:is>
          <x:t xml:space="preserve">پیاده‌سازی موتور هویت یکپارچه مشتری (Master ID)</x:t>
        </x:is>
      </x:c>
      <x:c r="C11" s="6" t="inlineStr">
        <x:is>
          <x:t xml:space="preserve">Implement Customer Identity Resolution (Master ID)</x:t>
        </x:is>
      </x:c>
      <x:c r="D11" s="6" t="inlineStr">
        <x:is>
          <x:t xml:space="preserve">Data</x:t>
        </x:is>
      </x:c>
      <x:c r="E11" s="6" t="inlineStr">
        <x:is>
          <x:t xml:space="preserve">P-04, FLD master_customer_id</x:t>
        </x:is>
      </x:c>
      <x:c r="F11" s="19" t="inlineStr">
        <x:is>
          <x:t xml:space="preserve">W1</x:t>
        </x:is>
      </x:c>
      <x:c r="G11" s="6" t="inlineStr">
        <x:is>
          <x:t xml:space="preserve">S1</x:t>
        </x:is>
      </x:c>
      <x:c r="H11" s="19" t="inlineStr">
        <x:is>
          <x:t xml:space="preserve">Critical</x:t>
        </x:is>
      </x:c>
      <x:c r="I11" s="6" t="inlineStr">
        <x:is>
          <x:t xml:space="preserve">Senior Data Engineer</x:t>
        </x:is>
      </x:c>
      <x:c r="J11" s="19" t="n">
        <x:v>5</x:v>
      </x:c>
      <x:c r="K11" s="19" t="n">
        <x:v>4</x:v>
      </x:c>
      <x:c r="L11" s="18" t="n">
        <x:f>J11*2-K11</x:f>
        <x:v>6</x:v>
      </x:c>
      <x:c r="M11" s="6" t="inlineStr">
        <x:is>
          <x:t xml:space="preserve">TK-008</x:t>
        </x:is>
      </x:c>
      <x:c r="N11" s="6" t="inlineStr">
        <x:is>
          <x:t xml:space="preserve">master_customer_id برای 100٪ رکوردهای فعال + join وب/CRM/تماس</x:t>
        </x:is>
      </x:c>
      <x:c r="O11" s="19" t="inlineStr">
        <x:is>
          <x:t xml:space="preserve">Proposed</x:t>
        </x:is>
      </x:c>
      <x:c r="P11" s="6" t="inlineStr">
        <x:is>
          <x:t xml:space="preserve">پیش‌نیاز اتصال آنلاین-آفلاین</x:t>
        </x:is>
      </x:c>
      <x:c r="Q11" s="30" t="str">
        <x:v>TK-010</x:v>
      </x:c>
      <x:c r="R11" s="30" t="str"/>
      <x:c r="S11" s="30" t="str">
        <x:v>Data</x:v>
      </x:c>
      <x:c r="T11" s="30" t="str">
        <x:v>P-04, FLD master_customer_id</x:v>
      </x:c>
      <x:c r="U11" s="30" t="str">
        <x:v>پیاده‌سازی موتور هویت یکپارچه مشتری (Master ID)</x:v>
      </x:c>
      <x:c r="V11" s="30" t="str">
        <x:v>Pending dependency review</x:v>
      </x:c>
      <x:c r="W11" s="30" t="str">
        <x:v>نیازمند تکمیل و تأیید مالک</x:v>
      </x:c>
      <x:c r="X11" s="30" t="str">
        <x:v>نیازمند تکمیل و تأیید مالک</x:v>
      </x:c>
      <x:c r="Y11" s="30" t="str">
        <x:v>Senior Data Engineer</x:v>
      </x:c>
      <x:c r="Z11" s="30" t="n">
        <x:v>7</x:v>
      </x:c>
      <x:c r="AA11" s="30" t="n">
        <x:v>10</x:v>
      </x:c>
      <x:c r="AB11" s="30" t="str">
        <x:v>master_customer_id برای 100٪ رکوردهای فعال + join وب/CRM/تماس</x:v>
      </x:c>
      <x:c r="AC11" s="30" t="str">
        <x:v>نیازمند تکمیل و تأیید مالک</x:v>
      </x:c>
      <x:c r="AD11" s="30" t="str">
        <x:v>نیازمند تکمیل و تأیید مالک</x:v>
      </x:c>
      <x:c r="AE11" s="30" t="str">
        <x:v>master_customer_id برای 100٪ رکوردهای فعال + join وب/CRM/تماس</x:v>
      </x:c>
      <x:c r="AF11" s="30" t="str"/>
      <x:c r="AG11" s="30" t="str"/>
      <x:c r="AH11" s="30" t="str"/>
    </x:row>
    <x:row r="12">
      <x:c r="A12" s="17" t="inlineStr">
        <x:is>
          <x:t xml:space="preserve">TK-011</x:t>
        </x:is>
      </x:c>
      <x:c r="B12" s="4" t="inlineStr">
        <x:is>
          <x:t xml:space="preserve">تعبیه ماژول هشینگ SHA-256 (E.164)</x:t>
        </x:is>
      </x:c>
      <x:c r="C12" s="4" t="inlineStr">
        <x:is>
          <x:t xml:space="preserve">Implement SHA-256 Hashing Module (E.164)</x:t>
        </x:is>
      </x:c>
      <x:c r="D12" s="4" t="inlineStr">
        <x:is>
          <x:t xml:space="preserve">Security</x:t>
        </x:is>
      </x:c>
      <x:c r="E12" s="4" t="inlineStr">
        <x:is>
          <x:t xml:space="preserve">FLD hashed_phone_number, KPI-65</x:t>
        </x:is>
      </x:c>
      <x:c r="F12" s="17" t="inlineStr">
        <x:is>
          <x:t xml:space="preserve">W1</x:t>
        </x:is>
      </x:c>
      <x:c r="G12" s="4" t="inlineStr">
        <x:is>
          <x:t xml:space="preserve">S1</x:t>
        </x:is>
      </x:c>
      <x:c r="H12" s="17" t="inlineStr">
        <x:is>
          <x:t xml:space="preserve">Critical</x:t>
        </x:is>
      </x:c>
      <x:c r="I12" s="4" t="inlineStr">
        <x:is>
          <x:t xml:space="preserve">Security &amp; Governance</x:t>
        </x:is>
      </x:c>
      <x:c r="J12" s="17" t="n">
        <x:v>4</x:v>
      </x:c>
      <x:c r="K12" s="17" t="n">
        <x:v>2</x:v>
      </x:c>
      <x:c r="L12" s="18" t="n">
        <x:f>J12*2-K12</x:f>
        <x:v>6</x:v>
      </x:c>
      <x:c r="M12" s="4" t="inlineStr">
        <x:is>
          <x:t xml:space="preserve">TK-010</x:t>
        </x:is>
      </x:c>
      <x:c r="N12" s="4" t="inlineStr">
        <x:is>
          <x:t xml:space="preserve">پارامترهای ph/email فقط به‌صورت هش‌شده ارسال می‌شوند؛ تست TST-19</x:t>
        </x:is>
      </x:c>
      <x:c r="O12" s="17" t="inlineStr">
        <x:is>
          <x:t xml:space="preserve">Proposed</x:t>
        </x:is>
      </x:c>
      <x:c r="P12" s="4" t="inlineStr">
        <x:is>
          <x:t xml:space="preserve">پیش‌نیاز CAPI/EC با EMQ بالا</x:t>
        </x:is>
      </x:c>
      <x:c r="Q12" s="30" t="str">
        <x:v>TK-011</x:v>
      </x:c>
      <x:c r="R12" s="30" t="str"/>
      <x:c r="S12" s="30" t="str">
        <x:v>Security</x:v>
      </x:c>
      <x:c r="T12" s="30" t="str">
        <x:v>FLD hashed_phone_number, KPI-65</x:v>
      </x:c>
      <x:c r="U12" s="30" t="str">
        <x:v>تعبیه ماژول هشینگ SHA-256 (E.164)</x:v>
      </x:c>
      <x:c r="V12" s="30" t="str">
        <x:v>Pending dependency review</x:v>
      </x:c>
      <x:c r="W12" s="30" t="str">
        <x:v>نیازمند تکمیل و تأیید مالک</x:v>
      </x:c>
      <x:c r="X12" s="30" t="str">
        <x:v>نیازمند تکمیل و تأیید مالک</x:v>
      </x:c>
      <x:c r="Y12" s="30" t="str">
        <x:v>Security &amp; Governance</x:v>
      </x:c>
      <x:c r="Z12" s="30" t="n">
        <x:v>7</x:v>
      </x:c>
      <x:c r="AA12" s="30" t="n">
        <x:v>11</x:v>
      </x:c>
      <x:c r="AB12" s="30" t="str">
        <x:v>پارامترهای ph/email فقط به‌صورت هش‌شده ارسال می‌شوند؛ تست TST-19</x:v>
      </x:c>
      <x:c r="AC12" s="30" t="str">
        <x:v>نیازمند تکمیل و تأیید مالک</x:v>
      </x:c>
      <x:c r="AD12" s="30" t="str">
        <x:v>نیازمند تکمیل و تأیید مالک</x:v>
      </x:c>
      <x:c r="AE12" s="30" t="str">
        <x:v>پارامترهای ph/email فقط به‌صورت هش‌شده ارسال می‌شوند؛ تست TST-19</x:v>
      </x:c>
      <x:c r="AF12" s="30" t="str"/>
      <x:c r="AG12" s="30" t="str">
        <x:v>FLD hashed_phone_number, KPI-65</x:v>
      </x:c>
      <x:c r="AH12" s="30" t="str"/>
    </x:row>
    <x:row r="13">
      <x:c r="A13" s="19" t="inlineStr">
        <x:is>
          <x:t xml:space="preserve">TK-012</x:t>
        </x:is>
      </x:c>
      <x:c r="B13" s="6" t="inlineStr">
        <x:is>
          <x:t xml:space="preserve">تدوین قرارداد فنی ۲۹ موجودیت داده (Schema + DQ rules)</x:t>
        </x:is>
      </x:c>
      <x:c r="C13" s="6" t="inlineStr">
        <x:is>
          <x:t xml:space="preserve">Define 29-Entity Data Contracts (Schema + DQ Rules)</x:t>
        </x:is>
      </x:c>
      <x:c r="D13" s="6" t="inlineStr">
        <x:is>
          <x:t xml:space="preserve">Data Design</x:t>
        </x:is>
      </x:c>
      <x:c r="E13" s="6" t="inlineStr">
        <x:is>
          <x:t xml:space="preserve">127 FLD</x:t>
        </x:is>
      </x:c>
      <x:c r="F13" s="19" t="inlineStr">
        <x:is>
          <x:t xml:space="preserve">W1</x:t>
        </x:is>
      </x:c>
      <x:c r="G13" s="6" t="inlineStr">
        <x:is>
          <x:t xml:space="preserve">S1</x:t>
        </x:is>
      </x:c>
      <x:c r="H13" s="19" t="inlineStr">
        <x:is>
          <x:t xml:space="preserve">High</x:t>
        </x:is>
      </x:c>
      <x:c r="I13" s="6" t="inlineStr">
        <x:is>
          <x:t xml:space="preserve">Senior Data Engineer</x:t>
        </x:is>
      </x:c>
      <x:c r="J13" s="19" t="n">
        <x:v>4</x:v>
      </x:c>
      <x:c r="K13" s="19" t="n">
        <x:v>3</x:v>
      </x:c>
      <x:c r="L13" s="18" t="n">
        <x:f>J13*2-K13</x:f>
        <x:v>5</x:v>
      </x:c>
      <x:c r="M13" s="6" t="inlineStr">
        <x:is>
          <x:t xml:space="preserve">TK-009</x:t>
        </x:is>
      </x:c>
      <x:c r="N13" s="6" t="inlineStr">
        <x:is>
          <x:t xml:space="preserve">برای هر ۱۲۷ فیلد: نوع، اجباری، منبع، کلید، DQ rule ثبت شد</x:t>
        </x:is>
      </x:c>
      <x:c r="O13" s="19" t="inlineStr">
        <x:is>
          <x:t xml:space="preserve">Proposed</x:t>
        </x:is>
      </x:c>
      <x:c r="P13" s="6" t="inlineStr">
        <x:is>
          <x:t xml:space="preserve">مبنای لایه W3</x:t>
        </x:is>
      </x:c>
      <x:c r="Q13" s="30" t="str">
        <x:v>TK-012</x:v>
      </x:c>
      <x:c r="R13" s="30" t="str"/>
      <x:c r="S13" s="30" t="str">
        <x:v>Data Design</x:v>
      </x:c>
      <x:c r="T13" s="30" t="str">
        <x:v>127 FLD</x:v>
      </x:c>
      <x:c r="U13" s="30" t="str">
        <x:v>تدوین قرارداد فنی ۲۹ موجودیت داده (Schema + DQ rules)</x:v>
      </x:c>
      <x:c r="V13" s="30" t="str">
        <x:v>Pending dependency review</x:v>
      </x:c>
      <x:c r="W13" s="30" t="str">
        <x:v>نیازمند تکمیل و تأیید مالک</x:v>
      </x:c>
      <x:c r="X13" s="30" t="str">
        <x:v>نیازمند تکمیل و تأیید مالک</x:v>
      </x:c>
      <x:c r="Y13" s="30" t="str">
        <x:v>Senior Data Engineer</x:v>
      </x:c>
      <x:c r="Z13" s="30" t="n">
        <x:v>7</x:v>
      </x:c>
      <x:c r="AA13" s="30" t="n">
        <x:v>12</x:v>
      </x:c>
      <x:c r="AB13" s="30" t="str">
        <x:v>برای هر ۱۲۷ فیلد: نوع، اجباری، منبع، کلید، DQ rule ثبت شد</x:v>
      </x:c>
      <x:c r="AC13" s="30" t="str">
        <x:v>نیازمند تکمیل و تأیید مالک</x:v>
      </x:c>
      <x:c r="AD13" s="30" t="str">
        <x:v>نیازمند تکمیل و تأیید مالک</x:v>
      </x:c>
      <x:c r="AE13" s="30" t="str">
        <x:v>برای هر ۱۲۷ فیلد: نوع، اجباری، منبع، کلید، DQ rule ثبت شد</x:v>
      </x:c>
      <x:c r="AF13" s="30" t="str"/>
      <x:c r="AG13" s="30" t="str"/>
      <x:c r="AH13" s="30" t="str"/>
    </x:row>
    <x:row r="14">
      <x:c r="A14" s="17" t="inlineStr">
        <x:is>
          <x:t xml:space="preserve">TK-013</x:t>
        </x:is>
      </x:c>
      <x:c r="B14" s="4" t="inlineStr">
        <x:is>
          <x:t xml:space="preserve">استقرار Server-Side GTM و اتصال Meta CAPI</x:t>
        </x:is>
      </x:c>
      <x:c r="C14" s="4" t="inlineStr">
        <x:is>
          <x:t xml:space="preserve">Deploy Server-Side GTM &amp; Connect Meta CAPI</x:t>
        </x:is>
      </x:c>
      <x:c r="D14" s="4" t="inlineStr">
        <x:is>
          <x:t xml:space="preserve">Tracking</x:t>
        </x:is>
      </x:c>
      <x:c r="E14" s="4" t="inlineStr">
        <x:is>
          <x:t xml:space="preserve">P-01</x:t>
        </x:is>
      </x:c>
      <x:c r="F14" s="17" t="inlineStr">
        <x:is>
          <x:t xml:space="preserve">W2</x:t>
        </x:is>
      </x:c>
      <x:c r="G14" s="4" t="inlineStr">
        <x:is>
          <x:t xml:space="preserve">S1</x:t>
        </x:is>
      </x:c>
      <x:c r="H14" s="17" t="inlineStr">
        <x:is>
          <x:t xml:space="preserve">Critical</x:t>
        </x:is>
      </x:c>
      <x:c r="I14" s="4" t="inlineStr">
        <x:is>
          <x:t xml:space="preserve">Senior Data Engineer</x:t>
        </x:is>
      </x:c>
      <x:c r="J14" s="17" t="n">
        <x:v>5</x:v>
      </x:c>
      <x:c r="K14" s="17" t="n">
        <x:v>4</x:v>
      </x:c>
      <x:c r="L14" s="18" t="n">
        <x:f>J14*2-K14</x:f>
        <x:v>6</x:v>
      </x:c>
      <x:c r="M14" s="4" t="inlineStr">
        <x:is>
          <x:t xml:space="preserve">TK-008, CRED-01, CRED-02, TK-011</x:t>
        </x:is>
      </x:c>
      <x:c r="N14" s="4" t="inlineStr">
        <x:is>
          <x:t xml:space="preserve">کانتینر sGTM فعال؛ purchase/lead با تطبیق هش‌شده؛ EMQ&gt;8.0 (TST-19)</x:t>
        </x:is>
      </x:c>
      <x:c r="O14" s="17" t="inlineStr">
        <x:is>
          <x:t xml:space="preserve">Proposed</x:t>
        </x:is>
      </x:c>
      <x:c r="P14" s="4" t="inlineStr">
        <x:is>
          <x:t xml:space="preserve">هفته ۱-۲ فاز ۱</x:t>
        </x:is>
      </x:c>
      <x:c r="Q14" s="30" t="str">
        <x:v>TK-013</x:v>
      </x:c>
      <x:c r="R14" s="30" t="str"/>
      <x:c r="S14" s="30" t="str">
        <x:v>Tracking</x:v>
      </x:c>
      <x:c r="T14" s="30" t="str">
        <x:v>P-01</x:v>
      </x:c>
      <x:c r="U14" s="30" t="str">
        <x:v>استقرار Server-Side GTM و اتصال Meta CAPI</x:v>
      </x:c>
      <x:c r="V14" s="30" t="str">
        <x:v>Pending dependency review</x:v>
      </x:c>
      <x:c r="W14" s="30" t="str">
        <x:v>نیازمند تکمیل و تأیید مالک</x:v>
      </x:c>
      <x:c r="X14" s="30" t="str">
        <x:v>نیازمند تکمیل و تأیید مالک</x:v>
      </x:c>
      <x:c r="Y14" s="30" t="str">
        <x:v>Senior Data Engineer</x:v>
      </x:c>
      <x:c r="Z14" s="30" t="n">
        <x:v>7</x:v>
      </x:c>
      <x:c r="AA14" s="30" t="n">
        <x:v>13</x:v>
      </x:c>
      <x:c r="AB14" s="30" t="str">
        <x:v>کانتینر sGTM فعال؛ purchase/lead با تطبیق هش‌شده؛ EMQ&gt;8.0 (TST-19)</x:v>
      </x:c>
      <x:c r="AC14" s="30" t="str">
        <x:v>نیازمند تکمیل و تأیید مالک</x:v>
      </x:c>
      <x:c r="AD14" s="30" t="str">
        <x:v>نیازمند تکمیل و تأیید مالک</x:v>
      </x:c>
      <x:c r="AE14" s="30" t="str">
        <x:v>کانتینر sGTM فعال؛ purchase/lead با تطبیق هش‌شده؛ EMQ&gt;8.0 (TST-19)</x:v>
      </x:c>
      <x:c r="AF14" s="30" t="str"/>
      <x:c r="AG14" s="30" t="str"/>
      <x:c r="AH14" s="30" t="str"/>
    </x:row>
    <x:row r="15">
      <x:c r="A15" s="19" t="inlineStr">
        <x:is>
          <x:t xml:space="preserve">TK-014</x:t>
        </x:is>
      </x:c>
      <x:c r="B15" s="6" t="inlineStr">
        <x:is>
          <x:t xml:space="preserve">اتصال GA4 Measurement Protocol (Server-to-Server)</x:t>
        </x:is>
      </x:c>
      <x:c r="C15" s="6" t="inlineStr">
        <x:is>
          <x:t xml:space="preserve">Connect GA4 Measurement Protocol (S2S)</x:t>
        </x:is>
      </x:c>
      <x:c r="D15" s="6" t="inlineStr">
        <x:is>
          <x:t xml:space="preserve">Tracking</x:t>
        </x:is>
      </x:c>
      <x:c r="E15" s="6" t="inlineStr">
        <x:is>
          <x:t xml:space="preserve">SRC-03</x:t>
        </x:is>
      </x:c>
      <x:c r="F15" s="19" t="inlineStr">
        <x:is>
          <x:t xml:space="preserve">W2</x:t>
        </x:is>
      </x:c>
      <x:c r="G15" s="6" t="inlineStr">
        <x:is>
          <x:t xml:space="preserve">S1</x:t>
        </x:is>
      </x:c>
      <x:c r="H15" s="19" t="inlineStr">
        <x:is>
          <x:t xml:space="preserve">Critical</x:t>
        </x:is>
      </x:c>
      <x:c r="I15" s="6" t="inlineStr">
        <x:is>
          <x:t xml:space="preserve">DevOps/Web Engineer</x:t>
        </x:is>
      </x:c>
      <x:c r="J15" s="19" t="n">
        <x:v>4</x:v>
      </x:c>
      <x:c r="K15" s="19" t="n">
        <x:v>3</x:v>
      </x:c>
      <x:c r="L15" s="18" t="n">
        <x:f>J15*2-K15</x:f>
        <x:v>5</x:v>
      </x:c>
      <x:c r="M15" s="6" t="inlineStr">
        <x:is>
          <x:t xml:space="preserve">TK-008, CRED-03</x:t>
        </x:is>
      </x:c>
      <x:c r="N15" s="6" t="inlineStr">
        <x:is>
          <x:t xml:space="preserve">رویدادهای سرور در GA4/BigQuery ثبت و قابل پایش</x:t>
        </x:is>
      </x:c>
      <x:c r="O15" s="19" t="inlineStr">
        <x:is>
          <x:t xml:space="preserve">Proposed</x:t>
        </x:is>
      </x:c>
      <x:c r="P15" s="6" t="inlineStr">
        <x:is>
          <x:t xml:space="preserve">پوشش AdBlock (TST-20)</x:t>
        </x:is>
      </x:c>
      <x:c r="Q15" s="30" t="str">
        <x:v>TK-014</x:v>
      </x:c>
      <x:c r="R15" s="30" t="str"/>
      <x:c r="S15" s="30" t="str">
        <x:v>Tracking</x:v>
      </x:c>
      <x:c r="T15" s="30" t="str">
        <x:v>SRC-03</x:v>
      </x:c>
      <x:c r="U15" s="30" t="str">
        <x:v>اتصال GA4 Measurement Protocol (Server-to-Server)</x:v>
      </x:c>
      <x:c r="V15" s="30" t="str">
        <x:v>Pending dependency review</x:v>
      </x:c>
      <x:c r="W15" s="30" t="str">
        <x:v>نیازمند تکمیل و تأیید مالک</x:v>
      </x:c>
      <x:c r="X15" s="30" t="str">
        <x:v>نیازمند تکمیل و تأیید مالک</x:v>
      </x:c>
      <x:c r="Y15" s="30" t="str">
        <x:v>DevOps/Web Engineer</x:v>
      </x:c>
      <x:c r="Z15" s="30" t="n">
        <x:v>7</x:v>
      </x:c>
      <x:c r="AA15" s="30" t="n">
        <x:v>14</x:v>
      </x:c>
      <x:c r="AB15" s="30" t="str">
        <x:v>رویدادهای سرور در GA4/BigQuery ثبت و قابل پایش</x:v>
      </x:c>
      <x:c r="AC15" s="30" t="str">
        <x:v>نیازمند تکمیل و تأیید مالک</x:v>
      </x:c>
      <x:c r="AD15" s="30" t="str">
        <x:v>نیازمند تکمیل و تأیید مالک</x:v>
      </x:c>
      <x:c r="AE15" s="30" t="str">
        <x:v>رویدادهای سرور در GA4/BigQuery ثبت و قابل پایش</x:v>
      </x:c>
      <x:c r="AF15" s="30" t="str"/>
      <x:c r="AG15" s="30" t="str"/>
      <x:c r="AH15" s="30" t="str"/>
    </x:row>
    <x:row r="16">
      <x:c r="A16" s="17" t="inlineStr">
        <x:is>
          <x:t xml:space="preserve">TK-015</x:t>
        </x:is>
      </x:c>
      <x:c r="B16" s="4" t="inlineStr">
        <x:is>
          <x:t xml:space="preserve">پیاده‌سازی رویداد page_view (مشاهده صفحه وب‌سایت)</x:t>
        </x:is>
      </x:c>
      <x:c r="C16" s="4" t="inlineStr">
        <x:is>
          <x:t xml:space="preserve">Implement Event page_view</x:t>
        </x:is>
      </x:c>
      <x:c r="D16" s="4" t="inlineStr">
        <x:is>
          <x:t xml:space="preserve">Event</x:t>
        </x:is>
      </x:c>
      <x:c r="E16" s="4" t="inlineStr">
        <x:is>
          <x:t xml:space="preserve">EVT-01</x:t>
        </x:is>
      </x:c>
      <x:c r="F16" s="17" t="inlineStr">
        <x:is>
          <x:t xml:space="preserve">W2</x:t>
        </x:is>
      </x:c>
      <x:c r="G16" s="4" t="inlineStr">
        <x:is>
          <x:t xml:space="preserve">S1</x:t>
        </x:is>
      </x:c>
      <x:c r="H16" s="17" t="inlineStr">
        <x:is>
          <x:t xml:space="preserve">High</x:t>
        </x:is>
      </x:c>
      <x:c r="I16" s="4" t="inlineStr">
        <x:is>
          <x:t xml:space="preserve">DevOps/Web Engineer</x:t>
        </x:is>
      </x:c>
      <x:c r="J16" s="17" t="n">
        <x:v>4</x:v>
      </x:c>
      <x:c r="K16" s="17" t="n">
        <x:v>2</x:v>
      </x:c>
      <x:c r="L16" s="18" t="n">
        <x:f>J16*2-K16</x:f>
        <x:v>6</x:v>
      </x:c>
      <x:c r="M16" s="4" t="inlineStr">
        <x:is>
          <x:t xml:space="preserve">TK-013, TK-014</x:t>
        </x:is>
      </x:c>
      <x:c r="N16" s="4" t="inlineStr">
        <x:is>
          <x:t xml:space="preserve">تست گروه TST مربوطه سبز + پارامترها طبق 03_EVENT_PARAMETERS + تطابق ۱۰٪ رویدادها بین کلاینت و BigQuery بدون دوبار شمردن</x:t>
        </x:is>
      </x:c>
      <x:c r="O16" s="17" t="inlineStr">
        <x:is>
          <x:t xml:space="preserve">Proposed</x:t>
        </x:is>
      </x:c>
      <x:c r="P16" s="4" t="inlineStr">
        <x:is>
          <x:t xml:space="preserve">ایونت پیش‌فرض GA4؛ ابعاد سفارشی (device_category, utm_*) الزامی است</x:t>
        </x:is>
      </x:c>
      <x:c r="Q16" s="30" t="str">
        <x:v>TK-015</x:v>
      </x:c>
      <x:c r="R16" s="30" t="str"/>
      <x:c r="S16" s="30" t="str">
        <x:v>Event</x:v>
      </x:c>
      <x:c r="T16" s="30" t="str">
        <x:v>EVT-01</x:v>
      </x:c>
      <x:c r="U16" s="30" t="str">
        <x:v>پیاده‌سازی رویداد page_view (مشاهده صفحه وب‌سایت)</x:v>
      </x:c>
      <x:c r="V16" s="30" t="str">
        <x:v>Pending dependency review</x:v>
      </x:c>
      <x:c r="W16" s="30" t="str">
        <x:v>نیازمند تکمیل و تأیید مالک</x:v>
      </x:c>
      <x:c r="X16" s="30" t="str">
        <x:v>نیازمند تکمیل و تأیید مالک</x:v>
      </x:c>
      <x:c r="Y16" s="30" t="str">
        <x:v>DevOps/Web Engineer</x:v>
      </x:c>
      <x:c r="Z16" s="30" t="n">
        <x:v>7</x:v>
      </x:c>
      <x:c r="AA16" s="30" t="n">
        <x:v>15</x:v>
      </x:c>
      <x:c r="AB16" s="30" t="str">
        <x:v>تست گروه TST مربوطه سبز + پارامترها طبق 03_EVENT_PARAMETERS + تطابق ۱۰٪ رویدادها بین کلاینت و BigQuery بدون دوبار شمردن</x:v>
      </x:c>
      <x:c r="AC16" s="30" t="str">
        <x:v>نیازمند تکمیل و تأیید مالک</x:v>
      </x:c>
      <x:c r="AD16" s="30" t="str">
        <x:v>نیازمند تکمیل و تأیید مالک</x:v>
      </x:c>
      <x:c r="AE16" s="30" t="str">
        <x:v>تست گروه TST مربوطه سبز + پارامترها طبق 03_EVENT_PARAMETERS + تطابق ۱۰٪ رویدادها بین کلاینت و BigQuery بدون دوبار شمردن</x:v>
      </x:c>
      <x:c r="AF16" s="30" t="str">
        <x:v>EVT-01</x:v>
      </x:c>
      <x:c r="AG16" s="30" t="str"/>
      <x:c r="AH16" s="30" t="str"/>
    </x:row>
    <x:row r="17">
      <x:c r="A17" s="19" t="inlineStr">
        <x:is>
          <x:t xml:space="preserve">TK-016</x:t>
        </x:is>
      </x:c>
      <x:c r="B17" s="6" t="inlineStr">
        <x:is>
          <x:t xml:space="preserve">پیاده‌سازی رویداد view_item_list (مشاهده لیست یا دسته‌بندی کالا)</x:t>
        </x:is>
      </x:c>
      <x:c r="C17" s="6" t="inlineStr">
        <x:is>
          <x:t xml:space="preserve">Implement Event view_item_list</x:t>
        </x:is>
      </x:c>
      <x:c r="D17" s="6" t="inlineStr">
        <x:is>
          <x:t xml:space="preserve">Event</x:t>
        </x:is>
      </x:c>
      <x:c r="E17" s="6" t="inlineStr">
        <x:is>
          <x:t xml:space="preserve">EVT-02</x:t>
        </x:is>
      </x:c>
      <x:c r="F17" s="19" t="inlineStr">
        <x:is>
          <x:t xml:space="preserve">W2</x:t>
        </x:is>
      </x:c>
      <x:c r="G17" s="6" t="inlineStr">
        <x:is>
          <x:t xml:space="preserve">S1</x:t>
        </x:is>
      </x:c>
      <x:c r="H17" s="19" t="inlineStr">
        <x:is>
          <x:t xml:space="preserve">Medium</x:t>
        </x:is>
      </x:c>
      <x:c r="I17" s="6" t="inlineStr">
        <x:is>
          <x:t xml:space="preserve">DevOps/Web Engineer</x:t>
        </x:is>
      </x:c>
      <x:c r="J17" s="19" t="n">
        <x:v>4</x:v>
      </x:c>
      <x:c r="K17" s="19" t="n">
        <x:v>2</x:v>
      </x:c>
      <x:c r="L17" s="18" t="n">
        <x:f>J17*2-K17</x:f>
        <x:v>6</x:v>
      </x:c>
      <x:c r="M17" s="6" t="inlineStr">
        <x:is>
          <x:t xml:space="preserve">TK-013, TK-014</x:t>
        </x:is>
      </x:c>
      <x:c r="N17" s="6" t="inlineStr">
        <x:is>
          <x:t xml:space="preserve">تست گروه TST مربوطه سبز + پارامترها طبق 03_EVENT_PARAMETERS + ارسال صحیح آرایه items حداکثر ۲۰ قلم با item_id/price</x:t>
        </x:is>
      </x:c>
      <x:c r="O17" s="19" t="inlineStr">
        <x:is>
          <x:t xml:space="preserve">Proposed</x:t>
        </x:is>
      </x:c>
      <x:c r="P17" s="6" t="inlineStr">
        <x:is>
          <x:t xml:space="preserve">مبنای تحلیل Impression محصولات</x:t>
        </x:is>
      </x:c>
      <x:c r="Q17" s="30" t="str">
        <x:v>TK-016</x:v>
      </x:c>
      <x:c r="R17" s="30" t="str"/>
      <x:c r="S17" s="30" t="str">
        <x:v>Event</x:v>
      </x:c>
      <x:c r="T17" s="30" t="str">
        <x:v>EVT-02</x:v>
      </x:c>
      <x:c r="U17" s="30" t="str">
        <x:v>پیاده‌سازی رویداد view_item_list (مشاهده لیست یا دسته‌بندی کالا)</x:v>
      </x:c>
      <x:c r="V17" s="30" t="str">
        <x:v>Pending dependency review</x:v>
      </x:c>
      <x:c r="W17" s="30" t="str">
        <x:v>نیازمند تکمیل و تأیید مالک</x:v>
      </x:c>
      <x:c r="X17" s="30" t="str">
        <x:v>نیازمند تکمیل و تأیید مالک</x:v>
      </x:c>
      <x:c r="Y17" s="30" t="str">
        <x:v>DevOps/Web Engineer</x:v>
      </x:c>
      <x:c r="Z17" s="30" t="n">
        <x:v>7</x:v>
      </x:c>
      <x:c r="AA17" s="30" t="n">
        <x:v>16</x:v>
      </x:c>
      <x:c r="AB17" s="30" t="str">
        <x:v>تست گروه TST مربوطه سبز + پارامترها طبق 03_EVENT_PARAMETERS + ارسال صحیح آرایه items حداکثر ۲۰ قلم با item_id/price</x:v>
      </x:c>
      <x:c r="AC17" s="30" t="str">
        <x:v>نیازمند تکمیل و تأیید مالک</x:v>
      </x:c>
      <x:c r="AD17" s="30" t="str">
        <x:v>نیازمند تکمیل و تأیید مالک</x:v>
      </x:c>
      <x:c r="AE17" s="30" t="str">
        <x:v>تست گروه TST مربوطه سبز + پارامترها طبق 03_EVENT_PARAMETERS + ارسال صحیح آرایه items حداکثر ۲۰ قلم با item_id/price</x:v>
      </x:c>
      <x:c r="AF17" s="30" t="str">
        <x:v>EVT-02</x:v>
      </x:c>
      <x:c r="AG17" s="30" t="str"/>
      <x:c r="AH17" s="30" t="str"/>
    </x:row>
    <x:row r="18">
      <x:c r="A18" s="17" t="inlineStr">
        <x:is>
          <x:t xml:space="preserve">TK-017</x:t>
        </x:is>
      </x:c>
      <x:c r="B18" s="4" t="inlineStr">
        <x:is>
          <x:t xml:space="preserve">پیاده‌سازی رویداد select_item (کلیک روی کارت محصول در لیست)</x:t>
        </x:is>
      </x:c>
      <x:c r="C18" s="4" t="inlineStr">
        <x:is>
          <x:t xml:space="preserve">Implement Event select_item</x:t>
        </x:is>
      </x:c>
      <x:c r="D18" s="4" t="inlineStr">
        <x:is>
          <x:t xml:space="preserve">Event</x:t>
        </x:is>
      </x:c>
      <x:c r="E18" s="4" t="inlineStr">
        <x:is>
          <x:t xml:space="preserve">EVT-03</x:t>
        </x:is>
      </x:c>
      <x:c r="F18" s="17" t="inlineStr">
        <x:is>
          <x:t xml:space="preserve">W2</x:t>
        </x:is>
      </x:c>
      <x:c r="G18" s="4" t="inlineStr">
        <x:is>
          <x:t xml:space="preserve">S1</x:t>
        </x:is>
      </x:c>
      <x:c r="H18" s="17" t="inlineStr">
        <x:is>
          <x:t xml:space="preserve">Medium</x:t>
        </x:is>
      </x:c>
      <x:c r="I18" s="4" t="inlineStr">
        <x:is>
          <x:t xml:space="preserve">DevOps/Web Engineer</x:t>
        </x:is>
      </x:c>
      <x:c r="J18" s="17" t="n">
        <x:v>4</x:v>
      </x:c>
      <x:c r="K18" s="17" t="n">
        <x:v>2</x:v>
      </x:c>
      <x:c r="L18" s="18" t="n">
        <x:f>J18*2-K18</x:f>
        <x:v>6</x:v>
      </x:c>
      <x:c r="M18" s="4" t="inlineStr">
        <x:is>
          <x:t xml:space="preserve">TK-013, TK-014</x:t>
        </x:is>
      </x:c>
      <x:c r="N18" s="4" t="inlineStr">
        <x:is>
          <x:t xml:space="preserve">تست گروه TST مربوطه سبز + پارامترها طبق 03_EVENT_PARAMETERS + ثبت item_list_id و آرایه تک‌کالایی صحیح</x:t>
        </x:is>
      </x:c>
      <x:c r="O18" s="17" t="inlineStr">
        <x:is>
          <x:t xml:space="preserve">Proposed</x:t>
        </x:is>
      </x:c>
      <x:c r="P18" s="4" t="inlineStr">
        <x:is>
          <x:t xml:space="preserve">خروجی به الگوریتم رتبه‌بندی سرچ</x:t>
        </x:is>
      </x:c>
      <x:c r="Q18" s="30" t="str">
        <x:v>TK-017</x:v>
      </x:c>
      <x:c r="R18" s="30" t="str"/>
      <x:c r="S18" s="30" t="str">
        <x:v>Event</x:v>
      </x:c>
      <x:c r="T18" s="30" t="str">
        <x:v>EVT-03</x:v>
      </x:c>
      <x:c r="U18" s="30" t="str">
        <x:v>پیاده‌سازی رویداد select_item (کلیک روی کارت محصول در لیست)</x:v>
      </x:c>
      <x:c r="V18" s="30" t="str">
        <x:v>Pending dependency review</x:v>
      </x:c>
      <x:c r="W18" s="30" t="str">
        <x:v>نیازمند تکمیل و تأیید مالک</x:v>
      </x:c>
      <x:c r="X18" s="30" t="str">
        <x:v>نیازمند تکمیل و تأیید مالک</x:v>
      </x:c>
      <x:c r="Y18" s="30" t="str">
        <x:v>DevOps/Web Engineer</x:v>
      </x:c>
      <x:c r="Z18" s="30" t="n">
        <x:v>7</x:v>
      </x:c>
      <x:c r="AA18" s="30" t="n">
        <x:v>17</x:v>
      </x:c>
      <x:c r="AB18" s="30" t="str">
        <x:v>تست گروه TST مربوطه سبز + پارامترها طبق 03_EVENT_PARAMETERS + ثبت item_list_id و آرایه تک‌کالایی صحیح</x:v>
      </x:c>
      <x:c r="AC18" s="30" t="str">
        <x:v>نیازمند تکمیل و تأیید مالک</x:v>
      </x:c>
      <x:c r="AD18" s="30" t="str">
        <x:v>نیازمند تکمیل و تأیید مالک</x:v>
      </x:c>
      <x:c r="AE18" s="30" t="str">
        <x:v>تست گروه TST مربوطه سبز + پارامترها طبق 03_EVENT_PARAMETERS + ثبت item_list_id و آرایه تک‌کالایی صحیح</x:v>
      </x:c>
      <x:c r="AF18" s="30" t="str">
        <x:v>EVT-03</x:v>
      </x:c>
      <x:c r="AG18" s="30" t="str"/>
      <x:c r="AH18" s="30" t="str"/>
    </x:row>
    <x:row r="19">
      <x:c r="A19" s="19" t="inlineStr">
        <x:is>
          <x:t xml:space="preserve">TK-018</x:t>
        </x:is>
      </x:c>
      <x:c r="B19" s="6" t="inlineStr">
        <x:is>
          <x:t xml:space="preserve">پیاده‌سازی رویداد view_item (مشاهده صفحه جزئیات کالا (PDP))</x:t>
        </x:is>
      </x:c>
      <x:c r="C19" s="6" t="inlineStr">
        <x:is>
          <x:t xml:space="preserve">Implement Event view_item</x:t>
        </x:is>
      </x:c>
      <x:c r="D19" s="6" t="inlineStr">
        <x:is>
          <x:t xml:space="preserve">Event</x:t>
        </x:is>
      </x:c>
      <x:c r="E19" s="6" t="inlineStr">
        <x:is>
          <x:t xml:space="preserve">EVT-04</x:t>
        </x:is>
      </x:c>
      <x:c r="F19" s="19" t="inlineStr">
        <x:is>
          <x:t xml:space="preserve">W2</x:t>
        </x:is>
      </x:c>
      <x:c r="G19" s="6" t="inlineStr">
        <x:is>
          <x:t xml:space="preserve">S1</x:t>
        </x:is>
      </x:c>
      <x:c r="H19" s="19" t="inlineStr">
        <x:is>
          <x:t xml:space="preserve">High</x:t>
        </x:is>
      </x:c>
      <x:c r="I19" s="6" t="inlineStr">
        <x:is>
          <x:t xml:space="preserve">DevOps/Web Engineer</x:t>
        </x:is>
      </x:c>
      <x:c r="J19" s="19" t="n">
        <x:v>4</x:v>
      </x:c>
      <x:c r="K19" s="19" t="n">
        <x:v>2</x:v>
      </x:c>
      <x:c r="L19" s="18" t="n">
        <x:f>J19*2-K19</x:f>
        <x:v>6</x:v>
      </x:c>
      <x:c r="M19" s="6" t="inlineStr">
        <x:is>
          <x:t xml:space="preserve">TK-013, TK-014</x:t>
        </x:is>
      </x:c>
      <x:c r="N19" s="6" t="inlineStr">
        <x:is>
          <x:t xml:space="preserve">تست گروه TST مربوطه سبز + پارامترها طبق 03_EVENT_PARAMETERS + ارسال currency/value و items با item_brand و item_category</x:t>
        </x:is>
      </x:c>
      <x:c r="O19" s="19" t="inlineStr">
        <x:is>
          <x:t xml:space="preserve">Proposed</x:t>
        </x:is>
      </x:c>
      <x:c r="P19" s="6" t="inlineStr">
        <x:is>
          <x:t xml:space="preserve">تطبیق بلادرنگ قیمت با انبار برای Dynamic Product Ads</x:t>
        </x:is>
      </x:c>
      <x:c r="Q19" s="30" t="str">
        <x:v>TK-018</x:v>
      </x:c>
      <x:c r="R19" s="30" t="str"/>
      <x:c r="S19" s="30" t="str">
        <x:v>Event</x:v>
      </x:c>
      <x:c r="T19" s="30" t="str">
        <x:v>EVT-04</x:v>
      </x:c>
      <x:c r="U19" s="30" t="str">
        <x:v>پیاده‌سازی رویداد view_item (مشاهده صفحه جزئیات کالا (PDP))</x:v>
      </x:c>
      <x:c r="V19" s="30" t="str">
        <x:v>Pending dependency review</x:v>
      </x:c>
      <x:c r="W19" s="30" t="str">
        <x:v>نیازمند تکمیل و تأیید مالک</x:v>
      </x:c>
      <x:c r="X19" s="30" t="str">
        <x:v>نیازمند تکمیل و تأیید مالک</x:v>
      </x:c>
      <x:c r="Y19" s="30" t="str">
        <x:v>DevOps/Web Engineer</x:v>
      </x:c>
      <x:c r="Z19" s="30" t="n">
        <x:v>7</x:v>
      </x:c>
      <x:c r="AA19" s="30" t="n">
        <x:v>18</x:v>
      </x:c>
      <x:c r="AB19" s="30" t="str">
        <x:v>تست گروه TST مربوطه سبز + پارامترها طبق 03_EVENT_PARAMETERS + ارسال currency/value و items با item_brand و item_category</x:v>
      </x:c>
      <x:c r="AC19" s="30" t="str">
        <x:v>نیازمند تکمیل و تأیید مالک</x:v>
      </x:c>
      <x:c r="AD19" s="30" t="str">
        <x:v>نیازمند تکمیل و تأیید مالک</x:v>
      </x:c>
      <x:c r="AE19" s="30" t="str">
        <x:v>تست گروه TST مربوطه سبز + پارامترها طبق 03_EVENT_PARAMETERS + ارسال currency/value و items با item_brand و item_category</x:v>
      </x:c>
      <x:c r="AF19" s="30" t="str">
        <x:v>EVT-04</x:v>
      </x:c>
      <x:c r="AG19" s="30" t="str"/>
      <x:c r="AH19" s="30" t="str"/>
    </x:row>
    <x:row r="20">
      <x:c r="A20" s="17" t="inlineStr">
        <x:is>
          <x:t xml:space="preserve">TK-019</x:t>
        </x:is>
      </x:c>
      <x:c r="B20" s="4" t="inlineStr">
        <x:is>
          <x:t xml:space="preserve">پیاده‌سازی رویداد download_spec_sheet (دانلود کاتالوگ و دیتاشیت فنی کالا)</x:t>
        </x:is>
      </x:c>
      <x:c r="C20" s="4" t="inlineStr">
        <x:is>
          <x:t xml:space="preserve">Implement Event download_spec_sheet</x:t>
        </x:is>
      </x:c>
      <x:c r="D20" s="4" t="inlineStr">
        <x:is>
          <x:t xml:space="preserve">Event</x:t>
        </x:is>
      </x:c>
      <x:c r="E20" s="4" t="inlineStr">
        <x:is>
          <x:t xml:space="preserve">EVT-05</x:t>
        </x:is>
      </x:c>
      <x:c r="F20" s="17" t="inlineStr">
        <x:is>
          <x:t xml:space="preserve">W2</x:t>
        </x:is>
      </x:c>
      <x:c r="G20" s="4" t="inlineStr">
        <x:is>
          <x:t xml:space="preserve">S1</x:t>
        </x:is>
      </x:c>
      <x:c r="H20" s="17" t="inlineStr">
        <x:is>
          <x:t xml:space="preserve">High</x:t>
        </x:is>
      </x:c>
      <x:c r="I20" s="4" t="inlineStr">
        <x:is>
          <x:t xml:space="preserve">DevOps/Web Engineer</x:t>
        </x:is>
      </x:c>
      <x:c r="J20" s="17" t="n">
        <x:v>4</x:v>
      </x:c>
      <x:c r="K20" s="17" t="n">
        <x:v>2</x:v>
      </x:c>
      <x:c r="L20" s="18" t="n">
        <x:f>J20*2-K20</x:f>
        <x:v>6</x:v>
      </x:c>
      <x:c r="M20" s="4" t="inlineStr">
        <x:is>
          <x:t xml:space="preserve">TK-013, TK-014</x:t>
        </x:is>
      </x:c>
      <x:c r="N20" s="4" t="inlineStr">
        <x:is>
          <x:t xml:space="preserve">تست گروه TST مربوطه سبز + پارامترها طبق 03_EVENT_PARAMETERS + افزایش امتیاز لید +15 در CRM بلافاصله پس از دانلود</x:t>
        </x:is>
      </x:c>
      <x:c r="O20" s="17" t="inlineStr">
        <x:is>
          <x:t xml:space="preserve">Proposed</x:t>
        </x:is>
      </x:c>
      <x:c r="P20" s="4" t="inlineStr">
        <x:is>
          <x:t xml:space="preserve">سیگنال مستقیم به CRM برای Lead Scoring</x:t>
        </x:is>
      </x:c>
      <x:c r="Q20" s="30" t="str">
        <x:v>TK-019</x:v>
      </x:c>
      <x:c r="R20" s="30" t="str"/>
      <x:c r="S20" s="30" t="str">
        <x:v>Event</x:v>
      </x:c>
      <x:c r="T20" s="30" t="str">
        <x:v>EVT-05</x:v>
      </x:c>
      <x:c r="U20" s="30" t="str">
        <x:v>پیاده‌سازی رویداد download_spec_sheet (دانلود کاتالوگ و دیتاشیت فنی کالا)</x:v>
      </x:c>
      <x:c r="V20" s="30" t="str">
        <x:v>Pending dependency review</x:v>
      </x:c>
      <x:c r="W20" s="30" t="str">
        <x:v>نیازمند تکمیل و تأیید مالک</x:v>
      </x:c>
      <x:c r="X20" s="30" t="str">
        <x:v>نیازمند تکمیل و تأیید مالک</x:v>
      </x:c>
      <x:c r="Y20" s="30" t="str">
        <x:v>DevOps/Web Engineer</x:v>
      </x:c>
      <x:c r="Z20" s="30" t="n">
        <x:v>7</x:v>
      </x:c>
      <x:c r="AA20" s="30" t="n">
        <x:v>19</x:v>
      </x:c>
      <x:c r="AB20" s="30" t="str">
        <x:v>تست گروه TST مربوطه سبز + پارامترها طبق 03_EVENT_PARAMETERS + افزایش امتیاز لید +15 در CRM بلافاصله پس از دانلود</x:v>
      </x:c>
      <x:c r="AC20" s="30" t="str">
        <x:v>نیازمند تکمیل و تأیید مالک</x:v>
      </x:c>
      <x:c r="AD20" s="30" t="str">
        <x:v>نیازمند تکمیل و تأیید مالک</x:v>
      </x:c>
      <x:c r="AE20" s="30" t="str">
        <x:v>تست گروه TST مربوطه سبز + پارامترها طبق 03_EVENT_PARAMETERS + افزایش امتیاز لید +15 در CRM بلافاصله پس از دانلود</x:v>
      </x:c>
      <x:c r="AF20" s="30" t="str">
        <x:v>EVT-05</x:v>
      </x:c>
      <x:c r="AG20" s="30" t="str"/>
      <x:c r="AH20" s="30" t="str"/>
    </x:row>
    <x:row r="21">
      <x:c r="A21" s="19" t="inlineStr">
        <x:is>
          <x:t xml:space="preserve">TK-020</x:t>
        </x:is>
      </x:c>
      <x:c r="B21" s="6" t="inlineStr">
        <x:is>
          <x:t xml:space="preserve">پیاده‌سازی رویداد add_to_wishlist (افزودن به لیست علاقه‌مندی‌ها)</x:t>
        </x:is>
      </x:c>
      <x:c r="C21" s="6" t="inlineStr">
        <x:is>
          <x:t xml:space="preserve">Implement Event add_to_wishlist</x:t>
        </x:is>
      </x:c>
      <x:c r="D21" s="6" t="inlineStr">
        <x:is>
          <x:t xml:space="preserve">Event</x:t>
        </x:is>
      </x:c>
      <x:c r="E21" s="6" t="inlineStr">
        <x:is>
          <x:t xml:space="preserve">EVT-06</x:t>
        </x:is>
      </x:c>
      <x:c r="F21" s="19" t="inlineStr">
        <x:is>
          <x:t xml:space="preserve">W2</x:t>
        </x:is>
      </x:c>
      <x:c r="G21" s="6" t="inlineStr">
        <x:is>
          <x:t xml:space="preserve">S1</x:t>
        </x:is>
      </x:c>
      <x:c r="H21" s="19" t="inlineStr">
        <x:is>
          <x:t xml:space="preserve">Medium</x:t>
        </x:is>
      </x:c>
      <x:c r="I21" s="6" t="inlineStr">
        <x:is>
          <x:t xml:space="preserve">DevOps/Web Engineer</x:t>
        </x:is>
      </x:c>
      <x:c r="J21" s="19" t="n">
        <x:v>4</x:v>
      </x:c>
      <x:c r="K21" s="19" t="n">
        <x:v>2</x:v>
      </x:c>
      <x:c r="L21" s="18" t="n">
        <x:f>J21*2-K21</x:f>
        <x:v>6</x:v>
      </x:c>
      <x:c r="M21" s="6" t="inlineStr">
        <x:is>
          <x:t xml:space="preserve">TK-013, TK-014</x:t>
        </x:is>
      </x:c>
      <x:c r="N21" s="6" t="inlineStr">
        <x:is>
          <x:t xml:space="preserve">تست گروه TST مربوطه سبز + پارامترها طبق 03_EVENT_PARAMETERS + ارسال currency/value و items</x:t>
        </x:is>
      </x:c>
      <x:c r="O21" s="19" t="inlineStr">
        <x:is>
          <x:t xml:space="preserve">Proposed</x:t>
        </x:is>
      </x:c>
      <x:c r="P21" s="6" t="inlineStr">
        <x:is>
          <x:t xml:space="preserve">ورودی کمپین‌های آلارم افت قیمت و جشنواره</x:t>
        </x:is>
      </x:c>
      <x:c r="Q21" s="30" t="str">
        <x:v>TK-020</x:v>
      </x:c>
      <x:c r="R21" s="30" t="str"/>
      <x:c r="S21" s="30" t="str">
        <x:v>Event</x:v>
      </x:c>
      <x:c r="T21" s="30" t="str">
        <x:v>EVT-06</x:v>
      </x:c>
      <x:c r="U21" s="30" t="str">
        <x:v>پیاده‌سازی رویداد add_to_wishlist (افزودن به لیست علاقه‌مندی‌ها)</x:v>
      </x:c>
      <x:c r="V21" s="30" t="str">
        <x:v>Pending dependency review</x:v>
      </x:c>
      <x:c r="W21" s="30" t="str">
        <x:v>نیازمند تکمیل و تأیید مالک</x:v>
      </x:c>
      <x:c r="X21" s="30" t="str">
        <x:v>نیازمند تکمیل و تأیید مالک</x:v>
      </x:c>
      <x:c r="Y21" s="30" t="str">
        <x:v>DevOps/Web Engineer</x:v>
      </x:c>
      <x:c r="Z21" s="30" t="n">
        <x:v>7</x:v>
      </x:c>
      <x:c r="AA21" s="30" t="n">
        <x:v>20</x:v>
      </x:c>
      <x:c r="AB21" s="30" t="str">
        <x:v>تست گروه TST مربوطه سبز + پارامترها طبق 03_EVENT_PARAMETERS + ارسال currency/value و items</x:v>
      </x:c>
      <x:c r="AC21" s="30" t="str">
        <x:v>نیازمند تکمیل و تأیید مالک</x:v>
      </x:c>
      <x:c r="AD21" s="30" t="str">
        <x:v>نیازمند تکمیل و تأیید مالک</x:v>
      </x:c>
      <x:c r="AE21" s="30" t="str">
        <x:v>تست گروه TST مربوطه سبز + پارامترها طبق 03_EVENT_PARAMETERS + ارسال currency/value و items</x:v>
      </x:c>
      <x:c r="AF21" s="30" t="str">
        <x:v>EVT-06</x:v>
      </x:c>
      <x:c r="AG21" s="30" t="str"/>
      <x:c r="AH21" s="30" t="str"/>
    </x:row>
    <x:row r="22">
      <x:c r="A22" s="17" t="inlineStr">
        <x:is>
          <x:t xml:space="preserve">TK-021</x:t>
        </x:is>
      </x:c>
      <x:c r="B22" s="4" t="inlineStr">
        <x:is>
          <x:t xml:space="preserve">پیاده‌سازی رویداد add_to_cart (افزودن به سبد خرید)</x:t>
        </x:is>
      </x:c>
      <x:c r="C22" s="4" t="inlineStr">
        <x:is>
          <x:t xml:space="preserve">Implement Event add_to_cart</x:t>
        </x:is>
      </x:c>
      <x:c r="D22" s="4" t="inlineStr">
        <x:is>
          <x:t xml:space="preserve">Event</x:t>
        </x:is>
      </x:c>
      <x:c r="E22" s="4" t="inlineStr">
        <x:is>
          <x:t xml:space="preserve">EVT-07</x:t>
        </x:is>
      </x:c>
      <x:c r="F22" s="17" t="inlineStr">
        <x:is>
          <x:t xml:space="preserve">W2</x:t>
        </x:is>
      </x:c>
      <x:c r="G22" s="4" t="inlineStr">
        <x:is>
          <x:t xml:space="preserve">S1</x:t>
        </x:is>
      </x:c>
      <x:c r="H22" s="17" t="inlineStr">
        <x:is>
          <x:t xml:space="preserve">Critical</x:t>
        </x:is>
      </x:c>
      <x:c r="I22" s="4" t="inlineStr">
        <x:is>
          <x:t xml:space="preserve">DevOps/Web Engineer</x:t>
        </x:is>
      </x:c>
      <x:c r="J22" s="17" t="n">
        <x:v>4</x:v>
      </x:c>
      <x:c r="K22" s="17" t="n">
        <x:v>2</x:v>
      </x:c>
      <x:c r="L22" s="18" t="n">
        <x:f>J22*2-K22</x:f>
        <x:v>6</x:v>
      </x:c>
      <x:c r="M22" s="4" t="inlineStr">
        <x:is>
          <x:t xml:space="preserve">TK-013, TK-014</x:t>
        </x:is>
      </x:c>
      <x:c r="N22" s="4" t="inlineStr">
        <x:is>
          <x:t xml:space="preserve">تست گروه TST مربوطه سبز + پارامترها طبق 03_EVENT_PARAMETERS + ارسال currency/value/items با quantity</x:t>
        </x:is>
      </x:c>
      <x:c r="O22" s="17" t="inlineStr">
        <x:is>
          <x:t xml:space="preserve">Proposed</x:t>
        </x:is>
      </x:c>
      <x:c r="P22" s="4" t="inlineStr">
        <x:is>
          <x:t xml:space="preserve">مبنای کمپین‌های ریتارگتینگ سبد رهاشده</x:t>
        </x:is>
      </x:c>
      <x:c r="Q22" s="30" t="str">
        <x:v>TK-021</x:v>
      </x:c>
      <x:c r="R22" s="30" t="str"/>
      <x:c r="S22" s="30" t="str">
        <x:v>Event</x:v>
      </x:c>
      <x:c r="T22" s="30" t="str">
        <x:v>EVT-07</x:v>
      </x:c>
      <x:c r="U22" s="30" t="str">
        <x:v>پیاده‌سازی رویداد add_to_cart (افزودن به سبد خرید)</x:v>
      </x:c>
      <x:c r="V22" s="30" t="str">
        <x:v>Pending dependency review</x:v>
      </x:c>
      <x:c r="W22" s="30" t="str">
        <x:v>نیازمند تکمیل و تأیید مالک</x:v>
      </x:c>
      <x:c r="X22" s="30" t="str">
        <x:v>نیازمند تکمیل و تأیید مالک</x:v>
      </x:c>
      <x:c r="Y22" s="30" t="str">
        <x:v>DevOps/Web Engineer</x:v>
      </x:c>
      <x:c r="Z22" s="30" t="n">
        <x:v>7</x:v>
      </x:c>
      <x:c r="AA22" s="30" t="n">
        <x:v>21</x:v>
      </x:c>
      <x:c r="AB22" s="30" t="str">
        <x:v>تست گروه TST مربوطه سبز + پارامترها طبق 03_EVENT_PARAMETERS + ارسال currency/value/items با quantity</x:v>
      </x:c>
      <x:c r="AC22" s="30" t="str">
        <x:v>نیازمند تکمیل و تأیید مالک</x:v>
      </x:c>
      <x:c r="AD22" s="30" t="str">
        <x:v>نیازمند تکمیل و تأیید مالک</x:v>
      </x:c>
      <x:c r="AE22" s="30" t="str">
        <x:v>تست گروه TST مربوطه سبز + پارامترها طبق 03_EVENT_PARAMETERS + ارسال currency/value/items با quantity</x:v>
      </x:c>
      <x:c r="AF22" s="30" t="str">
        <x:v>EVT-07</x:v>
      </x:c>
      <x:c r="AG22" s="30" t="str"/>
      <x:c r="AH22" s="30" t="str"/>
    </x:row>
    <x:row r="23">
      <x:c r="A23" s="19" t="inlineStr">
        <x:is>
          <x:t xml:space="preserve">TK-022</x:t>
        </x:is>
      </x:c>
      <x:c r="B23" s="6" t="inlineStr">
        <x:is>
          <x:t xml:space="preserve">پیاده‌سازی رویداد remove_from_cart (حذف کالا از سبد خرید)</x:t>
        </x:is>
      </x:c>
      <x:c r="C23" s="6" t="inlineStr">
        <x:is>
          <x:t xml:space="preserve">Implement Event remove_from_cart</x:t>
        </x:is>
      </x:c>
      <x:c r="D23" s="6" t="inlineStr">
        <x:is>
          <x:t xml:space="preserve">Event</x:t>
        </x:is>
      </x:c>
      <x:c r="E23" s="6" t="inlineStr">
        <x:is>
          <x:t xml:space="preserve">EVT-08</x:t>
        </x:is>
      </x:c>
      <x:c r="F23" s="19" t="inlineStr">
        <x:is>
          <x:t xml:space="preserve">W2</x:t>
        </x:is>
      </x:c>
      <x:c r="G23" s="6" t="inlineStr">
        <x:is>
          <x:t xml:space="preserve">S1</x:t>
        </x:is>
      </x:c>
      <x:c r="H23" s="19" t="inlineStr">
        <x:is>
          <x:t xml:space="preserve">Low</x:t>
        </x:is>
      </x:c>
      <x:c r="I23" s="6" t="inlineStr">
        <x:is>
          <x:t xml:space="preserve">DevOps/Web Engineer</x:t>
        </x:is>
      </x:c>
      <x:c r="J23" s="19" t="n">
        <x:v>4</x:v>
      </x:c>
      <x:c r="K23" s="19" t="n">
        <x:v>2</x:v>
      </x:c>
      <x:c r="L23" s="18" t="n">
        <x:f>J23*2-K23</x:f>
        <x:v>6</x:v>
      </x:c>
      <x:c r="M23" s="6" t="inlineStr">
        <x:is>
          <x:t xml:space="preserve">TK-013, TK-014</x:t>
        </x:is>
      </x:c>
      <x:c r="N23" s="6" t="inlineStr">
        <x:is>
          <x:t xml:space="preserve">تست گروه TST مربوطه سبز + پارامترها طبق 03_EVENT_PARAMETERS + ثبت removal_reason در صورت در دسترس بودن</x:t>
        </x:is>
      </x:c>
      <x:c r="O23" s="19" t="inlineStr">
        <x:is>
          <x:t xml:space="preserve">Proposed</x:t>
        </x:is>
      </x:c>
      <x:c r="P23" s="6" t="inlineStr">
        <x:is>
          <x:t xml:space="preserve">تحلیل دلایل انصراف در انبار داده</x:t>
        </x:is>
      </x:c>
      <x:c r="Q23" s="30" t="str">
        <x:v>TK-022</x:v>
      </x:c>
      <x:c r="R23" s="30" t="str"/>
      <x:c r="S23" s="30" t="str">
        <x:v>Event</x:v>
      </x:c>
      <x:c r="T23" s="30" t="str">
        <x:v>EVT-08</x:v>
      </x:c>
      <x:c r="U23" s="30" t="str">
        <x:v>پیاده‌سازی رویداد remove_from_cart (حذف کالا از سبد خرید)</x:v>
      </x:c>
      <x:c r="V23" s="30" t="str">
        <x:v>Pending dependency review</x:v>
      </x:c>
      <x:c r="W23" s="30" t="str">
        <x:v>نیازمند تکمیل و تأیید مالک</x:v>
      </x:c>
      <x:c r="X23" s="30" t="str">
        <x:v>نیازمند تکمیل و تأیید مالک</x:v>
      </x:c>
      <x:c r="Y23" s="30" t="str">
        <x:v>DevOps/Web Engineer</x:v>
      </x:c>
      <x:c r="Z23" s="30" t="n">
        <x:v>7</x:v>
      </x:c>
      <x:c r="AA23" s="30" t="n">
        <x:v>22</x:v>
      </x:c>
      <x:c r="AB23" s="30" t="str">
        <x:v>تست گروه TST مربوطه سبز + پارامترها طبق 03_EVENT_PARAMETERS + ثبت removal_reason در صورت در دسترس بودن</x:v>
      </x:c>
      <x:c r="AC23" s="30" t="str">
        <x:v>نیازمند تکمیل و تأیید مالک</x:v>
      </x:c>
      <x:c r="AD23" s="30" t="str">
        <x:v>نیازمند تکمیل و تأیید مالک</x:v>
      </x:c>
      <x:c r="AE23" s="30" t="str">
        <x:v>تست گروه TST مربوطه سبز + پارامترها طبق 03_EVENT_PARAMETERS + ثبت removal_reason در صورت در دسترس بودن</x:v>
      </x:c>
      <x:c r="AF23" s="30" t="str">
        <x:v>EVT-08</x:v>
      </x:c>
      <x:c r="AG23" s="30" t="str"/>
      <x:c r="AH23" s="30" t="str"/>
    </x:row>
    <x:row r="24">
      <x:c r="A24" s="17" t="inlineStr">
        <x:is>
          <x:t xml:space="preserve">TK-023</x:t>
        </x:is>
      </x:c>
      <x:c r="B24" s="4" t="inlineStr">
        <x:is>
          <x:t xml:space="preserve">پیاده‌سازی رویداد view_cart (مشاهده سبد خرید)</x:t>
        </x:is>
      </x:c>
      <x:c r="C24" s="4" t="inlineStr">
        <x:is>
          <x:t xml:space="preserve">Implement Event view_cart</x:t>
        </x:is>
      </x:c>
      <x:c r="D24" s="4" t="inlineStr">
        <x:is>
          <x:t xml:space="preserve">Event</x:t>
        </x:is>
      </x:c>
      <x:c r="E24" s="4" t="inlineStr">
        <x:is>
          <x:t xml:space="preserve">EVT-09</x:t>
        </x:is>
      </x:c>
      <x:c r="F24" s="17" t="inlineStr">
        <x:is>
          <x:t xml:space="preserve">W2</x:t>
        </x:is>
      </x:c>
      <x:c r="G24" s="4" t="inlineStr">
        <x:is>
          <x:t xml:space="preserve">S1</x:t>
        </x:is>
      </x:c>
      <x:c r="H24" s="17" t="inlineStr">
        <x:is>
          <x:t xml:space="preserve">Medium</x:t>
        </x:is>
      </x:c>
      <x:c r="I24" s="4" t="inlineStr">
        <x:is>
          <x:t xml:space="preserve">DevOps/Web Engineer</x:t>
        </x:is>
      </x:c>
      <x:c r="J24" s="17" t="n">
        <x:v>4</x:v>
      </x:c>
      <x:c r="K24" s="17" t="n">
        <x:v>2</x:v>
      </x:c>
      <x:c r="L24" s="18" t="n">
        <x:f>J24*2-K24</x:f>
        <x:v>6</x:v>
      </x:c>
      <x:c r="M24" s="4" t="inlineStr">
        <x:is>
          <x:t xml:space="preserve">TK-013, TK-014</x:t>
        </x:is>
      </x:c>
      <x:c r="N24" s="4" t="inlineStr">
        <x:is>
          <x:t xml:space="preserve">تست گروه TST مربوطه سبز + پارامترها طبق 03_EVENT_PARAMETERS + ارسال currency/value و بررسی موجودی اقلام</x:t>
        </x:is>
      </x:c>
      <x:c r="O24" s="17" t="inlineStr">
        <x:is>
          <x:t xml:space="preserve">Proposed</x:t>
        </x:is>
      </x:c>
      <x:c r="P24" s="4" t="inlineStr">
        <x:is>
          <x:t xml:space="preserve">محاسبه ارزش کل پیش از تخفیف</x:t>
        </x:is>
      </x:c>
      <x:c r="Q24" s="30" t="str">
        <x:v>TK-023</x:v>
      </x:c>
      <x:c r="R24" s="30" t="str"/>
      <x:c r="S24" s="30" t="str">
        <x:v>Event</x:v>
      </x:c>
      <x:c r="T24" s="30" t="str">
        <x:v>EVT-09</x:v>
      </x:c>
      <x:c r="U24" s="30" t="str">
        <x:v>پیاده‌سازی رویداد view_cart (مشاهده سبد خرید)</x:v>
      </x:c>
      <x:c r="V24" s="30" t="str">
        <x:v>Pending dependency review</x:v>
      </x:c>
      <x:c r="W24" s="30" t="str">
        <x:v>نیازمند تکمیل و تأیید مالک</x:v>
      </x:c>
      <x:c r="X24" s="30" t="str">
        <x:v>نیازمند تکمیل و تأیید مالک</x:v>
      </x:c>
      <x:c r="Y24" s="30" t="str">
        <x:v>DevOps/Web Engineer</x:v>
      </x:c>
      <x:c r="Z24" s="30" t="n">
        <x:v>7</x:v>
      </x:c>
      <x:c r="AA24" s="30" t="n">
        <x:v>23</x:v>
      </x:c>
      <x:c r="AB24" s="30" t="str">
        <x:v>تست گروه TST مربوطه سبز + پارامترها طبق 03_EVENT_PARAMETERS + ارسال currency/value و بررسی موجودی اقلام</x:v>
      </x:c>
      <x:c r="AC24" s="30" t="str">
        <x:v>نیازمند تکمیل و تأیید مالک</x:v>
      </x:c>
      <x:c r="AD24" s="30" t="str">
        <x:v>نیازمند تکمیل و تأیید مالک</x:v>
      </x:c>
      <x:c r="AE24" s="30" t="str">
        <x:v>تست گروه TST مربوطه سبز + پارامترها طبق 03_EVENT_PARAMETERS + ارسال currency/value و بررسی موجودی اقلام</x:v>
      </x:c>
      <x:c r="AF24" s="30" t="str">
        <x:v>EVT-09</x:v>
      </x:c>
      <x:c r="AG24" s="30" t="str"/>
      <x:c r="AH24" s="30" t="str"/>
    </x:row>
    <x:row r="25">
      <x:c r="A25" s="19" t="inlineStr">
        <x:is>
          <x:t xml:space="preserve">TK-024</x:t>
        </x:is>
      </x:c>
      <x:c r="B25" s="6" t="inlineStr">
        <x:is>
          <x:t xml:space="preserve">پیاده‌سازی رویداد begin_checkout (آغاز فرایند تسویه‌حساب)</x:t>
        </x:is>
      </x:c>
      <x:c r="C25" s="6" t="inlineStr">
        <x:is>
          <x:t xml:space="preserve">Implement Event begin_checkout</x:t>
        </x:is>
      </x:c>
      <x:c r="D25" s="6" t="inlineStr">
        <x:is>
          <x:t xml:space="preserve">Event</x:t>
        </x:is>
      </x:c>
      <x:c r="E25" s="6" t="inlineStr">
        <x:is>
          <x:t xml:space="preserve">EVT-10</x:t>
        </x:is>
      </x:c>
      <x:c r="F25" s="19" t="inlineStr">
        <x:is>
          <x:t xml:space="preserve">W2</x:t>
        </x:is>
      </x:c>
      <x:c r="G25" s="6" t="inlineStr">
        <x:is>
          <x:t xml:space="preserve">S1</x:t>
        </x:is>
      </x:c>
      <x:c r="H25" s="19" t="inlineStr">
        <x:is>
          <x:t xml:space="preserve">High</x:t>
        </x:is>
      </x:c>
      <x:c r="I25" s="6" t="inlineStr">
        <x:is>
          <x:t xml:space="preserve">DevOps/Web Engineer</x:t>
        </x:is>
      </x:c>
      <x:c r="J25" s="19" t="n">
        <x:v>4</x:v>
      </x:c>
      <x:c r="K25" s="19" t="n">
        <x:v>2</x:v>
      </x:c>
      <x:c r="L25" s="18" t="n">
        <x:f>J25*2-K25</x:f>
        <x:v>6</x:v>
      </x:c>
      <x:c r="M25" s="6" t="inlineStr">
        <x:is>
          <x:t xml:space="preserve">TK-013, TK-014</x:t>
        </x:is>
      </x:c>
      <x:c r="N25" s="6" t="inlineStr">
        <x:is>
          <x:t xml:space="preserve">تست گروه TST مربوطه سبز + پارامترها طبق 03_EVENT_PARAMETERS + اعتبارسنجی احراز هویت و بدهی معوق در سرور</x:t>
        </x:is>
      </x:c>
      <x:c r="O25" s="19" t="inlineStr">
        <x:is>
          <x:t xml:space="preserve">Proposed</x:t>
        </x:is>
      </x:c>
      <x:c r="P25" s="6" t="inlineStr">
        <x:is>
          <x:t xml:space="preserve">پیش‌نیاز P-10 بازطراحی چک‌اوت</x:t>
        </x:is>
      </x:c>
      <x:c r="Q25" s="30" t="str">
        <x:v>TK-024</x:v>
      </x:c>
      <x:c r="R25" s="30" t="str"/>
      <x:c r="S25" s="30" t="str">
        <x:v>Event</x:v>
      </x:c>
      <x:c r="T25" s="30" t="str">
        <x:v>EVT-10</x:v>
      </x:c>
      <x:c r="U25" s="30" t="str">
        <x:v>پیاده‌سازی رویداد begin_checkout (آغاز فرایند تسویه‌حساب)</x:v>
      </x:c>
      <x:c r="V25" s="30" t="str">
        <x:v>Pending dependency review</x:v>
      </x:c>
      <x:c r="W25" s="30" t="str">
        <x:v>نیازمند تکمیل و تأیید مالک</x:v>
      </x:c>
      <x:c r="X25" s="30" t="str">
        <x:v>نیازمند تکمیل و تأیید مالک</x:v>
      </x:c>
      <x:c r="Y25" s="30" t="str">
        <x:v>DevOps/Web Engineer</x:v>
      </x:c>
      <x:c r="Z25" s="30" t="n">
        <x:v>7</x:v>
      </x:c>
      <x:c r="AA25" s="30" t="n">
        <x:v>24</x:v>
      </x:c>
      <x:c r="AB25" s="30" t="str">
        <x:v>تست گروه TST مربوطه سبز + پارامترها طبق 03_EVENT_PARAMETERS + اعتبارسنجی احراز هویت و بدهی معوق در سرور</x:v>
      </x:c>
      <x:c r="AC25" s="30" t="str">
        <x:v>نیازمند تکمیل و تأیید مالک</x:v>
      </x:c>
      <x:c r="AD25" s="30" t="str">
        <x:v>نیازمند تکمیل و تأیید مالک</x:v>
      </x:c>
      <x:c r="AE25" s="30" t="str">
        <x:v>تست گروه TST مربوطه سبز + پارامترها طبق 03_EVENT_PARAMETERS + اعتبارسنجی احراز هویت و بدهی معوق در سرور</x:v>
      </x:c>
      <x:c r="AF25" s="30" t="str">
        <x:v>EVT-10</x:v>
      </x:c>
      <x:c r="AG25" s="30" t="str"/>
      <x:c r="AH25" s="30" t="str"/>
    </x:row>
    <x:row r="26">
      <x:c r="A26" s="17" t="inlineStr">
        <x:is>
          <x:t xml:space="preserve">TK-025</x:t>
        </x:is>
      </x:c>
      <x:c r="B26" s="4" t="inlineStr">
        <x:is>
          <x:t xml:space="preserve">پیاده‌سازی رویداد add_shipping_info (ثبت اطلاعات آدرس و نحوه ارسال)</x:t>
        </x:is>
      </x:c>
      <x:c r="C26" s="4" t="inlineStr">
        <x:is>
          <x:t xml:space="preserve">Implement Event add_shipping_info</x:t>
        </x:is>
      </x:c>
      <x:c r="D26" s="4" t="inlineStr">
        <x:is>
          <x:t xml:space="preserve">Event</x:t>
        </x:is>
      </x:c>
      <x:c r="E26" s="4" t="inlineStr">
        <x:is>
          <x:t xml:space="preserve">EVT-11</x:t>
        </x:is>
      </x:c>
      <x:c r="F26" s="17" t="inlineStr">
        <x:is>
          <x:t xml:space="preserve">W2</x:t>
        </x:is>
      </x:c>
      <x:c r="G26" s="4" t="inlineStr">
        <x:is>
          <x:t xml:space="preserve">S1</x:t>
        </x:is>
      </x:c>
      <x:c r="H26" s="17" t="inlineStr">
        <x:is>
          <x:t xml:space="preserve">Medium</x:t>
        </x:is>
      </x:c>
      <x:c r="I26" s="4" t="inlineStr">
        <x:is>
          <x:t xml:space="preserve">DevOps/Web Engineer</x:t>
        </x:is>
      </x:c>
      <x:c r="J26" s="17" t="n">
        <x:v>4</x:v>
      </x:c>
      <x:c r="K26" s="17" t="n">
        <x:v>2</x:v>
      </x:c>
      <x:c r="L26" s="18" t="n">
        <x:f>J26*2-K26</x:f>
        <x:v>6</x:v>
      </x:c>
      <x:c r="M26" s="4" t="inlineStr">
        <x:is>
          <x:t xml:space="preserve">TK-013, TK-014</x:t>
        </x:is>
      </x:c>
      <x:c r="N26" s="4" t="inlineStr">
        <x:is>
          <x:t xml:space="preserve">تست گروه TST مربوطه سبز + پارامترها طبق 03_EVENT_PARAMETERS + ثبت shipping_tier استاندارد</x:t>
        </x:is>
      </x:c>
      <x:c r="O26" s="17" t="inlineStr">
        <x:is>
          <x:t xml:space="preserve">Proposed</x:t>
        </x:is>
      </x:c>
      <x:c r="P26" s="4" t="inlineStr">
        <x:is>
          <x:t xml:space="preserve"> postal_code_first_5 — ارسال فقط ۵ رقم اول برای کاهش PII</x:t>
        </x:is>
      </x:c>
      <x:c r="Q26" s="30" t="str">
        <x:v>TK-025</x:v>
      </x:c>
      <x:c r="R26" s="30" t="str"/>
      <x:c r="S26" s="30" t="str">
        <x:v>Event</x:v>
      </x:c>
      <x:c r="T26" s="30" t="str">
        <x:v>EVT-11</x:v>
      </x:c>
      <x:c r="U26" s="30" t="str">
        <x:v>پیاده‌سازی رویداد add_shipping_info (ثبت اطلاعات آدرس و نحوه ارسال)</x:v>
      </x:c>
      <x:c r="V26" s="30" t="str">
        <x:v>Pending dependency review</x:v>
      </x:c>
      <x:c r="W26" s="30" t="str">
        <x:v>نیازمند تکمیل و تأیید مالک</x:v>
      </x:c>
      <x:c r="X26" s="30" t="str">
        <x:v>نیازمند تکمیل و تأیید مالک</x:v>
      </x:c>
      <x:c r="Y26" s="30" t="str">
        <x:v>DevOps/Web Engineer</x:v>
      </x:c>
      <x:c r="Z26" s="30" t="n">
        <x:v>7</x:v>
      </x:c>
      <x:c r="AA26" s="30" t="n">
        <x:v>25</x:v>
      </x:c>
      <x:c r="AB26" s="30" t="str">
        <x:v>تست گروه TST مربوطه سبز + پارامترها طبق 03_EVENT_PARAMETERS + ثبت shipping_tier استاندارد</x:v>
      </x:c>
      <x:c r="AC26" s="30" t="str">
        <x:v>نیازمند تکمیل و تأیید مالک</x:v>
      </x:c>
      <x:c r="AD26" s="30" t="str">
        <x:v>نیازمند تکمیل و تأیید مالک</x:v>
      </x:c>
      <x:c r="AE26" s="30" t="str">
        <x:v>تست گروه TST مربوطه سبز + پارامترها طبق 03_EVENT_PARAMETERS + ثبت shipping_tier استاندارد</x:v>
      </x:c>
      <x:c r="AF26" s="30" t="str">
        <x:v>EVT-11</x:v>
      </x:c>
      <x:c r="AG26" s="30" t="str"/>
      <x:c r="AH26" s="30" t="str"/>
    </x:row>
    <x:row r="27">
      <x:c r="A27" s="19" t="inlineStr">
        <x:is>
          <x:t xml:space="preserve">TK-026</x:t>
        </x:is>
      </x:c>
      <x:c r="B27" s="6" t="inlineStr">
        <x:is>
          <x:t xml:space="preserve">پیاده‌سازی رویداد add_payment_info (انتخاب شیوه پرداخت و خزانه‌داری)</x:t>
        </x:is>
      </x:c>
      <x:c r="C27" s="6" t="inlineStr">
        <x:is>
          <x:t xml:space="preserve">Implement Event add_payment_info</x:t>
        </x:is>
      </x:c>
      <x:c r="D27" s="6" t="inlineStr">
        <x:is>
          <x:t xml:space="preserve">Event</x:t>
        </x:is>
      </x:c>
      <x:c r="E27" s="6" t="inlineStr">
        <x:is>
          <x:t xml:space="preserve">EVT-12</x:t>
        </x:is>
      </x:c>
      <x:c r="F27" s="19" t="inlineStr">
        <x:is>
          <x:t xml:space="preserve">W2</x:t>
        </x:is>
      </x:c>
      <x:c r="G27" s="6" t="inlineStr">
        <x:is>
          <x:t xml:space="preserve">S1</x:t>
        </x:is>
      </x:c>
      <x:c r="H27" s="19" t="inlineStr">
        <x:is>
          <x:t xml:space="preserve">Medium</x:t>
        </x:is>
      </x:c>
      <x:c r="I27" s="6" t="inlineStr">
        <x:is>
          <x:t xml:space="preserve">DevOps/Web Engineer</x:t>
        </x:is>
      </x:c>
      <x:c r="J27" s="19" t="n">
        <x:v>4</x:v>
      </x:c>
      <x:c r="K27" s="19" t="n">
        <x:v>2</x:v>
      </x:c>
      <x:c r="L27" s="18" t="n">
        <x:f>J27*2-K27</x:f>
        <x:v>6</x:v>
      </x:c>
      <x:c r="M27" s="6" t="inlineStr">
        <x:is>
          <x:t xml:space="preserve">TK-013, TK-014</x:t>
        </x:is>
      </x:c>
      <x:c r="N27" s="6" t="inlineStr">
        <x:is>
          <x:t xml:space="preserve">تست گروه TST مربوطه سبز + پارامترها طبق 03_EVENT_PARAMETERS + ثبت payment_type و installment_months</x:t>
        </x:is>
      </x:c>
      <x:c r="O27" s="19" t="inlineStr">
        <x:is>
          <x:t xml:space="preserve">Proposed</x:t>
        </x:is>
      </x:c>
      <x:c r="P27" s="6" t="inlineStr">
        <x:is>
          <x:t xml:space="preserve">بررسی سقف اعتبار مالیاتی قبل از گیت‌وی</x:t>
        </x:is>
      </x:c>
      <x:c r="Q27" s="30" t="str">
        <x:v>TK-026</x:v>
      </x:c>
      <x:c r="R27" s="30" t="str"/>
      <x:c r="S27" s="30" t="str">
        <x:v>Event</x:v>
      </x:c>
      <x:c r="T27" s="30" t="str">
        <x:v>EVT-12</x:v>
      </x:c>
      <x:c r="U27" s="30" t="str">
        <x:v>پیاده‌سازی رویداد add_payment_info (انتخاب شیوه پرداخت و خزانه‌داری)</x:v>
      </x:c>
      <x:c r="V27" s="30" t="str">
        <x:v>Pending dependency review</x:v>
      </x:c>
      <x:c r="W27" s="30" t="str">
        <x:v>نیازمند تکمیل و تأیید مالک</x:v>
      </x:c>
      <x:c r="X27" s="30" t="str">
        <x:v>نیازمند تکمیل و تأیید مالک</x:v>
      </x:c>
      <x:c r="Y27" s="30" t="str">
        <x:v>DevOps/Web Engineer</x:v>
      </x:c>
      <x:c r="Z27" s="30" t="n">
        <x:v>7</x:v>
      </x:c>
      <x:c r="AA27" s="30" t="n">
        <x:v>26</x:v>
      </x:c>
      <x:c r="AB27" s="30" t="str">
        <x:v>تست گروه TST مربوطه سبز + پارامترها طبق 03_EVENT_PARAMETERS + ثبت payment_type و installment_months</x:v>
      </x:c>
      <x:c r="AC27" s="30" t="str">
        <x:v>نیازمند تکمیل و تأیید مالک</x:v>
      </x:c>
      <x:c r="AD27" s="30" t="str">
        <x:v>نیازمند تکمیل و تأیید مالک</x:v>
      </x:c>
      <x:c r="AE27" s="30" t="str">
        <x:v>تست گروه TST مربوطه سبز + پارامترها طبق 03_EVENT_PARAMETERS + ثبت payment_type و installment_months</x:v>
      </x:c>
      <x:c r="AF27" s="30" t="str">
        <x:v>EVT-12</x:v>
      </x:c>
      <x:c r="AG27" s="30" t="str"/>
      <x:c r="AH27" s="30" t="str"/>
    </x:row>
    <x:row r="28">
      <x:c r="A28" s="17" t="inlineStr">
        <x:is>
          <x:t xml:space="preserve">TK-027</x:t>
        </x:is>
      </x:c>
      <x:c r="B28" s="4" t="inlineStr">
        <x:is>
          <x:t xml:space="preserve">پیاده‌سازی رویداد purchase (ثبت قطعی خرید و صدور فاکتور)</x:t>
        </x:is>
      </x:c>
      <x:c r="C28" s="4" t="inlineStr">
        <x:is>
          <x:t xml:space="preserve">Implement Event purchase</x:t>
        </x:is>
      </x:c>
      <x:c r="D28" s="4" t="inlineStr">
        <x:is>
          <x:t xml:space="preserve">Event</x:t>
        </x:is>
      </x:c>
      <x:c r="E28" s="4" t="inlineStr">
        <x:is>
          <x:t xml:space="preserve">EVT-13</x:t>
        </x:is>
      </x:c>
      <x:c r="F28" s="17" t="inlineStr">
        <x:is>
          <x:t xml:space="preserve">W2</x:t>
        </x:is>
      </x:c>
      <x:c r="G28" s="4" t="inlineStr">
        <x:is>
          <x:t xml:space="preserve">S1</x:t>
        </x:is>
      </x:c>
      <x:c r="H28" s="17" t="inlineStr">
        <x:is>
          <x:t xml:space="preserve">Critical</x:t>
        </x:is>
      </x:c>
      <x:c r="I28" s="4" t="inlineStr">
        <x:is>
          <x:t xml:space="preserve">Senior Data Engineer</x:t>
        </x:is>
      </x:c>
      <x:c r="J28" s="17" t="n">
        <x:v>4</x:v>
      </x:c>
      <x:c r="K28" s="17" t="n">
        <x:v>3</x:v>
      </x:c>
      <x:c r="L28" s="18" t="n">
        <x:f>J28*2-K28</x:f>
        <x:v>5</x:v>
      </x:c>
      <x:c r="M28" s="4" t="inlineStr">
        <x:is>
          <x:t xml:space="preserve">TK-013, TK-014</x:t>
        </x:is>
      </x:c>
      <x:c r="N28" s="4" t="inlineStr">
        <x:is>
          <x:t xml:space="preserve">تست گروه TST مربوطه سبز + پارامترها طبق 03_EVENT_PARAMETERS + تطبیق ریالی ۱۰۰٪ value با فاکتور؛ دوبار ثبت صفر</x:t>
        </x:is>
      </x:c>
      <x:c r="O28" s="17" t="inlineStr">
        <x:is>
          <x:t xml:space="preserve">Proposed</x:t>
        </x:is>
      </x:c>
      <x:c r="P28" s="4" t="inlineStr">
        <x:is>
          <x:t xml:space="preserve">ارسال مستقیم از بک‌اند مالی؛ user_data فقط هش‌شده (ph/external_id)</x:t>
        </x:is>
      </x:c>
      <x:c r="Q28" s="30" t="str">
        <x:v>TK-027</x:v>
      </x:c>
      <x:c r="R28" s="30" t="str"/>
      <x:c r="S28" s="30" t="str">
        <x:v>Event</x:v>
      </x:c>
      <x:c r="T28" s="30" t="str">
        <x:v>EVT-13</x:v>
      </x:c>
      <x:c r="U28" s="30" t="str">
        <x:v>پیاده‌سازی رویداد purchase (ثبت قطعی خرید و صدور فاکتور)</x:v>
      </x:c>
      <x:c r="V28" s="30" t="str">
        <x:v>Pending dependency review</x:v>
      </x:c>
      <x:c r="W28" s="30" t="str">
        <x:v>نیازمند تکمیل و تأیید مالک</x:v>
      </x:c>
      <x:c r="X28" s="30" t="str">
        <x:v>نیازمند تکمیل و تأیید مالک</x:v>
      </x:c>
      <x:c r="Y28" s="30" t="str">
        <x:v>Senior Data Engineer</x:v>
      </x:c>
      <x:c r="Z28" s="30" t="n">
        <x:v>7</x:v>
      </x:c>
      <x:c r="AA28" s="30" t="n">
        <x:v>27</x:v>
      </x:c>
      <x:c r="AB28" s="30" t="str">
        <x:v>تست گروه TST مربوطه سبز + پارامترها طبق 03_EVENT_PARAMETERS + تطبیق ریالی ۱۰۰٪ value با فاکتور؛ دوبار ثبت صفر</x:v>
      </x:c>
      <x:c r="AC28" s="30" t="str">
        <x:v>نیازمند تکمیل و تأیید مالک</x:v>
      </x:c>
      <x:c r="AD28" s="30" t="str">
        <x:v>نیازمند تکمیل و تأیید مالک</x:v>
      </x:c>
      <x:c r="AE28" s="30" t="str">
        <x:v>تست گروه TST مربوطه سبز + پارامترها طبق 03_EVENT_PARAMETERS + تطبیق ریالی ۱۰۰٪ value با فاکتور؛ دوبار ثبت صفر</x:v>
      </x:c>
      <x:c r="AF28" s="30" t="str">
        <x:v>EVT-13</x:v>
      </x:c>
      <x:c r="AG28" s="30" t="str"/>
      <x:c r="AH28" s="30" t="str"/>
    </x:row>
    <x:row r="29">
      <x:c r="A29" s="19" t="inlineStr">
        <x:is>
          <x:t xml:space="preserve">TK-028</x:t>
        </x:is>
      </x:c>
      <x:c r="B29" s="6" t="inlineStr">
        <x:is>
          <x:t xml:space="preserve">پیاده‌سازی رویداد refund (مرجوعی کالا یا عودت وجه فاکتور)</x:t>
        </x:is>
      </x:c>
      <x:c r="C29" s="6" t="inlineStr">
        <x:is>
          <x:t xml:space="preserve">Implement Event refund</x:t>
        </x:is>
      </x:c>
      <x:c r="D29" s="6" t="inlineStr">
        <x:is>
          <x:t xml:space="preserve">Event</x:t>
        </x:is>
      </x:c>
      <x:c r="E29" s="6" t="inlineStr">
        <x:is>
          <x:t xml:space="preserve">EVT-14</x:t>
        </x:is>
      </x:c>
      <x:c r="F29" s="19" t="inlineStr">
        <x:is>
          <x:t xml:space="preserve">W2</x:t>
        </x:is>
      </x:c>
      <x:c r="G29" s="6" t="inlineStr">
        <x:is>
          <x:t xml:space="preserve">S1</x:t>
        </x:is>
      </x:c>
      <x:c r="H29" s="19" t="inlineStr">
        <x:is>
          <x:t xml:space="preserve">Critical</x:t>
        </x:is>
      </x:c>
      <x:c r="I29" s="6" t="inlineStr">
        <x:is>
          <x:t xml:space="preserve">Senior Data Engineer</x:t>
        </x:is>
      </x:c>
      <x:c r="J29" s="19" t="n">
        <x:v>4</x:v>
      </x:c>
      <x:c r="K29" s="19" t="n">
        <x:v>3</x:v>
      </x:c>
      <x:c r="L29" s="18" t="n">
        <x:f>J29*2-K29</x:f>
        <x:v>5</x:v>
      </x:c>
      <x:c r="M29" s="6" t="inlineStr">
        <x:is>
          <x:t xml:space="preserve">TK-013, TK-014</x:t>
        </x:is>
      </x:c>
      <x:c r="N29" s="6" t="inlineStr">
        <x:is>
          <x:t xml:space="preserve">تست گروه TST مربوطه سبز + پارامترها طبق 03_EVENT_PARAMETERS + کسر دقیق از Net Revenue؛ ثبت refund_type (full/partial)</x:t>
        </x:is>
      </x:c>
      <x:c r="O29" s="19" t="inlineStr">
        <x:is>
          <x:t xml:space="preserve">Proposed</x:t>
        </x:is>
      </x:c>
      <x:c r="P29" s="6" t="inlineStr">
        <x:is>
          <x:t xml:space="preserve">SLA: ثبت مرجوعی حداکثر ۲۴ ساعت پس از تحویل (قرارداد WMS)</x:t>
        </x:is>
      </x:c>
      <x:c r="Q29" s="30" t="str">
        <x:v>TK-028</x:v>
      </x:c>
      <x:c r="R29" s="30" t="str"/>
      <x:c r="S29" s="30" t="str">
        <x:v>Event</x:v>
      </x:c>
      <x:c r="T29" s="30" t="str">
        <x:v>EVT-14</x:v>
      </x:c>
      <x:c r="U29" s="30" t="str">
        <x:v>پیاده‌سازی رویداد refund (مرجوعی کالا یا عودت وجه فاکتور)</x:v>
      </x:c>
      <x:c r="V29" s="30" t="str">
        <x:v>Pending dependency review</x:v>
      </x:c>
      <x:c r="W29" s="30" t="str">
        <x:v>نیازمند تکمیل و تأیید مالک</x:v>
      </x:c>
      <x:c r="X29" s="30" t="str">
        <x:v>نیازمند تکمیل و تأیید مالک</x:v>
      </x:c>
      <x:c r="Y29" s="30" t="str">
        <x:v>Senior Data Engineer</x:v>
      </x:c>
      <x:c r="Z29" s="30" t="n">
        <x:v>7</x:v>
      </x:c>
      <x:c r="AA29" s="30" t="n">
        <x:v>28</x:v>
      </x:c>
      <x:c r="AB29" s="30" t="str">
        <x:v>تست گروه TST مربوطه سبز + پارامترها طبق 03_EVENT_PARAMETERS + کسر دقیق از Net Revenue؛ ثبت refund_type (full/partial)</x:v>
      </x:c>
      <x:c r="AC29" s="30" t="str">
        <x:v>نیازمند تکمیل و تأیید مالک</x:v>
      </x:c>
      <x:c r="AD29" s="30" t="str">
        <x:v>نیازمند تکمیل و تأیید مالک</x:v>
      </x:c>
      <x:c r="AE29" s="30" t="str">
        <x:v>تست گروه TST مربوطه سبز + پارامترها طبق 03_EVENT_PARAMETERS + کسر دقیق از Net Revenue؛ ثبت refund_type (full/partial)</x:v>
      </x:c>
      <x:c r="AF29" s="30" t="str">
        <x:v>EVT-14</x:v>
      </x:c>
      <x:c r="AG29" s="30" t="str"/>
      <x:c r="AH29" s="30" t="str"/>
    </x:row>
    <x:row r="30">
      <x:c r="A30" s="17" t="inlineStr">
        <x:is>
          <x:t xml:space="preserve">TK-029</x:t>
        </x:is>
      </x:c>
      <x:c r="B30" s="4" t="inlineStr">
        <x:is>
          <x:t xml:space="preserve">پیاده‌سازی رویداد repeat_purchase (خرید مجدد دندان‌پزشک در چرخه وفاداری)</x:t>
        </x:is>
      </x:c>
      <x:c r="C30" s="4" t="inlineStr">
        <x:is>
          <x:t xml:space="preserve">Implement Event repeat_purchase</x:t>
        </x:is>
      </x:c>
      <x:c r="D30" s="4" t="inlineStr">
        <x:is>
          <x:t xml:space="preserve">Event</x:t>
        </x:is>
      </x:c>
      <x:c r="E30" s="4" t="inlineStr">
        <x:is>
          <x:t xml:space="preserve">EVT-15</x:t>
        </x:is>
      </x:c>
      <x:c r="F30" s="17" t="inlineStr">
        <x:is>
          <x:t xml:space="preserve">W2</x:t>
        </x:is>
      </x:c>
      <x:c r="G30" s="4" t="inlineStr">
        <x:is>
          <x:t xml:space="preserve">S1</x:t>
        </x:is>
      </x:c>
      <x:c r="H30" s="17" t="inlineStr">
        <x:is>
          <x:t xml:space="preserve">Critical</x:t>
        </x:is>
      </x:c>
      <x:c r="I30" s="4" t="inlineStr">
        <x:is>
          <x:t xml:space="preserve">Senior Data Engineer</x:t>
        </x:is>
      </x:c>
      <x:c r="J30" s="17" t="n">
        <x:v>4</x:v>
      </x:c>
      <x:c r="K30" s="17" t="n">
        <x:v>2</x:v>
      </x:c>
      <x:c r="L30" s="18" t="n">
        <x:f>J30*2-K30</x:f>
        <x:v>6</x:v>
      </x:c>
      <x:c r="M30" s="4" t="inlineStr">
        <x:is>
          <x:t xml:space="preserve">TK-013, TK-014</x:t>
        </x:is>
      </x:c>
      <x:c r="N30" s="4" t="inlineStr">
        <x:is>
          <x:t xml:space="preserve">تست گروه TST مربوطه سبز + پارامترها طبق 03_EVENT_PARAMETERS + به‌روزرسانی Order Interval Days و CLV در دیتابیس</x:t>
        </x:is>
      </x:c>
      <x:c r="O30" s="17" t="inlineStr">
        <x:is>
          <x:t xml:space="preserve">Proposed</x:t>
        </x:is>
      </x:c>
      <x:c r="P30" s="4" t="inlineStr">
        <x:is>
          <x:t xml:space="preserve">برچسب Customer Lifetime Stage در GA4</x:t>
        </x:is>
      </x:c>
      <x:c r="Q30" s="30" t="str">
        <x:v>TK-029</x:v>
      </x:c>
      <x:c r="R30" s="30" t="str"/>
      <x:c r="S30" s="30" t="str">
        <x:v>Event</x:v>
      </x:c>
      <x:c r="T30" s="30" t="str">
        <x:v>EVT-15</x:v>
      </x:c>
      <x:c r="U30" s="30" t="str">
        <x:v>پیاده‌سازی رویداد repeat_purchase (خرید مجدد دندان‌پزشک در چرخه وفاداری)</x:v>
      </x:c>
      <x:c r="V30" s="30" t="str">
        <x:v>Pending dependency review</x:v>
      </x:c>
      <x:c r="W30" s="30" t="str">
        <x:v>نیازمند تکمیل و تأیید مالک</x:v>
      </x:c>
      <x:c r="X30" s="30" t="str">
        <x:v>نیازمند تکمیل و تأیید مالک</x:v>
      </x:c>
      <x:c r="Y30" s="30" t="str">
        <x:v>Senior Data Engineer</x:v>
      </x:c>
      <x:c r="Z30" s="30" t="n">
        <x:v>7</x:v>
      </x:c>
      <x:c r="AA30" s="30" t="n">
        <x:v>29</x:v>
      </x:c>
      <x:c r="AB30" s="30" t="str">
        <x:v>تست گروه TST مربوطه سبز + پارامترها طبق 03_EVENT_PARAMETERS + به‌روزرسانی Order Interval Days و CLV در دیتابیس</x:v>
      </x:c>
      <x:c r="AC30" s="30" t="str">
        <x:v>نیازمند تکمیل و تأیید مالک</x:v>
      </x:c>
      <x:c r="AD30" s="30" t="str">
        <x:v>نیازمند تکمیل و تأیید مالک</x:v>
      </x:c>
      <x:c r="AE30" s="30" t="str">
        <x:v>تست گروه TST مربوطه سبز + پارامترها طبق 03_EVENT_PARAMETERS + به‌روزرسانی Order Interval Days و CLV در دیتابیس</x:v>
      </x:c>
      <x:c r="AF30" s="30" t="str">
        <x:v>EVT-15</x:v>
      </x:c>
      <x:c r="AG30" s="30" t="str"/>
      <x:c r="AH30" s="30" t="str"/>
    </x:row>
    <x:row r="31">
      <x:c r="A31" s="19" t="inlineStr">
        <x:is>
          <x:t xml:space="preserve">TK-030</x:t>
        </x:is>
      </x:c>
      <x:c r="B31" s="6" t="inlineStr">
        <x:is>
          <x:t xml:space="preserve">پیاده‌سازی رویداد generate_lead (ثبت لید و فرم تماس اولیه)</x:t>
        </x:is>
      </x:c>
      <x:c r="C31" s="6" t="inlineStr">
        <x:is>
          <x:t xml:space="preserve">Implement Event generate_lead</x:t>
        </x:is>
      </x:c>
      <x:c r="D31" s="6" t="inlineStr">
        <x:is>
          <x:t xml:space="preserve">Event</x:t>
        </x:is>
      </x:c>
      <x:c r="E31" s="6" t="inlineStr">
        <x:is>
          <x:t xml:space="preserve">EVT-16</x:t>
        </x:is>
      </x:c>
      <x:c r="F31" s="19" t="inlineStr">
        <x:is>
          <x:t xml:space="preserve">W2</x:t>
        </x:is>
      </x:c>
      <x:c r="G31" s="6" t="inlineStr">
        <x:is>
          <x:t xml:space="preserve">S1</x:t>
        </x:is>
      </x:c>
      <x:c r="H31" s="19" t="inlineStr">
        <x:is>
          <x:t xml:space="preserve">Critical</x:t>
        </x:is>
      </x:c>
      <x:c r="I31" s="6" t="inlineStr">
        <x:is>
          <x:t xml:space="preserve">CRM Manager</x:t>
        </x:is>
      </x:c>
      <x:c r="J31" s="19" t="n">
        <x:v>4</x:v>
      </x:c>
      <x:c r="K31" s="19" t="n">
        <x:v>3</x:v>
      </x:c>
      <x:c r="L31" s="18" t="n">
        <x:f>J31*2-K31</x:f>
        <x:v>5</x:v>
      </x:c>
      <x:c r="M31" s="6" t="inlineStr">
        <x:is>
          <x:t xml:space="preserve">TK-013, TK-014</x:t>
        </x:is>
      </x:c>
      <x:c r="N31" s="6" t="inlineStr">
        <x:is>
          <x:t xml:space="preserve">تست گروه TST مربوطه سبز + پارامترها طبق 03_EVENT_PARAMETERS + ایجاد وظیفه تماس خودکار در CRM و ارسال ph هش‌شده</x:t>
        </x:is>
      </x:c>
      <x:c r="O31" s="19" t="inlineStr">
        <x:is>
          <x:t xml:space="preserve">Proposed</x:t>
        </x:is>
      </x:c>
      <x:c r="P31" s="6" t="inlineStr">
        <x:is>
          <x:t xml:space="preserve">lead_type استاندارد: consultation_request / demo_request / inquiry</x:t>
        </x:is>
      </x:c>
      <x:c r="Q31" s="30" t="str">
        <x:v>TK-030</x:v>
      </x:c>
      <x:c r="R31" s="30" t="str"/>
      <x:c r="S31" s="30" t="str">
        <x:v>Event</x:v>
      </x:c>
      <x:c r="T31" s="30" t="str">
        <x:v>EVT-16</x:v>
      </x:c>
      <x:c r="U31" s="30" t="str">
        <x:v>پیاده‌سازی رویداد generate_lead (ثبت لید و فرم تماس اولیه)</x:v>
      </x:c>
      <x:c r="V31" s="30" t="str">
        <x:v>Pending dependency review</x:v>
      </x:c>
      <x:c r="W31" s="30" t="str">
        <x:v>نیازمند تکمیل و تأیید مالک</x:v>
      </x:c>
      <x:c r="X31" s="30" t="str">
        <x:v>نیازمند تکمیل و تأیید مالک</x:v>
      </x:c>
      <x:c r="Y31" s="30" t="str">
        <x:v>CRM Manager</x:v>
      </x:c>
      <x:c r="Z31" s="30" t="n">
        <x:v>7</x:v>
      </x:c>
      <x:c r="AA31" s="30" t="n">
        <x:v>30</x:v>
      </x:c>
      <x:c r="AB31" s="30" t="str">
        <x:v>تست گروه TST مربوطه سبز + پارامترها طبق 03_EVENT_PARAMETERS + ایجاد وظیفه تماس خودکار در CRM و ارسال ph هش‌شده</x:v>
      </x:c>
      <x:c r="AC31" s="30" t="str">
        <x:v>نیازمند تکمیل و تأیید مالک</x:v>
      </x:c>
      <x:c r="AD31" s="30" t="str">
        <x:v>نیازمند تکمیل و تأیید مالک</x:v>
      </x:c>
      <x:c r="AE31" s="30" t="str">
        <x:v>تست گروه TST مربوطه سبز + پارامترها طبق 03_EVENT_PARAMETERS + ایجاد وظیفه تماس خودکار در CRM و ارسال ph هش‌شده</x:v>
      </x:c>
      <x:c r="AF31" s="30" t="str">
        <x:v>EVT-16</x:v>
      </x:c>
      <x:c r="AG31" s="30" t="str"/>
      <x:c r="AH31" s="30" t="str"/>
    </x:row>
    <x:row r="32">
      <x:c r="A32" s="17" t="inlineStr">
        <x:is>
          <x:t xml:space="preserve">TK-031</x:t>
        </x:is>
      </x:c>
      <x:c r="B32" s="4" t="inlineStr">
        <x:is>
          <x:t xml:space="preserve">پیاده‌سازی رویداد submit_clinic_inquiry (استعلام رسمی قیمت و پیش‌فاکتور کلینیک)</x:t>
        </x:is>
      </x:c>
      <x:c r="C32" s="4" t="inlineStr">
        <x:is>
          <x:t xml:space="preserve">Implement Event submit_clinic_inquiry</x:t>
        </x:is>
      </x:c>
      <x:c r="D32" s="4" t="inlineStr">
        <x:is>
          <x:t xml:space="preserve">Event</x:t>
        </x:is>
      </x:c>
      <x:c r="E32" s="4" t="inlineStr">
        <x:is>
          <x:t xml:space="preserve">EVT-17</x:t>
        </x:is>
      </x:c>
      <x:c r="F32" s="17" t="inlineStr">
        <x:is>
          <x:t xml:space="preserve">W2</x:t>
        </x:is>
      </x:c>
      <x:c r="G32" s="4" t="inlineStr">
        <x:is>
          <x:t xml:space="preserve">S1</x:t>
        </x:is>
      </x:c>
      <x:c r="H32" s="17" t="inlineStr">
        <x:is>
          <x:t xml:space="preserve">High</x:t>
        </x:is>
      </x:c>
      <x:c r="I32" s="4" t="inlineStr">
        <x:is>
          <x:t xml:space="preserve">CRM Manager</x:t>
        </x:is>
      </x:c>
      <x:c r="J32" s="17" t="n">
        <x:v>4</x:v>
      </x:c>
      <x:c r="K32" s="17" t="n">
        <x:v>3</x:v>
      </x:c>
      <x:c r="L32" s="18" t="n">
        <x:f>J32*2-K32</x:f>
        <x:v>5</x:v>
      </x:c>
      <x:c r="M32" s="4" t="inlineStr">
        <x:is>
          <x:t xml:space="preserve">TK-013, TK-014</x:t>
        </x:is>
      </x:c>
      <x:c r="N32" s="4" t="inlineStr">
        <x:is>
          <x:t xml:space="preserve">تست گروه TST مربوطه سبز + پارامترها طبق 03_EVENT_PARAMETERS + ارجاع خودکار به مدیر فروش کلیدی با estimated_value</x:t>
        </x:is>
      </x:c>
      <x:c r="O32" s="17" t="inlineStr">
        <x:is>
          <x:t xml:space="preserve">Proposed</x:t>
        </x:is>
      </x:c>
      <x:c r="P32" s="4" t="inlineStr">
        <x:is>
          <x:t xml:space="preserve">برچسب B2B_HighTicket_Inquiry در CAPI</x:t>
        </x:is>
      </x:c>
      <x:c r="Q32" s="30" t="str">
        <x:v>TK-031</x:v>
      </x:c>
      <x:c r="R32" s="30" t="str"/>
      <x:c r="S32" s="30" t="str">
        <x:v>Event</x:v>
      </x:c>
      <x:c r="T32" s="30" t="str">
        <x:v>EVT-17</x:v>
      </x:c>
      <x:c r="U32" s="30" t="str">
        <x:v>پیاده‌سازی رویداد submit_clinic_inquiry (استعلام رسمی قیمت و پیش‌فاکتور کلینیک)</x:v>
      </x:c>
      <x:c r="V32" s="30" t="str">
        <x:v>Pending dependency review</x:v>
      </x:c>
      <x:c r="W32" s="30" t="str">
        <x:v>نیازمند تکمیل و تأیید مالک</x:v>
      </x:c>
      <x:c r="X32" s="30" t="str">
        <x:v>نیازمند تکمیل و تأیید مالک</x:v>
      </x:c>
      <x:c r="Y32" s="30" t="str">
        <x:v>CRM Manager</x:v>
      </x:c>
      <x:c r="Z32" s="30" t="n">
        <x:v>7</x:v>
      </x:c>
      <x:c r="AA32" s="30" t="n">
        <x:v>31</x:v>
      </x:c>
      <x:c r="AB32" s="30" t="str">
        <x:v>تست گروه TST مربوطه سبز + پارامترها طبق 03_EVENT_PARAMETERS + ارجاع خودکار به مدیر فروش کلیدی با estimated_value</x:v>
      </x:c>
      <x:c r="AC32" s="30" t="str">
        <x:v>نیازمند تکمیل و تأیید مالک</x:v>
      </x:c>
      <x:c r="AD32" s="30" t="str">
        <x:v>نیازمند تکمیل و تأیید مالک</x:v>
      </x:c>
      <x:c r="AE32" s="30" t="str">
        <x:v>تست گروه TST مربوطه سبز + پارامترها طبق 03_EVENT_PARAMETERS + ارجاع خودکار به مدیر فروش کلیدی با estimated_value</x:v>
      </x:c>
      <x:c r="AF32" s="30" t="str">
        <x:v>EVT-17</x:v>
      </x:c>
      <x:c r="AG32" s="30" t="str"/>
      <x:c r="AH32" s="30" t="str"/>
    </x:row>
    <x:row r="33">
      <x:c r="A33" s="19" t="inlineStr">
        <x:is>
          <x:t xml:space="preserve">TK-032</x:t>
        </x:is>
      </x:c>
      <x:c r="B33" s="6" t="inlineStr">
        <x:is>
          <x:t xml:space="preserve">پیاده‌سازی رویداد request_equipment_demo (درخواست دمو حضوری تجهیزات بزرگ)</x:t>
        </x:is>
      </x:c>
      <x:c r="C33" s="6" t="inlineStr">
        <x:is>
          <x:t xml:space="preserve">Implement Event request_equipment_demo</x:t>
        </x:is>
      </x:c>
      <x:c r="D33" s="6" t="inlineStr">
        <x:is>
          <x:t xml:space="preserve">Event</x:t>
        </x:is>
      </x:c>
      <x:c r="E33" s="6" t="inlineStr">
        <x:is>
          <x:t xml:space="preserve">EVT-18</x:t>
        </x:is>
      </x:c>
      <x:c r="F33" s="19" t="inlineStr">
        <x:is>
          <x:t xml:space="preserve">W2</x:t>
        </x:is>
      </x:c>
      <x:c r="G33" s="6" t="inlineStr">
        <x:is>
          <x:t xml:space="preserve">S1</x:t>
        </x:is>
      </x:c>
      <x:c r="H33" s="19" t="inlineStr">
        <x:is>
          <x:t xml:space="preserve">High</x:t>
        </x:is>
      </x:c>
      <x:c r="I33" s="6" t="inlineStr">
        <x:is>
          <x:t xml:space="preserve">CRM Manager</x:t>
        </x:is>
      </x:c>
      <x:c r="J33" s="19" t="n">
        <x:v>4</x:v>
      </x:c>
      <x:c r="K33" s="19" t="n">
        <x:v>2</x:v>
      </x:c>
      <x:c r="L33" s="18" t="n">
        <x:f>J33*2-K33</x:f>
        <x:v>6</x:v>
      </x:c>
      <x:c r="M33" s="6" t="inlineStr">
        <x:is>
          <x:t xml:space="preserve">TK-013, TK-014</x:t>
        </x:is>
      </x:c>
      <x:c r="N33" s="6" t="inlineStr">
        <x:is>
          <x:t xml:space="preserve">تست گروه TST مربوطه سبز + پارامترها طبق 03_EVENT_PARAMETERS + ایجاد پرونده رزرو شوروم و تخصیص کارشناس</x:t>
        </x:is>
      </x:c>
      <x:c r="O33" s="19" t="inlineStr">
        <x:is>
          <x:t xml:space="preserve">Proposed</x:t>
        </x:is>
      </x:c>
      <x:c r="P33" s="6" t="inlineStr">
        <x:is>
          <x:t xml:space="preserve">ارزش‌گذاری فرضی بالا در CAPI (Schedule)</x:t>
        </x:is>
      </x:c>
      <x:c r="Q33" s="30" t="str">
        <x:v>TK-032</x:v>
      </x:c>
      <x:c r="R33" s="30" t="str"/>
      <x:c r="S33" s="30" t="str">
        <x:v>Event</x:v>
      </x:c>
      <x:c r="T33" s="30" t="str">
        <x:v>EVT-18</x:v>
      </x:c>
      <x:c r="U33" s="30" t="str">
        <x:v>پیاده‌سازی رویداد request_equipment_demo (درخواست دمو حضوری تجهیزات بزرگ)</x:v>
      </x:c>
      <x:c r="V33" s="30" t="str">
        <x:v>Pending dependency review</x:v>
      </x:c>
      <x:c r="W33" s="30" t="str">
        <x:v>نیازمند تکمیل و تأیید مالک</x:v>
      </x:c>
      <x:c r="X33" s="30" t="str">
        <x:v>نیازمند تکمیل و تأیید مالک</x:v>
      </x:c>
      <x:c r="Y33" s="30" t="str">
        <x:v>CRM Manager</x:v>
      </x:c>
      <x:c r="Z33" s="30" t="n">
        <x:v>7</x:v>
      </x:c>
      <x:c r="AA33" s="30" t="n">
        <x:v>32</x:v>
      </x:c>
      <x:c r="AB33" s="30" t="str">
        <x:v>تست گروه TST مربوطه سبز + پارامترها طبق 03_EVENT_PARAMETERS + ایجاد پرونده رزرو شوروم و تخصیص کارشناس</x:v>
      </x:c>
      <x:c r="AC33" s="30" t="str">
        <x:v>نیازمند تکمیل و تأیید مالک</x:v>
      </x:c>
      <x:c r="AD33" s="30" t="str">
        <x:v>نیازمند تکمیل و تأیید مالک</x:v>
      </x:c>
      <x:c r="AE33" s="30" t="str">
        <x:v>تست گروه TST مربوطه سبز + پارامترها طبق 03_EVENT_PARAMETERS + ایجاد پرونده رزرو شوروم و تخصیص کارشناس</x:v>
      </x:c>
      <x:c r="AF33" s="30" t="str">
        <x:v>EVT-18</x:v>
      </x:c>
      <x:c r="AG33" s="30" t="str"/>
      <x:c r="AH33" s="30" t="str"/>
    </x:row>
    <x:row r="34">
      <x:c r="A34" s="17" t="inlineStr">
        <x:is>
          <x:t xml:space="preserve">TK-033</x:t>
        </x:is>
      </x:c>
      <x:c r="B34" s="4" t="inlineStr">
        <x:is>
          <x:t xml:space="preserve">پیاده‌سازی رویداد schedule_sales_call (رزرو زمان تماس مشاوره تلفنی با مهندس فروش)</x:t>
        </x:is>
      </x:c>
      <x:c r="C34" s="4" t="inlineStr">
        <x:is>
          <x:t xml:space="preserve">Implement Event schedule_sales_call</x:t>
        </x:is>
      </x:c>
      <x:c r="D34" s="4" t="inlineStr">
        <x:is>
          <x:t xml:space="preserve">Event</x:t>
        </x:is>
      </x:c>
      <x:c r="E34" s="4" t="inlineStr">
        <x:is>
          <x:t xml:space="preserve">EVT-19</x:t>
        </x:is>
      </x:c>
      <x:c r="F34" s="17" t="inlineStr">
        <x:is>
          <x:t xml:space="preserve">W2</x:t>
        </x:is>
      </x:c>
      <x:c r="G34" s="4" t="inlineStr">
        <x:is>
          <x:t xml:space="preserve">S1</x:t>
        </x:is>
      </x:c>
      <x:c r="H34" s="17" t="inlineStr">
        <x:is>
          <x:t xml:space="preserve">Medium</x:t>
        </x:is>
      </x:c>
      <x:c r="I34" s="4" t="inlineStr">
        <x:is>
          <x:t xml:space="preserve">CRM Manager</x:t>
        </x:is>
      </x:c>
      <x:c r="J34" s="17" t="n">
        <x:v>4</x:v>
      </x:c>
      <x:c r="K34" s="17" t="n">
        <x:v>2</x:v>
      </x:c>
      <x:c r="L34" s="18" t="n">
        <x:f>J34*2-K34</x:f>
        <x:v>6</x:v>
      </x:c>
      <x:c r="M34" s="4" t="inlineStr">
        <x:is>
          <x:t xml:space="preserve">TK-013, TK-014</x:t>
        </x:is>
      </x:c>
      <x:c r="N34" s="4" t="inlineStr">
        <x:is>
          <x:t xml:space="preserve">تست گروه TST مربوطه سبز + پارامترها طبق 03_EVENT_PARAMETERS + ارسال تقویم iCal به فروش و SMS یادآوری به دندان‌پزشک</x:t>
        </x:is>
      </x:c>
      <x:c r="O34" s="17" t="inlineStr">
        <x:is>
          <x:t xml:space="preserve">Proposed</x:t>
        </x:is>
      </x:c>
      <x:c r="P34" s="4" t="inlineStr">
        <x:is>
          <x:t xml:space="preserve">call_topic از لیست استاندارد</x:t>
        </x:is>
      </x:c>
      <x:c r="Q34" s="30" t="str">
        <x:v>TK-033</x:v>
      </x:c>
      <x:c r="R34" s="30" t="str"/>
      <x:c r="S34" s="30" t="str">
        <x:v>Event</x:v>
      </x:c>
      <x:c r="T34" s="30" t="str">
        <x:v>EVT-19</x:v>
      </x:c>
      <x:c r="U34" s="30" t="str">
        <x:v>پیاده‌سازی رویداد schedule_sales_call (رزرو زمان تماس مشاوره تلفنی با مهندس فروش)</x:v>
      </x:c>
      <x:c r="V34" s="30" t="str">
        <x:v>Pending dependency review</x:v>
      </x:c>
      <x:c r="W34" s="30" t="str">
        <x:v>نیازمند تکمیل و تأیید مالک</x:v>
      </x:c>
      <x:c r="X34" s="30" t="str">
        <x:v>نیازمند تکمیل و تأیید مالک</x:v>
      </x:c>
      <x:c r="Y34" s="30" t="str">
        <x:v>CRM Manager</x:v>
      </x:c>
      <x:c r="Z34" s="30" t="n">
        <x:v>7</x:v>
      </x:c>
      <x:c r="AA34" s="30" t="n">
        <x:v>33</x:v>
      </x:c>
      <x:c r="AB34" s="30" t="str">
        <x:v>تست گروه TST مربوطه سبز + پارامترها طبق 03_EVENT_PARAMETERS + ارسال تقویم iCal به فروش و SMS یادآوری به دندان‌پزشک</x:v>
      </x:c>
      <x:c r="AC34" s="30" t="str">
        <x:v>نیازمند تکمیل و تأیید مالک</x:v>
      </x:c>
      <x:c r="AD34" s="30" t="str">
        <x:v>نیازمند تکمیل و تأیید مالک</x:v>
      </x:c>
      <x:c r="AE34" s="30" t="str">
        <x:v>تست گروه TST مربوطه سبز + پارامترها طبق 03_EVENT_PARAMETERS + ارسال تقویم iCal به فروش و SMS یادآوری به دندان‌پزشک</x:v>
      </x:c>
      <x:c r="AF34" s="30" t="str">
        <x:v>EVT-19</x:v>
      </x:c>
      <x:c r="AG34" s="30" t="str"/>
      <x:c r="AH34" s="30" t="str"/>
    </x:row>
    <x:row r="35">
      <x:c r="A35" s="19" t="inlineStr">
        <x:is>
          <x:t xml:space="preserve">TK-034</x:t>
        </x:is>
      </x:c>
      <x:c r="B35" s="6" t="inlineStr">
        <x:is>
          <x:t xml:space="preserve">پیاده‌سازی رویداد view_promotion (مشاهده بنر یا پروموشن تبلیغاتی در سایت)</x:t>
        </x:is>
      </x:c>
      <x:c r="C35" s="6" t="inlineStr">
        <x:is>
          <x:t xml:space="preserve">Implement Event view_promotion</x:t>
        </x:is>
      </x:c>
      <x:c r="D35" s="6" t="inlineStr">
        <x:is>
          <x:t xml:space="preserve">Event</x:t>
        </x:is>
      </x:c>
      <x:c r="E35" s="6" t="inlineStr">
        <x:is>
          <x:t xml:space="preserve">EVT-20</x:t>
        </x:is>
      </x:c>
      <x:c r="F35" s="19" t="inlineStr">
        <x:is>
          <x:t xml:space="preserve">W2</x:t>
        </x:is>
      </x:c>
      <x:c r="G35" s="6" t="inlineStr">
        <x:is>
          <x:t xml:space="preserve">S1</x:t>
        </x:is>
      </x:c>
      <x:c r="H35" s="19" t="inlineStr">
        <x:is>
          <x:t xml:space="preserve">Medium</x:t>
        </x:is>
      </x:c>
      <x:c r="I35" s="6" t="inlineStr">
        <x:is>
          <x:t xml:space="preserve">DevOps/Web Engineer</x:t>
        </x:is>
      </x:c>
      <x:c r="J35" s="19" t="n">
        <x:v>4</x:v>
      </x:c>
      <x:c r="K35" s="19" t="n">
        <x:v>2</x:v>
      </x:c>
      <x:c r="L35" s="18" t="n">
        <x:f>J35*2-K35</x:f>
        <x:v>6</x:v>
      </x:c>
      <x:c r="M35" s="6" t="inlineStr">
        <x:is>
          <x:t xml:space="preserve">TK-013, TK-014</x:t>
        </x:is>
      </x:c>
      <x:c r="N35" s="6" t="inlineStr">
        <x:is>
          <x:t xml:space="preserve">تست گروه TST مربوطه سبز + پارامترها طبق 03_EVENT_PARAMETERS + ثبت creative_slot استاندارد</x:t>
        </x:is>
      </x:c>
      <x:c r="O35" s="19" t="inlineStr">
        <x:is>
          <x:t xml:space="preserve">Proposed</x:t>
        </x:is>
      </x:c>
      <x:c r="P35" s="6" t="inlineStr">
        <x:is>
          <x:t xml:space="preserve">Impression بر پایه دیدگی واقعی (Intersection Observer)</x:t>
        </x:is>
      </x:c>
      <x:c r="Q35" s="30" t="str">
        <x:v>TK-034</x:v>
      </x:c>
      <x:c r="R35" s="30" t="str"/>
      <x:c r="S35" s="30" t="str">
        <x:v>Event</x:v>
      </x:c>
      <x:c r="T35" s="30" t="str">
        <x:v>EVT-20</x:v>
      </x:c>
      <x:c r="U35" s="30" t="str">
        <x:v>پیاده‌سازی رویداد view_promotion (مشاهده بنر یا پروموشن تبلیغاتی در سایت)</x:v>
      </x:c>
      <x:c r="V35" s="30" t="str">
        <x:v>Pending dependency review</x:v>
      </x:c>
      <x:c r="W35" s="30" t="str">
        <x:v>نیازمند تکمیل و تأیید مالک</x:v>
      </x:c>
      <x:c r="X35" s="30" t="str">
        <x:v>نیازمند تکمیل و تأیید مالک</x:v>
      </x:c>
      <x:c r="Y35" s="30" t="str">
        <x:v>DevOps/Web Engineer</x:v>
      </x:c>
      <x:c r="Z35" s="30" t="n">
        <x:v>7</x:v>
      </x:c>
      <x:c r="AA35" s="30" t="n">
        <x:v>34</x:v>
      </x:c>
      <x:c r="AB35" s="30" t="str">
        <x:v>تست گروه TST مربوطه سبز + پارامترها طبق 03_EVENT_PARAMETERS + ثبت creative_slot استاندارد</x:v>
      </x:c>
      <x:c r="AC35" s="30" t="str">
        <x:v>نیازمند تکمیل و تأیید مالک</x:v>
      </x:c>
      <x:c r="AD35" s="30" t="str">
        <x:v>نیازمند تکمیل و تأیید مالک</x:v>
      </x:c>
      <x:c r="AE35" s="30" t="str">
        <x:v>تست گروه TST مربوطه سبز + پارامترها طبق 03_EVENT_PARAMETERS + ثبت creative_slot استاندارد</x:v>
      </x:c>
      <x:c r="AF35" s="30" t="str">
        <x:v>EVT-20</x:v>
      </x:c>
      <x:c r="AG35" s="30" t="str"/>
      <x:c r="AH35" s="30" t="str"/>
    </x:row>
    <x:row r="36">
      <x:c r="A36" s="17" t="inlineStr">
        <x:is>
          <x:t xml:space="preserve">TK-035</x:t>
        </x:is>
      </x:c>
      <x:c r="B36" s="4" t="inlineStr">
        <x:is>
          <x:t xml:space="preserve">پیاده‌سازی رویداد select_promotion (کلیک روی بنر جشنواره و آفر اختصاصی)</x:t>
        </x:is>
      </x:c>
      <x:c r="C36" s="4" t="inlineStr">
        <x:is>
          <x:t xml:space="preserve">Implement Event select_promotion</x:t>
        </x:is>
      </x:c>
      <x:c r="D36" s="4" t="inlineStr">
        <x:is>
          <x:t xml:space="preserve">Event</x:t>
        </x:is>
      </x:c>
      <x:c r="E36" s="4" t="inlineStr">
        <x:is>
          <x:t xml:space="preserve">EVT-21</x:t>
        </x:is>
      </x:c>
      <x:c r="F36" s="17" t="inlineStr">
        <x:is>
          <x:t xml:space="preserve">W2</x:t>
        </x:is>
      </x:c>
      <x:c r="G36" s="4" t="inlineStr">
        <x:is>
          <x:t xml:space="preserve">S1</x:t>
        </x:is>
      </x:c>
      <x:c r="H36" s="17" t="inlineStr">
        <x:is>
          <x:t xml:space="preserve">Medium</x:t>
        </x:is>
      </x:c>
      <x:c r="I36" s="4" t="inlineStr">
        <x:is>
          <x:t xml:space="preserve">DevOps/Web Engineer</x:t>
        </x:is>
      </x:c>
      <x:c r="J36" s="17" t="n">
        <x:v>4</x:v>
      </x:c>
      <x:c r="K36" s="17" t="n">
        <x:v>2</x:v>
      </x:c>
      <x:c r="L36" s="18" t="n">
        <x:f>J36*2-K36</x:f>
        <x:v>6</x:v>
      </x:c>
      <x:c r="M36" s="4" t="inlineStr">
        <x:is>
          <x:t xml:space="preserve">TK-013, TK-014</x:t>
        </x:is>
      </x:c>
      <x:c r="N36" s="4" t="inlineStr">
        <x:is>
          <x:t xml:space="preserve">تست گروه TST مربوطه سبز + پارامترها طبق 03_EVENT_PARAMETERS + ثبت destination_url برای تحلیل مسیر</x:t>
        </x:is>
      </x:c>
      <x:c r="O36" s="17" t="inlineStr">
        <x:is>
          <x:t xml:space="preserve">Proposed</x:t>
        </x:is>
      </x:c>
      <x:c r="P36" s="4" t="inlineStr">
        <x:is>
          <x:t xml:space="preserve">مبنای محاسبه CTR داخلی</x:t>
        </x:is>
      </x:c>
      <x:c r="Q36" s="30" t="str">
        <x:v>TK-035</x:v>
      </x:c>
      <x:c r="R36" s="30" t="str"/>
      <x:c r="S36" s="30" t="str">
        <x:v>Event</x:v>
      </x:c>
      <x:c r="T36" s="30" t="str">
        <x:v>EVT-21</x:v>
      </x:c>
      <x:c r="U36" s="30" t="str">
        <x:v>پیاده‌سازی رویداد select_promotion (کلیک روی بنر جشنواره و آفر اختصاصی)</x:v>
      </x:c>
      <x:c r="V36" s="30" t="str">
        <x:v>Pending dependency review</x:v>
      </x:c>
      <x:c r="W36" s="30" t="str">
        <x:v>نیازمند تکمیل و تأیید مالک</x:v>
      </x:c>
      <x:c r="X36" s="30" t="str">
        <x:v>نیازمند تکمیل و تأیید مالک</x:v>
      </x:c>
      <x:c r="Y36" s="30" t="str">
        <x:v>DevOps/Web Engineer</x:v>
      </x:c>
      <x:c r="Z36" s="30" t="n">
        <x:v>7</x:v>
      </x:c>
      <x:c r="AA36" s="30" t="n">
        <x:v>35</x:v>
      </x:c>
      <x:c r="AB36" s="30" t="str">
        <x:v>تست گروه TST مربوطه سبز + پارامترها طبق 03_EVENT_PARAMETERS + ثبت destination_url برای تحلیل مسیر</x:v>
      </x:c>
      <x:c r="AC36" s="30" t="str">
        <x:v>نیازمند تکمیل و تأیید مالک</x:v>
      </x:c>
      <x:c r="AD36" s="30" t="str">
        <x:v>نیازمند تکمیل و تأیید مالک</x:v>
      </x:c>
      <x:c r="AE36" s="30" t="str">
        <x:v>تست گروه TST مربوطه سبز + پارامترها طبق 03_EVENT_PARAMETERS + ثبت destination_url برای تحلیل مسیر</x:v>
      </x:c>
      <x:c r="AF36" s="30" t="str">
        <x:v>EVT-21</x:v>
      </x:c>
      <x:c r="AG36" s="30" t="str"/>
      <x:c r="AH36" s="30" t="str"/>
    </x:row>
    <x:row r="37">
      <x:c r="A37" s="19" t="inlineStr">
        <x:is>
          <x:t xml:space="preserve">TK-036</x:t>
        </x:is>
      </x:c>
      <x:c r="B37" s="6" t="inlineStr">
        <x:is>
          <x:t xml:space="preserve">پیاده‌سازی رویداد search (جستجوی داخلی در محصولات و کاتالوگ)</x:t>
        </x:is>
      </x:c>
      <x:c r="C37" s="6" t="inlineStr">
        <x:is>
          <x:t xml:space="preserve">Implement Event search</x:t>
        </x:is>
      </x:c>
      <x:c r="D37" s="6" t="inlineStr">
        <x:is>
          <x:t xml:space="preserve">Event</x:t>
        </x:is>
      </x:c>
      <x:c r="E37" s="6" t="inlineStr">
        <x:is>
          <x:t xml:space="preserve">EVT-22</x:t>
        </x:is>
      </x:c>
      <x:c r="F37" s="19" t="inlineStr">
        <x:is>
          <x:t xml:space="preserve">W2</x:t>
        </x:is>
      </x:c>
      <x:c r="G37" s="6" t="inlineStr">
        <x:is>
          <x:t xml:space="preserve">S1</x:t>
        </x:is>
      </x:c>
      <x:c r="H37" s="19" t="inlineStr">
        <x:is>
          <x:t xml:space="preserve">Medium</x:t>
        </x:is>
      </x:c>
      <x:c r="I37" s="6" t="inlineStr">
        <x:is>
          <x:t xml:space="preserve">DevOps/Web Engineer</x:t>
        </x:is>
      </x:c>
      <x:c r="J37" s="19" t="n">
        <x:v>4</x:v>
      </x:c>
      <x:c r="K37" s="19" t="n">
        <x:v>2</x:v>
      </x:c>
      <x:c r="L37" s="18" t="n">
        <x:f>J37*2-K37</x:f>
        <x:v>6</x:v>
      </x:c>
      <x:c r="M37" s="6" t="inlineStr">
        <x:is>
          <x:t xml:space="preserve">TK-013, TK-014</x:t>
        </x:is>
      </x:c>
      <x:c r="N37" s="6" t="inlineStr">
        <x:is>
          <x:t xml:space="preserve">تست گروه TST مربوطه سبز + پارامترها طبق 03_EVENT_PARAMETERS + ثبت search_results_count (برای Zero-Result Searches)</x:t>
        </x:is>
      </x:c>
      <x:c r="O37" s="19" t="inlineStr">
        <x:is>
          <x:t xml:space="preserve">Proposed</x:t>
        </x:is>
      </x:c>
      <x:c r="P37" s="6" t="inlineStr">
        <x:is>
          <x:t xml:space="preserve">Zero-Result Searches خروجی به بازرگانی برای شارژ کالا</x:t>
        </x:is>
      </x:c>
      <x:c r="Q37" s="30" t="str">
        <x:v>TK-036</x:v>
      </x:c>
      <x:c r="R37" s="30" t="str"/>
      <x:c r="S37" s="30" t="str">
        <x:v>Event</x:v>
      </x:c>
      <x:c r="T37" s="30" t="str">
        <x:v>EVT-22</x:v>
      </x:c>
      <x:c r="U37" s="30" t="str">
        <x:v>پیاده‌سازی رویداد search (جستجوی داخلی در محصولات و کاتالوگ)</x:v>
      </x:c>
      <x:c r="V37" s="30" t="str">
        <x:v>Pending dependency review</x:v>
      </x:c>
      <x:c r="W37" s="30" t="str">
        <x:v>نیازمند تکمیل و تأیید مالک</x:v>
      </x:c>
      <x:c r="X37" s="30" t="str">
        <x:v>نیازمند تکمیل و تأیید مالک</x:v>
      </x:c>
      <x:c r="Y37" s="30" t="str">
        <x:v>DevOps/Web Engineer</x:v>
      </x:c>
      <x:c r="Z37" s="30" t="n">
        <x:v>7</x:v>
      </x:c>
      <x:c r="AA37" s="30" t="n">
        <x:v>36</x:v>
      </x:c>
      <x:c r="AB37" s="30" t="str">
        <x:v>تست گروه TST مربوطه سبز + پارامترها طبق 03_EVENT_PARAMETERS + ثبت search_results_count (برای Zero-Result Searches)</x:v>
      </x:c>
      <x:c r="AC37" s="30" t="str">
        <x:v>نیازمند تکمیل و تأیید مالک</x:v>
      </x:c>
      <x:c r="AD37" s="30" t="str">
        <x:v>نیازمند تکمیل و تأیید مالک</x:v>
      </x:c>
      <x:c r="AE37" s="30" t="str">
        <x:v>تست گروه TST مربوطه سبز + پارامترها طبق 03_EVENT_PARAMETERS + ثبت search_results_count (برای Zero-Result Searches)</x:v>
      </x:c>
      <x:c r="AF37" s="30" t="str">
        <x:v>EVT-22</x:v>
      </x:c>
      <x:c r="AG37" s="30" t="str"/>
      <x:c r="AH37" s="30" t="str"/>
    </x:row>
    <x:row r="38">
      <x:c r="A38" s="17" t="inlineStr">
        <x:is>
          <x:t xml:space="preserve">TK-037</x:t>
        </x:is>
      </x:c>
      <x:c r="B38" s="4" t="inlineStr">
        <x:is>
          <x:t xml:space="preserve">پیاده‌سازی رویداد login (ورود دندان‌پزشک به پنل کاربری)</x:t>
        </x:is>
      </x:c>
      <x:c r="C38" s="4" t="inlineStr">
        <x:is>
          <x:t xml:space="preserve">Implement Event login</x:t>
        </x:is>
      </x:c>
      <x:c r="D38" s="4" t="inlineStr">
        <x:is>
          <x:t xml:space="preserve">Event</x:t>
        </x:is>
      </x:c>
      <x:c r="E38" s="4" t="inlineStr">
        <x:is>
          <x:t xml:space="preserve">EVT-23</x:t>
        </x:is>
      </x:c>
      <x:c r="F38" s="17" t="inlineStr">
        <x:is>
          <x:t xml:space="preserve">W2</x:t>
        </x:is>
      </x:c>
      <x:c r="G38" s="4" t="inlineStr">
        <x:is>
          <x:t xml:space="preserve">S1</x:t>
        </x:is>
      </x:c>
      <x:c r="H38" s="17" t="inlineStr">
        <x:is>
          <x:t xml:space="preserve">High</x:t>
        </x:is>
      </x:c>
      <x:c r="I38" s="4" t="inlineStr">
        <x:is>
          <x:t xml:space="preserve">Senior Data Engineer</x:t>
        </x:is>
      </x:c>
      <x:c r="J38" s="17" t="n">
        <x:v>4</x:v>
      </x:c>
      <x:c r="K38" s="17" t="n">
        <x:v>2</x:v>
      </x:c>
      <x:c r="L38" s="18" t="n">
        <x:f>J38*2-K38</x:f>
        <x:v>6</x:v>
      </x:c>
      <x:c r="M38" s="4" t="inlineStr">
        <x:is>
          <x:t xml:space="preserve">TK-013, TK-014</x:t>
        </x:is>
      </x:c>
      <x:c r="N38" s="4" t="inlineStr">
        <x:is>
          <x:t xml:space="preserve">تست گروه TST مربوطه سبز + پارامترها طبق 03_EVENT_PARAMETERS + تنظیم user_id در سشن و اتصال سوابق ناشناس</x:t>
        </x:is>
      </x:c>
      <x:c r="O38" s="17" t="inlineStr">
        <x:is>
          <x:t xml:space="preserve">Proposed</x:t>
        </x:is>
      </x:c>
      <x:c r="P38" s="4" t="inlineStr">
        <x:is>
          <x:t xml:space="preserve">method: otp_sms / password</x:t>
        </x:is>
      </x:c>
      <x:c r="Q38" s="30" t="str">
        <x:v>TK-037</x:v>
      </x:c>
      <x:c r="R38" s="30" t="str"/>
      <x:c r="S38" s="30" t="str">
        <x:v>Event</x:v>
      </x:c>
      <x:c r="T38" s="30" t="str">
        <x:v>EVT-23</x:v>
      </x:c>
      <x:c r="U38" s="30" t="str">
        <x:v>پیاده‌سازی رویداد login (ورود دندان‌پزشک به پنل کاربری)</x:v>
      </x:c>
      <x:c r="V38" s="30" t="str">
        <x:v>Pending dependency review</x:v>
      </x:c>
      <x:c r="W38" s="30" t="str">
        <x:v>نیازمند تکمیل و تأیید مالک</x:v>
      </x:c>
      <x:c r="X38" s="30" t="str">
        <x:v>نیازمند تکمیل و تأیید مالک</x:v>
      </x:c>
      <x:c r="Y38" s="30" t="str">
        <x:v>Senior Data Engineer</x:v>
      </x:c>
      <x:c r="Z38" s="30" t="n">
        <x:v>7</x:v>
      </x:c>
      <x:c r="AA38" s="30" t="n">
        <x:v>37</x:v>
      </x:c>
      <x:c r="AB38" s="30" t="str">
        <x:v>تست گروه TST مربوطه سبز + پارامترها طبق 03_EVENT_PARAMETERS + تنظیم user_id در سشن و اتصال سوابق ناشناس</x:v>
      </x:c>
      <x:c r="AC38" s="30" t="str">
        <x:v>نیازمند تکمیل و تأیید مالک</x:v>
      </x:c>
      <x:c r="AD38" s="30" t="str">
        <x:v>نیازمند تکمیل و تأیید مالک</x:v>
      </x:c>
      <x:c r="AE38" s="30" t="str">
        <x:v>تست گروه TST مربوطه سبز + پارامترها طبق 03_EVENT_PARAMETERS + تنظیم user_id در سشن و اتصال سوابق ناشناس</x:v>
      </x:c>
      <x:c r="AF38" s="30" t="str">
        <x:v>EVT-23</x:v>
      </x:c>
      <x:c r="AG38" s="30" t="str"/>
      <x:c r="AH38" s="30" t="str"/>
    </x:row>
    <x:row r="39">
      <x:c r="A39" s="19" t="inlineStr">
        <x:is>
          <x:t xml:space="preserve">TK-038</x:t>
        </x:is>
      </x:c>
      <x:c r="B39" s="6" t="inlineStr">
        <x:is>
          <x:t xml:space="preserve">پیاده‌سازی رویداد sign_up (ثبت‌نام رسمی کلینیک و احراز هویت نظام پزشکی)</x:t>
        </x:is>
      </x:c>
      <x:c r="C39" s="6" t="inlineStr">
        <x:is>
          <x:t xml:space="preserve">Implement Event sign_up</x:t>
        </x:is>
      </x:c>
      <x:c r="D39" s="6" t="inlineStr">
        <x:is>
          <x:t xml:space="preserve">Event</x:t>
        </x:is>
      </x:c>
      <x:c r="E39" s="6" t="inlineStr">
        <x:is>
          <x:t xml:space="preserve">EVT-24</x:t>
        </x:is>
      </x:c>
      <x:c r="F39" s="19" t="inlineStr">
        <x:is>
          <x:t xml:space="preserve">W2</x:t>
        </x:is>
      </x:c>
      <x:c r="G39" s="6" t="inlineStr">
        <x:is>
          <x:t xml:space="preserve">S1</x:t>
        </x:is>
      </x:c>
      <x:c r="H39" s="19" t="inlineStr">
        <x:is>
          <x:t xml:space="preserve">Critical</x:t>
        </x:is>
      </x:c>
      <x:c r="I39" s="6" t="inlineStr">
        <x:is>
          <x:t xml:space="preserve">Senior Data Engineer</x:t>
        </x:is>
      </x:c>
      <x:c r="J39" s="19" t="n">
        <x:v>4</x:v>
      </x:c>
      <x:c r="K39" s="19" t="n">
        <x:v>3</x:v>
      </x:c>
      <x:c r="L39" s="18" t="n">
        <x:f>J39*2-K39</x:f>
        <x:v>5</x:v>
      </x:c>
      <x:c r="M39" s="6" t="inlineStr">
        <x:is>
          <x:t xml:space="preserve">TK-013, TK-014</x:t>
        </x:is>
      </x:c>
      <x:c r="N39" s="6" t="inlineStr">
        <x:is>
          <x:t xml:space="preserve">تست گروه TST مربوطه سبز + پارامترها طبق 03_EVENT_PARAMETERS + فعال‌سازی اکانت B2B پس از تایید صنفی؛ Match Quality بالاترین</x:t>
        </x:is>
      </x:c>
      <x:c r="O39" s="19" t="inlineStr">
        <x:is>
          <x:t xml:space="preserve">Proposed</x:t>
        </x:is>
      </x:c>
      <x:c r="P39" s="6" t="inlineStr">
        <x:is>
          <x:t xml:space="preserve">registration_source: landing / congress / referral</x:t>
        </x:is>
      </x:c>
      <x:c r="Q39" s="30" t="str">
        <x:v>TK-038</x:v>
      </x:c>
      <x:c r="R39" s="30" t="str"/>
      <x:c r="S39" s="30" t="str">
        <x:v>Event</x:v>
      </x:c>
      <x:c r="T39" s="30" t="str">
        <x:v>EVT-24</x:v>
      </x:c>
      <x:c r="U39" s="30" t="str">
        <x:v>پیاده‌سازی رویداد sign_up (ثبت‌نام رسمی کلینیک و احراز هویت نظام پزشکی)</x:v>
      </x:c>
      <x:c r="V39" s="30" t="str">
        <x:v>Pending dependency review</x:v>
      </x:c>
      <x:c r="W39" s="30" t="str">
        <x:v>نیازمند تکمیل و تأیید مالک</x:v>
      </x:c>
      <x:c r="X39" s="30" t="str">
        <x:v>نیازمند تکمیل و تأیید مالک</x:v>
      </x:c>
      <x:c r="Y39" s="30" t="str">
        <x:v>Senior Data Engineer</x:v>
      </x:c>
      <x:c r="Z39" s="30" t="n">
        <x:v>7</x:v>
      </x:c>
      <x:c r="AA39" s="30" t="n">
        <x:v>38</x:v>
      </x:c>
      <x:c r="AB39" s="30" t="str">
        <x:v>تست گروه TST مربوطه سبز + پارامترها طبق 03_EVENT_PARAMETERS + فعال‌سازی اکانت B2B پس از تایید صنفی؛ Match Quality بالاترین</x:v>
      </x:c>
      <x:c r="AC39" s="30" t="str">
        <x:v>نیازمند تکمیل و تأیید مالک</x:v>
      </x:c>
      <x:c r="AD39" s="30" t="str">
        <x:v>نیازمند تکمیل و تأیید مالک</x:v>
      </x:c>
      <x:c r="AE39" s="30" t="str">
        <x:v>تست گروه TST مربوطه سبز + پارامترها طبق 03_EVENT_PARAMETERS + فعال‌سازی اکانت B2B پس از تایید صنفی؛ Match Quality بالاترین</x:v>
      </x:c>
      <x:c r="AF39" s="30" t="str">
        <x:v>EVT-24</x:v>
      </x:c>
      <x:c r="AG39" s="30" t="str"/>
      <x:c r="AH39" s="30" t="str"/>
    </x:row>
    <x:row r="40">
      <x:c r="A40" s="17" t="inlineStr">
        <x:is>
          <x:t xml:space="preserve">TK-039</x:t>
        </x:is>
      </x:c>
      <x:c r="B40" s="4" t="inlineStr">
        <x:is>
          <x:t xml:space="preserve">ابزار ممیزی ترکینگ و مانیتورینگ Dedup/حجم رویداد</x:t>
        </x:is>
      </x:c>
      <x:c r="C40" s="4" t="inlineStr">
        <x:is>
          <x:t xml:space="preserve">Tracking Audit Tool &amp; Event Dedup Monitor</x:t>
        </x:is>
      </x:c>
      <x:c r="D40" s="4" t="inlineStr">
        <x:is>
          <x:t xml:space="preserve">Tooling</x:t>
        </x:is>
      </x:c>
      <x:c r="E40" s="4" t="inlineStr">
        <x:is>
          <x:t xml:space="preserve">KPI-75,76,77</x:t>
        </x:is>
      </x:c>
      <x:c r="F40" s="17" t="inlineStr">
        <x:is>
          <x:t xml:space="preserve">W2</x:t>
        </x:is>
      </x:c>
      <x:c r="G40" s="4" t="inlineStr">
        <x:is>
          <x:t xml:space="preserve">S1</x:t>
        </x:is>
      </x:c>
      <x:c r="H40" s="17" t="inlineStr">
        <x:is>
          <x:t xml:space="preserve">Critical</x:t>
        </x:is>
      </x:c>
      <x:c r="I40" s="4" t="inlineStr">
        <x:is>
          <x:t xml:space="preserve">Senior Data Engineer</x:t>
        </x:is>
      </x:c>
      <x:c r="J40" s="17" t="n">
        <x:v>4</x:v>
      </x:c>
      <x:c r="K40" s="17" t="n">
        <x:v>3</x:v>
      </x:c>
      <x:c r="L40" s="18" t="n">
        <x:f>J40*2-K40</x:f>
        <x:v>5</x:v>
      </x:c>
      <x:c r="M40" s="4" t="inlineStr">
        <x:is>
          <x:t xml:space="preserve">TK-013..038</x:t>
        </x:is>
      </x:c>
      <x:c r="N40" s="4" t="inlineStr">
        <x:is>
          <x:t xml:space="preserve">داشبورد سلامت ترکینگ: Coverage 100٪ قیف، Miss&lt;4٪، Dup=0 (TST-06)</x:t>
        </x:is>
      </x:c>
      <x:c r="O40" s="17" t="inlineStr">
        <x:is>
          <x:t xml:space="preserve">Proposed</x:t>
        </x:is>
      </x:c>
      <x:c r="P40" s="4" t="inlineStr">
        <x:is>
          <x:t xml:space="preserve">P-01 milestone هفته ۳</x:t>
        </x:is>
      </x:c>
      <x:c r="Q40" s="30" t="str">
        <x:v>TK-039</x:v>
      </x:c>
      <x:c r="R40" s="30" t="str"/>
      <x:c r="S40" s="30" t="str">
        <x:v>Tooling</x:v>
      </x:c>
      <x:c r="T40" s="30" t="str">
        <x:v>KPI-75,76,77</x:v>
      </x:c>
      <x:c r="U40" s="30" t="str">
        <x:v>ابزار ممیزی ترکینگ و مانیتورینگ Dedup/حجم رویداد</x:v>
      </x:c>
      <x:c r="V40" s="30" t="str">
        <x:v>Pending dependency review</x:v>
      </x:c>
      <x:c r="W40" s="30" t="str">
        <x:v>نیازمند تکمیل و تأیید مالک</x:v>
      </x:c>
      <x:c r="X40" s="30" t="str">
        <x:v>نیازمند تکمیل و تأیید مالک</x:v>
      </x:c>
      <x:c r="Y40" s="30" t="str">
        <x:v>Senior Data Engineer</x:v>
      </x:c>
      <x:c r="Z40" s="30" t="n">
        <x:v>7</x:v>
      </x:c>
      <x:c r="AA40" s="30" t="n">
        <x:v>39</x:v>
      </x:c>
      <x:c r="AB40" s="30" t="str">
        <x:v>داشبورد سلامت ترکینگ: Coverage 100٪ قیف، Miss&lt;4٪، Dup=0 (TST-06)</x:v>
      </x:c>
      <x:c r="AC40" s="30" t="str">
        <x:v>نیازمند تکمیل و تأیید مالک</x:v>
      </x:c>
      <x:c r="AD40" s="30" t="str">
        <x:v>نیازمند تکمیل و تأیید مالک</x:v>
      </x:c>
      <x:c r="AE40" s="30" t="str">
        <x:v>داشبورد سلامت ترکینگ: Coverage 100٪ قیف، Miss&lt;4٪، Dup=0 (TST-06)</x:v>
      </x:c>
      <x:c r="AF40" s="30" t="str"/>
      <x:c r="AG40" s="30" t="str">
        <x:v>KPI-75,76,77</x:v>
      </x:c>
      <x:c r="AH40" s="30" t="str"/>
    </x:row>
    <x:row r="41">
      <x:c r="A41" s="19" t="inlineStr">
        <x:is>
          <x:t xml:space="preserve">TK-040</x:t>
        </x:is>
      </x:c>
      <x:c r="B41" s="6" t="inlineStr">
        <x:is>
          <x:t xml:space="preserve">ساخت مدل‌های dbt و لایه Silver/Gold DWH</x:t>
        </x:is>
      </x:c>
      <x:c r="C41" s="6" t="inlineStr">
        <x:is>
          <x:t xml:space="preserve">Build dbt Models &amp; Silver/Gold DWH Layers</x:t>
        </x:is>
      </x:c>
      <x:c r="D41" s="6" t="inlineStr">
        <x:is>
          <x:t xml:space="preserve">Data</x:t>
        </x:is>
      </x:c>
      <x:c r="E41" s="6" t="inlineStr">
        <x:is>
          <x:t xml:space="preserve">P-03</x:t>
        </x:is>
      </x:c>
      <x:c r="F41" s="19" t="inlineStr">
        <x:is>
          <x:t xml:space="preserve">W3</x:t>
        </x:is>
      </x:c>
      <x:c r="G41" s="6" t="inlineStr">
        <x:is>
          <x:t xml:space="preserve">S2</x:t>
        </x:is>
      </x:c>
      <x:c r="H41" s="19" t="inlineStr">
        <x:is>
          <x:t xml:space="preserve">Critical</x:t>
        </x:is>
      </x:c>
      <x:c r="I41" s="6" t="inlineStr">
        <x:is>
          <x:t xml:space="preserve">Senior Data Engineer</x:t>
        </x:is>
      </x:c>
      <x:c r="J41" s="19" t="n">
        <x:v>5</x:v>
      </x:c>
      <x:c r="K41" s="19" t="n">
        <x:v>5</x:v>
      </x:c>
      <x:c r="L41" s="18" t="n">
        <x:f>J41*2-K41</x:f>
        <x:v>5</x:v>
      </x:c>
      <x:c r="M41" s="6" t="inlineStr">
        <x:is>
          <x:t xml:space="preserve">TK-008, TK-012</x:t>
        </x:is>
      </x:c>
      <x:c r="N41" s="6" t="inlineStr">
        <x:is>
          <x:t xml:space="preserve">۱۲۷ فیلد در دایمنشن/فکت‌ها با dbt tests سبز</x:t>
        </x:is>
      </x:c>
      <x:c r="O41" s="19" t="inlineStr">
        <x:is>
          <x:t xml:space="preserve">Proposed</x:t>
        </x:is>
      </x:c>
      <x:c r="P41" s="6" t="inlineStr">
        <x:is>
          <x:t xml:space="preserve">پایه Lایه متریک</x:t>
        </x:is>
      </x:c>
      <x:c r="Q41" s="30" t="str">
        <x:v>TK-040</x:v>
      </x:c>
      <x:c r="R41" s="30" t="str"/>
      <x:c r="S41" s="30" t="str">
        <x:v>Data</x:v>
      </x:c>
      <x:c r="T41" s="30" t="str">
        <x:v>P-03</x:v>
      </x:c>
      <x:c r="U41" s="30" t="str">
        <x:v>ساخت مدل‌های dbt و لایه Silver/Gold DWH</x:v>
      </x:c>
      <x:c r="V41" s="30" t="str">
        <x:v>Pending dependency review</x:v>
      </x:c>
      <x:c r="W41" s="30" t="str">
        <x:v>نیازمند تکمیل و تأیید مالک</x:v>
      </x:c>
      <x:c r="X41" s="30" t="str">
        <x:v>نیازمند تکمیل و تأیید مالک</x:v>
      </x:c>
      <x:c r="Y41" s="30" t="str">
        <x:v>Senior Data Engineer</x:v>
      </x:c>
      <x:c r="Z41" s="30" t="n">
        <x:v>7</x:v>
      </x:c>
      <x:c r="AA41" s="30" t="n">
        <x:v>40</x:v>
      </x:c>
      <x:c r="AB41" s="30" t="str">
        <x:v>۱۲۷ فیلد در دایمنشن/فکت‌ها با dbt tests سبز</x:v>
      </x:c>
      <x:c r="AC41" s="30" t="str">
        <x:v>نیازمند تکمیل و تأیید مالک</x:v>
      </x:c>
      <x:c r="AD41" s="30" t="str">
        <x:v>نیازمند تکمیل و تأیید مالک</x:v>
      </x:c>
      <x:c r="AE41" s="30" t="str">
        <x:v>۱۲۷ فیلد در دایمنشن/فکت‌ها با dbt tests سبز</x:v>
      </x:c>
      <x:c r="AF41" s="30" t="str"/>
      <x:c r="AG41" s="30" t="str"/>
      <x:c r="AH41" s="30" t="str"/>
    </x:row>
    <x:row r="42">
      <x:c r="A42" s="17" t="inlineStr">
        <x:is>
          <x:t xml:space="preserve">TK-041</x:t>
        </x:is>
      </x:c>
      <x:c r="B42" s="4" t="inlineStr">
        <x:is>
          <x:t xml:space="preserve">اتصال سرچشمه داده گوگل ادز (Google Ads)</x:t>
        </x:is>
      </x:c>
      <x:c r="C42" s="4" t="inlineStr">
        <x:is>
          <x:t xml:space="preserve">Connect Source Google Ads</x:t>
        </x:is>
      </x:c>
      <x:c r="D42" s="4" t="inlineStr">
        <x:is>
          <x:t xml:space="preserve">Integration</x:t>
        </x:is>
      </x:c>
      <x:c r="E42" s="4" t="inlineStr">
        <x:is>
          <x:t xml:space="preserve">SRC-01</x:t>
        </x:is>
      </x:c>
      <x:c r="F42" s="17" t="inlineStr">
        <x:is>
          <x:t xml:space="preserve">W3</x:t>
        </x:is>
      </x:c>
      <x:c r="G42" s="4" t="inlineStr">
        <x:is>
          <x:t xml:space="preserve">S2</x:t>
        </x:is>
      </x:c>
      <x:c r="H42" s="17" t="inlineStr">
        <x:is>
          <x:t xml:space="preserve">Critical</x:t>
        </x:is>
      </x:c>
      <x:c r="I42" s="4" t="inlineStr">
        <x:is>
          <x:t xml:space="preserve">Senior Data Engineer</x:t>
        </x:is>
      </x:c>
      <x:c r="J42" s="17" t="n">
        <x:v>4</x:v>
      </x:c>
      <x:c r="K42" s="17" t="n">
        <x:v>3</x:v>
      </x:c>
      <x:c r="L42" s="18" t="n">
        <x:f>J42*2-K42</x:f>
        <x:v>5</x:v>
      </x:c>
      <x:c r="M42" s="4" t="inlineStr">
        <x:is>
          <x:t xml:space="preserve">TK-009, اکانت Ads</x:t>
        </x:is>
      </x:c>
      <x:c r="N42" s="4" t="inlineStr">
        <x:is>
          <x:t xml:space="preserve">داده پلتفرم تبلیغات جستجو در DWH با تأخیر طبق SLA و DQ tests سبز</x:t>
        </x:is>
      </x:c>
      <x:c r="O42" s="17" t="inlineStr">
        <x:is>
          <x:t xml:space="preserve">Proposed</x:t>
        </x:is>
      </x:c>
      <x:c r="P42" s="4" t="inlineStr">
        <x:is>
          <x:t xml:space="preserve">اکانت Ads + API Client + تأیید مالکیت اکانت</x:t>
        </x:is>
      </x:c>
      <x:c r="Q42" s="30" t="str">
        <x:v>TK-041</x:v>
      </x:c>
      <x:c r="R42" s="30" t="str"/>
      <x:c r="S42" s="30" t="str">
        <x:v>Integration</x:v>
      </x:c>
      <x:c r="T42" s="30" t="str">
        <x:v>SRC-01</x:v>
      </x:c>
      <x:c r="U42" s="30" t="str">
        <x:v>اتصال سرچشمه داده گوگل ادز (Google Ads)</x:v>
      </x:c>
      <x:c r="V42" s="30" t="str">
        <x:v>Pending dependency review</x:v>
      </x:c>
      <x:c r="W42" s="30" t="str">
        <x:v>نیازمند تکمیل و تأیید مالک</x:v>
      </x:c>
      <x:c r="X42" s="30" t="str">
        <x:v>نیازمند تکمیل و تأیید مالک</x:v>
      </x:c>
      <x:c r="Y42" s="30" t="str">
        <x:v>Senior Data Engineer</x:v>
      </x:c>
      <x:c r="Z42" s="30" t="n">
        <x:v>7</x:v>
      </x:c>
      <x:c r="AA42" s="30" t="n">
        <x:v>41</x:v>
      </x:c>
      <x:c r="AB42" s="30" t="str">
        <x:v>داده پلتفرم تبلیغات جستجو در DWH با تأخیر طبق SLA و DQ tests سبز</x:v>
      </x:c>
      <x:c r="AC42" s="30" t="str">
        <x:v>نیازمند تکمیل و تأیید مالک</x:v>
      </x:c>
      <x:c r="AD42" s="30" t="str">
        <x:v>نیازمند تکمیل و تأیید مالک</x:v>
      </x:c>
      <x:c r="AE42" s="30" t="str">
        <x:v>داده پلتفرم تبلیغات جستجو در DWH با تأخیر طبق SLA و DQ tests سبز</x:v>
      </x:c>
      <x:c r="AF42" s="30" t="str"/>
      <x:c r="AG42" s="30" t="str"/>
      <x:c r="AH42" s="30" t="str"/>
    </x:row>
    <x:row r="43">
      <x:c r="A43" s="19" t="inlineStr">
        <x:is>
          <x:t xml:space="preserve">TK-042</x:t>
        </x:is>
      </x:c>
      <x:c r="B43" s="6" t="inlineStr">
        <x:is>
          <x:t xml:space="preserve">اتصال سرچشمه داده متا / اینستاگرام (Meta Ads (Facebook/Instagram))</x:t>
        </x:is>
      </x:c>
      <x:c r="C43" s="6" t="inlineStr">
        <x:is>
          <x:t xml:space="preserve">Connect Source Meta Ads (Facebook/Instagram)</x:t>
        </x:is>
      </x:c>
      <x:c r="D43" s="6" t="inlineStr">
        <x:is>
          <x:t xml:space="preserve">Integration</x:t>
        </x:is>
      </x:c>
      <x:c r="E43" s="6" t="inlineStr">
        <x:is>
          <x:t xml:space="preserve">SRC-02</x:t>
        </x:is>
      </x:c>
      <x:c r="F43" s="19" t="inlineStr">
        <x:is>
          <x:t xml:space="preserve">W3</x:t>
        </x:is>
      </x:c>
      <x:c r="G43" s="6" t="inlineStr">
        <x:is>
          <x:t xml:space="preserve">S2</x:t>
        </x:is>
      </x:c>
      <x:c r="H43" s="19" t="inlineStr">
        <x:is>
          <x:t xml:space="preserve">Critical</x:t>
        </x:is>
      </x:c>
      <x:c r="I43" s="6" t="inlineStr">
        <x:is>
          <x:t xml:space="preserve">Senior Data Engineer</x:t>
        </x:is>
      </x:c>
      <x:c r="J43" s="19" t="n">
        <x:v>4</x:v>
      </x:c>
      <x:c r="K43" s="19" t="n">
        <x:v>3</x:v>
      </x:c>
      <x:c r="L43" s="18" t="n">
        <x:f>J43*2-K43</x:f>
        <x:v>5</x:v>
      </x:c>
      <x:c r="M43" s="6" t="inlineStr">
        <x:is>
          <x:t xml:space="preserve">TK-009, Graph API Token</x:t>
        </x:is>
      </x:c>
      <x:c r="N43" s="6" t="inlineStr">
        <x:is>
          <x:t xml:space="preserve">داده پلتفرم تبلیغات بصری در DWH با تأخیر طبق SLA و DQ tests سبز</x:t>
        </x:is>
      </x:c>
      <x:c r="O43" s="19" t="inlineStr">
        <x:is>
          <x:t xml:space="preserve">Proposed</x:t>
        </x:is>
      </x:c>
      <x:c r="P43" s="6" t="inlineStr">
        <x:is>
          <x:t xml:space="preserve">Graph API Token + آیدی Business Manager + تأیید آیدی کاتالوگ</x:t>
        </x:is>
      </x:c>
      <x:c r="Q43" s="30" t="str">
        <x:v>TK-042</x:v>
      </x:c>
      <x:c r="R43" s="30" t="str"/>
      <x:c r="S43" s="30" t="str">
        <x:v>Integration</x:v>
      </x:c>
      <x:c r="T43" s="30" t="str">
        <x:v>SRC-02</x:v>
      </x:c>
      <x:c r="U43" s="30" t="str">
        <x:v>اتصال سرچشمه داده متا / اینستاگرام (Meta Ads (Facebook/Instagram))</x:v>
      </x:c>
      <x:c r="V43" s="30" t="str">
        <x:v>Pending dependency review</x:v>
      </x:c>
      <x:c r="W43" s="30" t="str">
        <x:v>نیازمند تکمیل و تأیید مالک</x:v>
      </x:c>
      <x:c r="X43" s="30" t="str">
        <x:v>نیازمند تکمیل و تأیید مالک</x:v>
      </x:c>
      <x:c r="Y43" s="30" t="str">
        <x:v>Senior Data Engineer</x:v>
      </x:c>
      <x:c r="Z43" s="30" t="n">
        <x:v>7</x:v>
      </x:c>
      <x:c r="AA43" s="30" t="n">
        <x:v>42</x:v>
      </x:c>
      <x:c r="AB43" s="30" t="str">
        <x:v>داده پلتفرم تبلیغات بصری در DWH با تأخیر طبق SLA و DQ tests سبز</x:v>
      </x:c>
      <x:c r="AC43" s="30" t="str">
        <x:v>نیازمند تکمیل و تأیید مالک</x:v>
      </x:c>
      <x:c r="AD43" s="30" t="str">
        <x:v>نیازمند تکمیل و تأیید مالک</x:v>
      </x:c>
      <x:c r="AE43" s="30" t="str">
        <x:v>داده پلتفرم تبلیغات بصری در DWH با تأخیر طبق SLA و DQ tests سبز</x:v>
      </x:c>
      <x:c r="AF43" s="30" t="str"/>
      <x:c r="AG43" s="30" t="str"/>
      <x:c r="AH43" s="30" t="str"/>
    </x:row>
    <x:row r="44">
      <x:c r="A44" s="17" t="inlineStr">
        <x:is>
          <x:t xml:space="preserve">TK-043</x:t>
        </x:is>
      </x:c>
      <x:c r="B44" s="4" t="inlineStr">
        <x:is>
          <x:t xml:space="preserve">اتصال سرچشمه داده گوگل آنالیتیکس ۴ / گوگل تگ مدیر (GA4 / GTM / BigQuery)</x:t>
        </x:is>
      </x:c>
      <x:c r="C44" s="4" t="inlineStr">
        <x:is>
          <x:t xml:space="preserve">Connect Source GA4 / GTM / BigQuery</x:t>
        </x:is>
      </x:c>
      <x:c r="D44" s="4" t="inlineStr">
        <x:is>
          <x:t xml:space="preserve">Integration</x:t>
        </x:is>
      </x:c>
      <x:c r="E44" s="4" t="inlineStr">
        <x:is>
          <x:t xml:space="preserve">SRC-03</x:t>
        </x:is>
      </x:c>
      <x:c r="F44" s="17" t="inlineStr">
        <x:is>
          <x:t xml:space="preserve">W3</x:t>
        </x:is>
      </x:c>
      <x:c r="G44" s="4" t="inlineStr">
        <x:is>
          <x:t xml:space="preserve">S2</x:t>
        </x:is>
      </x:c>
      <x:c r="H44" s="17" t="inlineStr">
        <x:is>
          <x:t xml:space="preserve">Critical</x:t>
        </x:is>
      </x:c>
      <x:c r="I44" s="4" t="inlineStr">
        <x:is>
          <x:t xml:space="preserve">Senior Data Engineer</x:t>
        </x:is>
      </x:c>
      <x:c r="J44" s="17" t="n">
        <x:v>4</x:v>
      </x:c>
      <x:c r="K44" s="17" t="n">
        <x:v>3</x:v>
      </x:c>
      <x:c r="L44" s="18" t="n">
        <x:f>J44*2-K44</x:f>
        <x:v>5</x:v>
      </x:c>
      <x:c r="M44" s="4" t="inlineStr">
        <x:is>
          <x:t xml:space="preserve">TK-009, اکانت GA4</x:t>
        </x:is>
      </x:c>
      <x:c r="N44" s="4" t="inlineStr">
        <x:is>
          <x:t xml:space="preserve">داده ردیابی رفتار وب‌سایت در DWH با تأخیر طبق SLA و DQ tests سبز</x:t>
        </x:is>
      </x:c>
      <x:c r="O44" s="17" t="inlineStr">
        <x:is>
          <x:t xml:space="preserve">Proposed</x:t>
        </x:is>
      </x:c>
      <x:c r="P44" s="4" t="inlineStr">
        <x:is>
          <x:t xml:space="preserve">اکانت GA4 + Project BigQuery + IAM Role</x:t>
        </x:is>
      </x:c>
      <x:c r="Q44" s="30" t="str">
        <x:v>TK-043</x:v>
      </x:c>
      <x:c r="R44" s="30" t="str"/>
      <x:c r="S44" s="30" t="str">
        <x:v>Integration</x:v>
      </x:c>
      <x:c r="T44" s="30" t="str">
        <x:v>SRC-03</x:v>
      </x:c>
      <x:c r="U44" s="30" t="str">
        <x:v>اتصال سرچشمه داده گوگل آنالیتیکس ۴ / گوگل تگ مدیر (GA4 / GTM / BigQuery)</x:v>
      </x:c>
      <x:c r="V44" s="30" t="str">
        <x:v>Pending dependency review</x:v>
      </x:c>
      <x:c r="W44" s="30" t="str">
        <x:v>نیازمند تکمیل و تأیید مالک</x:v>
      </x:c>
      <x:c r="X44" s="30" t="str">
        <x:v>نیازمند تکمیل و تأیید مالک</x:v>
      </x:c>
      <x:c r="Y44" s="30" t="str">
        <x:v>Senior Data Engineer</x:v>
      </x:c>
      <x:c r="Z44" s="30" t="n">
        <x:v>7</x:v>
      </x:c>
      <x:c r="AA44" s="30" t="n">
        <x:v>43</x:v>
      </x:c>
      <x:c r="AB44" s="30" t="str">
        <x:v>داده ردیابی رفتار وب‌سایت در DWH با تأخیر طبق SLA و DQ tests سبز</x:v>
      </x:c>
      <x:c r="AC44" s="30" t="str">
        <x:v>نیازمند تکمیل و تأیید مالک</x:v>
      </x:c>
      <x:c r="AD44" s="30" t="str">
        <x:v>نیازمند تکمیل و تأیید مالک</x:v>
      </x:c>
      <x:c r="AE44" s="30" t="str">
        <x:v>داده ردیابی رفتار وب‌سایت در DWH با تأخیر طبق SLA و DQ tests سبز</x:v>
      </x:c>
      <x:c r="AF44" s="30" t="str"/>
      <x:c r="AG44" s="30" t="str"/>
      <x:c r="AH44" s="30" t="str"/>
    </x:row>
    <x:row r="45">
      <x:c r="A45" s="19" t="inlineStr">
        <x:is>
          <x:t xml:space="preserve">TK-044</x:t>
        </x:is>
      </x:c>
      <x:c r="B45" s="6" t="inlineStr">
        <x:is>
          <x:t xml:space="preserve">اتصال سرچشمه داده بک‌اند فروشگاه آنلاین (E-commerce Backend)</x:t>
        </x:is>
      </x:c>
      <x:c r="C45" s="6" t="inlineStr">
        <x:is>
          <x:t xml:space="preserve">Connect Source E-commerce Backend</x:t>
        </x:is>
      </x:c>
      <x:c r="D45" s="6" t="inlineStr">
        <x:is>
          <x:t xml:space="preserve">Integration</x:t>
        </x:is>
      </x:c>
      <x:c r="E45" s="6" t="inlineStr">
        <x:is>
          <x:t xml:space="preserve">SRC-04</x:t>
        </x:is>
      </x:c>
      <x:c r="F45" s="19" t="inlineStr">
        <x:is>
          <x:t xml:space="preserve">W3</x:t>
        </x:is>
      </x:c>
      <x:c r="G45" s="6" t="inlineStr">
        <x:is>
          <x:t xml:space="preserve">S2</x:t>
        </x:is>
      </x:c>
      <x:c r="H45" s="19" t="inlineStr">
        <x:is>
          <x:t xml:space="preserve">Critical</x:t>
        </x:is>
      </x:c>
      <x:c r="I45" s="6" t="inlineStr">
        <x:is>
          <x:t xml:space="preserve">Senior Data Engineer</x:t>
        </x:is>
      </x:c>
      <x:c r="J45" s="19" t="n">
        <x:v>4</x:v>
      </x:c>
      <x:c r="K45" s="19" t="n">
        <x:v>3</x:v>
      </x:c>
      <x:c r="L45" s="18" t="n">
        <x:f>J45*2-K45</x:f>
        <x:v>5</x:v>
      </x:c>
      <x:c r="M45" s="6" t="inlineStr">
        <x:is>
          <x:t xml:space="preserve">TK-009, دسترسی Read-only به DB</x:t>
        </x:is>
      </x:c>
      <x:c r="N45" s="6" t="inlineStr">
        <x:is>
          <x:t xml:space="preserve">داده سیستم سفارش در DWH با تأخیر طبق SLA و DQ tests سبز</x:t>
        </x:is>
      </x:c>
      <x:c r="O45" s="19" t="inlineStr">
        <x:is>
          <x:t xml:space="preserve">Proposed</x:t>
        </x:is>
      </x:c>
      <x:c r="P45" s="6" t="inlineStr">
        <x:is>
          <x:t xml:space="preserve">دسترسی Read-only به DB + Webhook Endpoint</x:t>
        </x:is>
      </x:c>
      <x:c r="Q45" s="30" t="str">
        <x:v>TK-044</x:v>
      </x:c>
      <x:c r="R45" s="30" t="str"/>
      <x:c r="S45" s="30" t="str">
        <x:v>Integration</x:v>
      </x:c>
      <x:c r="T45" s="30" t="str">
        <x:v>SRC-04</x:v>
      </x:c>
      <x:c r="U45" s="30" t="str">
        <x:v>اتصال سرچشمه داده بک‌اند فروشگاه آنلاین (E-commerce Backend)</x:v>
      </x:c>
      <x:c r="V45" s="30" t="str">
        <x:v>Pending dependency review</x:v>
      </x:c>
      <x:c r="W45" s="30" t="str">
        <x:v>نیازمند تکمیل و تأیید مالک</x:v>
      </x:c>
      <x:c r="X45" s="30" t="str">
        <x:v>نیازمند تکمیل و تأیید مالک</x:v>
      </x:c>
      <x:c r="Y45" s="30" t="str">
        <x:v>Senior Data Engineer</x:v>
      </x:c>
      <x:c r="Z45" s="30" t="n">
        <x:v>7</x:v>
      </x:c>
      <x:c r="AA45" s="30" t="n">
        <x:v>44</x:v>
      </x:c>
      <x:c r="AB45" s="30" t="str">
        <x:v>داده سیستم سفارش در DWH با تأخیر طبق SLA و DQ tests سبز</x:v>
      </x:c>
      <x:c r="AC45" s="30" t="str">
        <x:v>نیازمند تکمیل و تأیید مالک</x:v>
      </x:c>
      <x:c r="AD45" s="30" t="str">
        <x:v>نیازمند تکمیل و تأیید مالک</x:v>
      </x:c>
      <x:c r="AE45" s="30" t="str">
        <x:v>داده سیستم سفارش در DWH با تأخیر طبق SLA و DQ tests سبز</x:v>
      </x:c>
      <x:c r="AF45" s="30" t="str"/>
      <x:c r="AG45" s="30" t="str"/>
      <x:c r="AH45" s="30" t="str"/>
    </x:row>
    <x:row r="46">
      <x:c r="A46" s="17" t="inlineStr">
        <x:is>
          <x:t xml:space="preserve">TK-045</x:t>
        </x:is>
      </x:c>
      <x:c r="B46" s="4" t="inlineStr">
        <x:is>
          <x:t xml:space="preserve">اتصال سرچشمه داده سیستم مدیریت ارتباط با مشتری (CRM (Sales Pipeline))</x:t>
        </x:is>
      </x:c>
      <x:c r="C46" s="4" t="inlineStr">
        <x:is>
          <x:t xml:space="preserve">Connect Source CRM (Sales Pipeline)</x:t>
        </x:is>
      </x:c>
      <x:c r="D46" s="4" t="inlineStr">
        <x:is>
          <x:t xml:space="preserve">Integration</x:t>
        </x:is>
      </x:c>
      <x:c r="E46" s="4" t="inlineStr">
        <x:is>
          <x:t xml:space="preserve">SRC-05</x:t>
        </x:is>
      </x:c>
      <x:c r="F46" s="17" t="inlineStr">
        <x:is>
          <x:t xml:space="preserve">W3</x:t>
        </x:is>
      </x:c>
      <x:c r="G46" s="4" t="inlineStr">
        <x:is>
          <x:t xml:space="preserve">S2</x:t>
        </x:is>
      </x:c>
      <x:c r="H46" s="17" t="inlineStr">
        <x:is>
          <x:t xml:space="preserve">Critical</x:t>
        </x:is>
      </x:c>
      <x:c r="I46" s="4" t="inlineStr">
        <x:is>
          <x:t xml:space="preserve">CRM Manager</x:t>
        </x:is>
      </x:c>
      <x:c r="J46" s="17" t="n">
        <x:v>4</x:v>
      </x:c>
      <x:c r="K46" s="17" t="n">
        <x:v>3</x:v>
      </x:c>
      <x:c r="L46" s="18" t="n">
        <x:f>J46*2-K46</x:f>
        <x:v>5</x:v>
      </x:c>
      <x:c r="M46" s="4" t="inlineStr">
        <x:is>
          <x:t xml:space="preserve">TK-009, اکانت CRM</x:t>
        </x:is>
      </x:c>
      <x:c r="N46" s="4" t="inlineStr">
        <x:is>
          <x:t xml:space="preserve">داده پایپ‌لاین فروش B2B در DWH با تأخیر طبق SLA و DQ tests سبز</x:t>
        </x:is>
      </x:c>
      <x:c r="O46" s="17" t="inlineStr">
        <x:is>
          <x:t xml:space="preserve">Proposed</x:t>
        </x:is>
      </x:c>
      <x:c r="P46" s="4" t="inlineStr">
        <x:is>
          <x:t xml:space="preserve">اکانت CRM + API Token</x:t>
        </x:is>
      </x:c>
      <x:c r="Q46" s="30" t="str">
        <x:v>TK-045</x:v>
      </x:c>
      <x:c r="R46" s="30" t="str"/>
      <x:c r="S46" s="30" t="str">
        <x:v>Integration</x:v>
      </x:c>
      <x:c r="T46" s="30" t="str">
        <x:v>SRC-05</x:v>
      </x:c>
      <x:c r="U46" s="30" t="str">
        <x:v>اتصال سرچشمه داده سیستم مدیریت ارتباط با مشتری (CRM (Sales Pipeline))</x:v>
      </x:c>
      <x:c r="V46" s="30" t="str">
        <x:v>Pending dependency review</x:v>
      </x:c>
      <x:c r="W46" s="30" t="str">
        <x:v>نیازمند تکمیل و تأیید مالک</x:v>
      </x:c>
      <x:c r="X46" s="30" t="str">
        <x:v>نیازمند تکمیل و تأیید مالک</x:v>
      </x:c>
      <x:c r="Y46" s="30" t="str">
        <x:v>CRM Manager</x:v>
      </x:c>
      <x:c r="Z46" s="30" t="n">
        <x:v>7</x:v>
      </x:c>
      <x:c r="AA46" s="30" t="n">
        <x:v>45</x:v>
      </x:c>
      <x:c r="AB46" s="30" t="str">
        <x:v>داده پایپ‌لاین فروش B2B در DWH با تأخیر طبق SLA و DQ tests سبز</x:v>
      </x:c>
      <x:c r="AC46" s="30" t="str">
        <x:v>نیازمند تکمیل و تأیید مالک</x:v>
      </x:c>
      <x:c r="AD46" s="30" t="str">
        <x:v>نیازمند تکمیل و تأیید مالک</x:v>
      </x:c>
      <x:c r="AE46" s="30" t="str">
        <x:v>داده پایپ‌لاین فروش B2B در DWH با تأخیر طبق SLA و DQ tests سبز</x:v>
      </x:c>
      <x:c r="AF46" s="30" t="str"/>
      <x:c r="AG46" s="30" t="str"/>
      <x:c r="AH46" s="30" t="str"/>
    </x:row>
    <x:row r="47">
      <x:c r="A47" s="19" t="inlineStr">
        <x:is>
          <x:t xml:space="preserve">TK-046</x:t>
        </x:is>
      </x:c>
      <x:c r="B47" s="6" t="inlineStr">
        <x:is>
          <x:t xml:space="preserve">اتصال سرچشمه داده حسابداری مالی (Finance / ERP (سپیدار/راهکاران))</x:t>
        </x:is>
      </x:c>
      <x:c r="C47" s="6" t="inlineStr">
        <x:is>
          <x:t xml:space="preserve">Connect Source Finance / ERP (سپیدار/راهکاران)</x:t>
        </x:is>
      </x:c>
      <x:c r="D47" s="6" t="inlineStr">
        <x:is>
          <x:t xml:space="preserve">Integration</x:t>
        </x:is>
      </x:c>
      <x:c r="E47" s="6" t="inlineStr">
        <x:is>
          <x:t xml:space="preserve">SRC-06</x:t>
        </x:is>
      </x:c>
      <x:c r="F47" s="19" t="inlineStr">
        <x:is>
          <x:t xml:space="preserve">W3</x:t>
        </x:is>
      </x:c>
      <x:c r="G47" s="6" t="inlineStr">
        <x:is>
          <x:t xml:space="preserve">S2</x:t>
        </x:is>
      </x:c>
      <x:c r="H47" s="19" t="inlineStr">
        <x:is>
          <x:t xml:space="preserve">High</x:t>
        </x:is>
      </x:c>
      <x:c r="I47" s="6" t="inlineStr">
        <x:is>
          <x:t xml:space="preserve">Finance Manager</x:t>
        </x:is>
      </x:c>
      <x:c r="J47" s="19" t="n">
        <x:v>4</x:v>
      </x:c>
      <x:c r="K47" s="19" t="n">
        <x:v>3</x:v>
      </x:c>
      <x:c r="L47" s="18" t="n">
        <x:f>J47*2-K47</x:f>
        <x:v>5</x:v>
      </x:c>
      <x:c r="M47" s="6" t="inlineStr">
        <x:is>
          <x:t xml:space="preserve">TK-009, اکانت مالی</x:t>
        </x:is>
      </x:c>
      <x:c r="N47" s="6" t="inlineStr">
        <x:is>
          <x:t xml:space="preserve">داده دفاتر قانونی در DWH با تأخیر طبق SLA و DQ tests سبز</x:t>
        </x:is>
      </x:c>
      <x:c r="O47" s="19" t="inlineStr">
        <x:is>
          <x:t xml:space="preserve">Proposed</x:t>
        </x:is>
      </x:c>
      <x:c r="P47" s="6" t="inlineStr">
        <x:is>
          <x:t xml:space="preserve">اکانت مالی + دسترسی Read گزارش‌ها</x:t>
        </x:is>
      </x:c>
      <x:c r="Q47" s="30" t="str">
        <x:v>TK-046</x:v>
      </x:c>
      <x:c r="R47" s="30" t="str"/>
      <x:c r="S47" s="30" t="str">
        <x:v>Integration</x:v>
      </x:c>
      <x:c r="T47" s="30" t="str">
        <x:v>SRC-06</x:v>
      </x:c>
      <x:c r="U47" s="30" t="str">
        <x:v>اتصال سرچشمه داده حسابداری مالی (Finance / ERP (سپیدار/راهکاران))</x:v>
      </x:c>
      <x:c r="V47" s="30" t="str">
        <x:v>Pending dependency review</x:v>
      </x:c>
      <x:c r="W47" s="30" t="str">
        <x:v>نیازمند تکمیل و تأیید مالک</x:v>
      </x:c>
      <x:c r="X47" s="30" t="str">
        <x:v>نیازمند تکمیل و تأیید مالک</x:v>
      </x:c>
      <x:c r="Y47" s="30" t="str">
        <x:v>Finance Manager</x:v>
      </x:c>
      <x:c r="Z47" s="30" t="n">
        <x:v>7</x:v>
      </x:c>
      <x:c r="AA47" s="30" t="n">
        <x:v>46</x:v>
      </x:c>
      <x:c r="AB47" s="30" t="str">
        <x:v>داده دفاتر قانونی در DWH با تأخیر طبق SLA و DQ tests سبز</x:v>
      </x:c>
      <x:c r="AC47" s="30" t="str">
        <x:v>نیازمند تکمیل و تأیید مالک</x:v>
      </x:c>
      <x:c r="AD47" s="30" t="str">
        <x:v>نیازمند تکمیل و تأیید مالک</x:v>
      </x:c>
      <x:c r="AE47" s="30" t="str">
        <x:v>داده دفاتر قانونی در DWH با تأخیر طبق SLA و DQ tests سبز</x:v>
      </x:c>
      <x:c r="AF47" s="30" t="str"/>
      <x:c r="AG47" s="30" t="str"/>
      <x:c r="AH47" s="30" t="str"/>
    </x:row>
    <x:row r="48">
      <x:c r="A48" s="17" t="inlineStr">
        <x:is>
          <x:t xml:space="preserve">TK-047</x:t>
        </x:is>
      </x:c>
      <x:c r="B48" s="4" t="inlineStr">
        <x:is>
          <x:t xml:space="preserve">اتصال سرچشمه داده سامانه مدیریت انبار (WMS (انبار مرکزی))</x:t>
        </x:is>
      </x:c>
      <x:c r="C48" s="4" t="inlineStr">
        <x:is>
          <x:t xml:space="preserve">Connect Source WMS (انبار مرکزی)</x:t>
        </x:is>
      </x:c>
      <x:c r="D48" s="4" t="inlineStr">
        <x:is>
          <x:t xml:space="preserve">Integration</x:t>
        </x:is>
      </x:c>
      <x:c r="E48" s="4" t="inlineStr">
        <x:is>
          <x:t xml:space="preserve">SRC-07</x:t>
        </x:is>
      </x:c>
      <x:c r="F48" s="17" t="inlineStr">
        <x:is>
          <x:t xml:space="preserve">W3</x:t>
        </x:is>
      </x:c>
      <x:c r="G48" s="4" t="inlineStr">
        <x:is>
          <x:t xml:space="preserve">S2</x:t>
        </x:is>
      </x:c>
      <x:c r="H48" s="17" t="inlineStr">
        <x:is>
          <x:t xml:space="preserve">High</x:t>
        </x:is>
      </x:c>
      <x:c r="I48" s="4" t="inlineStr">
        <x:is>
          <x:t xml:space="preserve">Warehouse/Materials Manager</x:t>
        </x:is>
      </x:c>
      <x:c r="J48" s="17" t="n">
        <x:v>4</x:v>
      </x:c>
      <x:c r="K48" s="17" t="n">
        <x:v>3</x:v>
      </x:c>
      <x:c r="L48" s="18" t="n">
        <x:f>J48*2-K48</x:f>
        <x:v>5</x:v>
      </x:c>
      <x:c r="M48" s="4" t="inlineStr">
        <x:is>
          <x:t xml:space="preserve">TK-009, دسترسی WMS API</x:t>
        </x:is>
      </x:c>
      <x:c r="N48" s="4" t="inlineStr">
        <x:is>
          <x:t xml:space="preserve">داده موجودی زنده در DWH با تأخیر طبق SLA و DQ tests سبز</x:t>
        </x:is>
      </x:c>
      <x:c r="O48" s="17" t="inlineStr">
        <x:is>
          <x:t xml:space="preserve">Proposed</x:t>
        </x:is>
      </x:c>
      <x:c r="P48" s="4" t="inlineStr">
        <x:is>
          <x:t xml:space="preserve">دسترسی WMS API + تنظیم Webhook</x:t>
        </x:is>
      </x:c>
      <x:c r="Q48" s="30" t="str">
        <x:v>TK-047</x:v>
      </x:c>
      <x:c r="R48" s="30" t="str"/>
      <x:c r="S48" s="30" t="str">
        <x:v>Integration</x:v>
      </x:c>
      <x:c r="T48" s="30" t="str">
        <x:v>SRC-07</x:v>
      </x:c>
      <x:c r="U48" s="30" t="str">
        <x:v>اتصال سرچشمه داده سامانه مدیریت انبار (WMS (انبار مرکزی))</x:v>
      </x:c>
      <x:c r="V48" s="30" t="str">
        <x:v>Pending dependency review</x:v>
      </x:c>
      <x:c r="W48" s="30" t="str">
        <x:v>نیازمند تکمیل و تأیید مالک</x:v>
      </x:c>
      <x:c r="X48" s="30" t="str">
        <x:v>نیازمند تکمیل و تأیید مالک</x:v>
      </x:c>
      <x:c r="Y48" s="30" t="str">
        <x:v>Warehouse/Materials Manager</x:v>
      </x:c>
      <x:c r="Z48" s="30" t="n">
        <x:v>7</x:v>
      </x:c>
      <x:c r="AA48" s="30" t="n">
        <x:v>47</x:v>
      </x:c>
      <x:c r="AB48" s="30" t="str">
        <x:v>داده موجودی زنده در DWH با تأخیر طبق SLA و DQ tests سبز</x:v>
      </x:c>
      <x:c r="AC48" s="30" t="str">
        <x:v>نیازمند تکمیل و تأیید مالک</x:v>
      </x:c>
      <x:c r="AD48" s="30" t="str">
        <x:v>نیازمند تکمیل و تأیید مالک</x:v>
      </x:c>
      <x:c r="AE48" s="30" t="str">
        <x:v>داده موجودی زنده در DWH با تأخیر طبق SLA و DQ tests سبز</x:v>
      </x:c>
      <x:c r="AF48" s="30" t="str"/>
      <x:c r="AG48" s="30" t="str"/>
      <x:c r="AH48" s="30" t="str"/>
    </x:row>
    <x:row r="49">
      <x:c r="A49" s="19" t="inlineStr">
        <x:is>
          <x:t xml:space="preserve">TK-048</x:t>
        </x:is>
      </x:c>
      <x:c r="B49" s="6" t="inlineStr">
        <x:is>
          <x:t xml:space="preserve">اتصال سرچشمه داده درگاه پرداخت شاپرک (Payment Gateway (Shaparak))</x:t>
        </x:is>
      </x:c>
      <x:c r="C49" s="6" t="inlineStr">
        <x:is>
          <x:t xml:space="preserve">Connect Source Payment Gateway (Shaparak)</x:t>
        </x:is>
      </x:c>
      <x:c r="D49" s="6" t="inlineStr">
        <x:is>
          <x:t xml:space="preserve">Integration</x:t>
        </x:is>
      </x:c>
      <x:c r="E49" s="6" t="inlineStr">
        <x:is>
          <x:t xml:space="preserve">SRC-08</x:t>
        </x:is>
      </x:c>
      <x:c r="F49" s="19" t="inlineStr">
        <x:is>
          <x:t xml:space="preserve">W3</x:t>
        </x:is>
      </x:c>
      <x:c r="G49" s="6" t="inlineStr">
        <x:is>
          <x:t xml:space="preserve">S2</x:t>
        </x:is>
      </x:c>
      <x:c r="H49" s="19" t="inlineStr">
        <x:is>
          <x:t xml:space="preserve">High</x:t>
        </x:is>
      </x:c>
      <x:c r="I49" s="6" t="inlineStr">
        <x:is>
          <x:t xml:space="preserve">DevOps/Web Engineer</x:t>
        </x:is>
      </x:c>
      <x:c r="J49" s="19" t="n">
        <x:v>4</x:v>
      </x:c>
      <x:c r="K49" s="19" t="n">
        <x:v>3</x:v>
      </x:c>
      <x:c r="L49" s="18" t="n">
        <x:f>J49*2-K49</x:f>
        <x:v>5</x:v>
      </x:c>
      <x:c r="M49" s="6" t="inlineStr">
        <x:is>
          <x:t xml:space="preserve">TK-009, Merchant ID</x:t>
        </x:is>
      </x:c>
      <x:c r="N49" s="6" t="inlineStr">
        <x:is>
          <x:t xml:space="preserve">داده وضعیت تراکنش‌های پرداخت بانکی در DWH با تأخیر طبق SLA و DQ tests سبز</x:t>
        </x:is>
      </x:c>
      <x:c r="O49" s="19" t="inlineStr">
        <x:is>
          <x:t xml:space="preserve">Proposed</x:t>
        </x:is>
      </x:c>
      <x:c r="P49" s="6" t="inlineStr">
        <x:is>
          <x:t xml:space="preserve">Merchant ID + API Key درگاه</x:t>
        </x:is>
      </x:c>
      <x:c r="Q49" s="30" t="str">
        <x:v>TK-048</x:v>
      </x:c>
      <x:c r="R49" s="30" t="str"/>
      <x:c r="S49" s="30" t="str">
        <x:v>Integration</x:v>
      </x:c>
      <x:c r="T49" s="30" t="str">
        <x:v>SRC-08</x:v>
      </x:c>
      <x:c r="U49" s="30" t="str">
        <x:v>اتصال سرچشمه داده درگاه پرداخت شاپرک (Payment Gateway (Shaparak))</x:v>
      </x:c>
      <x:c r="V49" s="30" t="str">
        <x:v>Pending dependency review</x:v>
      </x:c>
      <x:c r="W49" s="30" t="str">
        <x:v>نیازمند تکمیل و تأیید مالک</x:v>
      </x:c>
      <x:c r="X49" s="30" t="str">
        <x:v>نیازمند تکمیل و تأیید مالک</x:v>
      </x:c>
      <x:c r="Y49" s="30" t="str">
        <x:v>DevOps/Web Engineer</x:v>
      </x:c>
      <x:c r="Z49" s="30" t="n">
        <x:v>7</x:v>
      </x:c>
      <x:c r="AA49" s="30" t="n">
        <x:v>48</x:v>
      </x:c>
      <x:c r="AB49" s="30" t="str">
        <x:v>داده وضعیت تراکنش‌های پرداخت بانکی در DWH با تأخیر طبق SLA و DQ tests سبز</x:v>
      </x:c>
      <x:c r="AC49" s="30" t="str">
        <x:v>نیازمند تکمیل و تأیید مالک</x:v>
      </x:c>
      <x:c r="AD49" s="30" t="str">
        <x:v>نیازمند تکمیل و تأیید مالک</x:v>
      </x:c>
      <x:c r="AE49" s="30" t="str">
        <x:v>داده وضعیت تراکنش‌های پرداخت بانکی در DWH با تأخیر طبق SLA و DQ tests سبز</x:v>
      </x:c>
      <x:c r="AF49" s="30" t="str"/>
      <x:c r="AG49" s="30" t="str"/>
      <x:c r="AH49" s="30" t="str"/>
    </x:row>
    <x:row r="50">
      <x:c r="A50" s="17" t="inlineStr">
        <x:is>
          <x:t xml:space="preserve">TK-049</x:t>
        </x:is>
      </x:c>
      <x:c r="B50" s="4" t="inlineStr">
        <x:is>
          <x:t xml:space="preserve">اتصال سرچشمه داده سانترال تلفنی (استریسک/ایزابل) (VoIP / Asterisk)</x:t>
        </x:is>
      </x:c>
      <x:c r="C50" s="4" t="inlineStr">
        <x:is>
          <x:t xml:space="preserve">Connect Source VoIP / Asterisk</x:t>
        </x:is>
      </x:c>
      <x:c r="D50" s="4" t="inlineStr">
        <x:is>
          <x:t xml:space="preserve">Integration</x:t>
        </x:is>
      </x:c>
      <x:c r="E50" s="4" t="inlineStr">
        <x:is>
          <x:t xml:space="preserve">SRC-09</x:t>
        </x:is>
      </x:c>
      <x:c r="F50" s="17" t="inlineStr">
        <x:is>
          <x:t xml:space="preserve">W3</x:t>
        </x:is>
      </x:c>
      <x:c r="G50" s="4" t="inlineStr">
        <x:is>
          <x:t xml:space="preserve">S2</x:t>
        </x:is>
      </x:c>
      <x:c r="H50" s="17" t="inlineStr">
        <x:is>
          <x:t xml:space="preserve">Medium</x:t>
        </x:is>
      </x:c>
      <x:c r="I50" s="4" t="inlineStr">
        <x:is>
          <x:t xml:space="preserve">DevOps/Web Engineer</x:t>
        </x:is>
      </x:c>
      <x:c r="J50" s="17" t="n">
        <x:v>4</x:v>
      </x:c>
      <x:c r="K50" s="17" t="n">
        <x:v>3</x:v>
      </x:c>
      <x:c r="L50" s="18" t="n">
        <x:f>J50*2-K50</x:f>
        <x:v>5</x:v>
      </x:c>
      <x:c r="M50" s="4" t="inlineStr">
        <x:is>
          <x:t xml:space="preserve">TK-009, دسترسی API سانترال</x:t>
        </x:is>
      </x:c>
      <x:c r="N50" s="4" t="inlineStr">
        <x:is>
          <x:t xml:space="preserve">داده تماس‌های تلفنی از وب‌سایت و مشاوره فنی در DWH با تأخیر طبق SLA و DQ tests سبز</x:t>
        </x:is>
      </x:c>
      <x:c r="O50" s="17" t="inlineStr">
        <x:is>
          <x:t xml:space="preserve">Proposed</x:t>
        </x:is>
      </x:c>
      <x:c r="P50" s="4" t="inlineStr">
        <x:is>
          <x:t xml:space="preserve">دسترسی API سانترال + تنظیم DNI</x:t>
        </x:is>
      </x:c>
      <x:c r="Q50" s="30" t="str">
        <x:v>TK-049</x:v>
      </x:c>
      <x:c r="R50" s="30" t="str"/>
      <x:c r="S50" s="30" t="str">
        <x:v>Integration</x:v>
      </x:c>
      <x:c r="T50" s="30" t="str">
        <x:v>SRC-09</x:v>
      </x:c>
      <x:c r="U50" s="30" t="str">
        <x:v>اتصال سرچشمه داده سانترال تلفنی (استریسک/ایزابل) (VoIP / Asterisk)</x:v>
      </x:c>
      <x:c r="V50" s="30" t="str">
        <x:v>Pending dependency review</x:v>
      </x:c>
      <x:c r="W50" s="30" t="str">
        <x:v>نیازمند تکمیل و تأیید مالک</x:v>
      </x:c>
      <x:c r="X50" s="30" t="str">
        <x:v>نیازمند تکمیل و تأیید مالک</x:v>
      </x:c>
      <x:c r="Y50" s="30" t="str">
        <x:v>DevOps/Web Engineer</x:v>
      </x:c>
      <x:c r="Z50" s="30" t="n">
        <x:v>7</x:v>
      </x:c>
      <x:c r="AA50" s="30" t="n">
        <x:v>49</x:v>
      </x:c>
      <x:c r="AB50" s="30" t="str">
        <x:v>داده تماس‌های تلفنی از وب‌سایت و مشاوره فنی در DWH با تأخیر طبق SLA و DQ tests سبز</x:v>
      </x:c>
      <x:c r="AC50" s="30" t="str">
        <x:v>نیازمند تکمیل و تأیید مالک</x:v>
      </x:c>
      <x:c r="AD50" s="30" t="str">
        <x:v>نیازمند تکمیل و تأیید مالک</x:v>
      </x:c>
      <x:c r="AE50" s="30" t="str">
        <x:v>داده تماس‌های تلفنی از وب‌سایت و مشاوره فنی در DWH با تأخیر طبق SLA و DQ tests سبز</x:v>
      </x:c>
      <x:c r="AF50" s="30" t="str"/>
      <x:c r="AG50" s="30" t="str"/>
      <x:c r="AH50" s="30" t="str"/>
    </x:row>
    <x:row r="51">
      <x:c r="A51" s="19" t="inlineStr">
        <x:is>
          <x:t xml:space="preserve">TK-050</x:t>
        </x:is>
      </x:c>
      <x:c r="B51" s="6" t="inlineStr">
        <x:is>
          <x:t xml:space="preserve">اتصال سرچشمه داده سامانه پیامک (کاوه‌نگار/دینا)، ایمیل و پوش (SMS / Email / Push)</x:t>
        </x:is>
      </x:c>
      <x:c r="C51" s="6" t="inlineStr">
        <x:is>
          <x:t xml:space="preserve">Connect Source SMS / Email / Push</x:t>
        </x:is>
      </x:c>
      <x:c r="D51" s="6" t="inlineStr">
        <x:is>
          <x:t xml:space="preserve">Integration</x:t>
        </x:is>
      </x:c>
      <x:c r="E51" s="6" t="inlineStr">
        <x:is>
          <x:t xml:space="preserve">SRC-10</x:t>
        </x:is>
      </x:c>
      <x:c r="F51" s="19" t="inlineStr">
        <x:is>
          <x:t xml:space="preserve">W3</x:t>
        </x:is>
      </x:c>
      <x:c r="G51" s="6" t="inlineStr">
        <x:is>
          <x:t xml:space="preserve">S2</x:t>
        </x:is>
      </x:c>
      <x:c r="H51" s="19" t="inlineStr">
        <x:is>
          <x:t xml:space="preserve">Medium</x:t>
        </x:is>
      </x:c>
      <x:c r="I51" s="6" t="inlineStr">
        <x:is>
          <x:t xml:space="preserve">CRM Manager</x:t>
        </x:is>
      </x:c>
      <x:c r="J51" s="19" t="n">
        <x:v>4</x:v>
      </x:c>
      <x:c r="K51" s="19" t="n">
        <x:v>3</x:v>
      </x:c>
      <x:c r="L51" s="18" t="n">
        <x:f>J51*2-K51</x:f>
        <x:v>5</x:v>
      </x:c>
      <x:c r="M51" s="6" t="inlineStr">
        <x:is>
          <x:t xml:space="preserve">TK-009, اکانت پنل پیامک/ایمیل</x:t>
        </x:is>
      </x:c>
      <x:c r="N51" s="6" t="inlineStr">
        <x:is>
          <x:t xml:space="preserve">داده کمپین‌های پیامکی در DWH با تأخیر طبق SLA و DQ tests سبز</x:t>
        </x:is>
      </x:c>
      <x:c r="O51" s="19" t="inlineStr">
        <x:is>
          <x:t xml:space="preserve">Proposed</x:t>
        </x:is>
      </x:c>
      <x:c r="P51" s="6" t="inlineStr">
        <x:is>
          <x:t xml:space="preserve">اکانت پنل پیامک/ایمیل + API Key</x:t>
        </x:is>
      </x:c>
      <x:c r="Q51" s="30" t="str">
        <x:v>TK-050</x:v>
      </x:c>
      <x:c r="R51" s="30" t="str"/>
      <x:c r="S51" s="30" t="str">
        <x:v>Integration</x:v>
      </x:c>
      <x:c r="T51" s="30" t="str">
        <x:v>SRC-10</x:v>
      </x:c>
      <x:c r="U51" s="30" t="str">
        <x:v>اتصال سرچشمه داده سامانه پیامک (کاوه‌نگار/دینا)، ایمیل و پوش (SMS / Email / Push)</x:v>
      </x:c>
      <x:c r="V51" s="30" t="str">
        <x:v>Pending dependency review</x:v>
      </x:c>
      <x:c r="W51" s="30" t="str">
        <x:v>نیازمند تکمیل و تأیید مالک</x:v>
      </x:c>
      <x:c r="X51" s="30" t="str">
        <x:v>نیازمند تکمیل و تأیید مالک</x:v>
      </x:c>
      <x:c r="Y51" s="30" t="str">
        <x:v>CRM Manager</x:v>
      </x:c>
      <x:c r="Z51" s="30" t="n">
        <x:v>7</x:v>
      </x:c>
      <x:c r="AA51" s="30" t="n">
        <x:v>50</x:v>
      </x:c>
      <x:c r="AB51" s="30" t="str">
        <x:v>داده کمپین‌های پیامکی در DWH با تأخیر طبق SLA و DQ tests سبز</x:v>
      </x:c>
      <x:c r="AC51" s="30" t="str">
        <x:v>نیازمند تکمیل و تأیید مالک</x:v>
      </x:c>
      <x:c r="AD51" s="30" t="str">
        <x:v>نیازمند تکمیل و تأیید مالک</x:v>
      </x:c>
      <x:c r="AE51" s="30" t="str">
        <x:v>داده کمپین‌های پیامکی در DWH با تأخیر طبق SLA و DQ tests سبز</x:v>
      </x:c>
      <x:c r="AF51" s="30" t="str"/>
      <x:c r="AG51" s="30" t="str"/>
      <x:c r="AH51" s="30" t="str"/>
    </x:row>
    <x:row r="52">
      <x:c r="A52" s="17" t="inlineStr">
        <x:is>
          <x:t xml:space="preserve">TK-051</x:t>
        </x:is>
      </x:c>
      <x:c r="B52" s="4" t="inlineStr">
        <x:is>
          <x:t xml:space="preserve">اتصال سرچشمه داده ماژول باشگاه مشتریان و امتیازات (Loyalty Module)</x:t>
        </x:is>
      </x:c>
      <x:c r="C52" s="4" t="inlineStr">
        <x:is>
          <x:t xml:space="preserve">Connect Source Loyalty Module</x:t>
        </x:is>
      </x:c>
      <x:c r="D52" s="4" t="inlineStr">
        <x:is>
          <x:t xml:space="preserve">Integration</x:t>
        </x:is>
      </x:c>
      <x:c r="E52" s="4" t="inlineStr">
        <x:is>
          <x:t xml:space="preserve">SRC-11</x:t>
        </x:is>
      </x:c>
      <x:c r="F52" s="17" t="inlineStr">
        <x:is>
          <x:t xml:space="preserve">W3</x:t>
        </x:is>
      </x:c>
      <x:c r="G52" s="4" t="inlineStr">
        <x:is>
          <x:t xml:space="preserve">S2</x:t>
        </x:is>
      </x:c>
      <x:c r="H52" s="17" t="inlineStr">
        <x:is>
          <x:t xml:space="preserve">Medium</x:t>
        </x:is>
      </x:c>
      <x:c r="I52" s="4" t="inlineStr">
        <x:is>
          <x:t xml:space="preserve">CRM Manager</x:t>
        </x:is>
      </x:c>
      <x:c r="J52" s="17" t="n">
        <x:v>4</x:v>
      </x:c>
      <x:c r="K52" s="17" t="n">
        <x:v>3</x:v>
      </x:c>
      <x:c r="L52" s="18" t="n">
        <x:f>J52*2-K52</x:f>
        <x:v>5</x:v>
      </x:c>
      <x:c r="M52" s="4" t="inlineStr">
        <x:is>
          <x:t xml:space="preserve">TK-009, دسترسی ماژول وفاداری</x:t>
        </x:is>
      </x:c>
      <x:c r="N52" s="4" t="inlineStr">
        <x:is>
          <x:t xml:space="preserve">داده امتیازات در DWH با تأخیر طبق SLA و DQ tests سبز</x:t>
        </x:is>
      </x:c>
      <x:c r="O52" s="17" t="inlineStr">
        <x:is>
          <x:t xml:space="preserve">Proposed</x:t>
        </x:is>
      </x:c>
      <x:c r="P52" s="4" t="inlineStr">
        <x:is>
          <x:t xml:space="preserve">دسترسی ماژول وفاداری</x:t>
        </x:is>
      </x:c>
      <x:c r="Q52" s="30" t="str">
        <x:v>TK-051</x:v>
      </x:c>
      <x:c r="R52" s="30" t="str"/>
      <x:c r="S52" s="30" t="str">
        <x:v>Integration</x:v>
      </x:c>
      <x:c r="T52" s="30" t="str">
        <x:v>SRC-11</x:v>
      </x:c>
      <x:c r="U52" s="30" t="str">
        <x:v>اتصال سرچشمه داده ماژول باشگاه مشتریان و امتیازات (Loyalty Module)</x:v>
      </x:c>
      <x:c r="V52" s="30" t="str">
        <x:v>Pending dependency review</x:v>
      </x:c>
      <x:c r="W52" s="30" t="str">
        <x:v>نیازمند تکمیل و تأیید مالک</x:v>
      </x:c>
      <x:c r="X52" s="30" t="str">
        <x:v>نیازمند تکمیل و تأیید مالک</x:v>
      </x:c>
      <x:c r="Y52" s="30" t="str">
        <x:v>CRM Manager</x:v>
      </x:c>
      <x:c r="Z52" s="30" t="n">
        <x:v>7</x:v>
      </x:c>
      <x:c r="AA52" s="30" t="n">
        <x:v>51</x:v>
      </x:c>
      <x:c r="AB52" s="30" t="str">
        <x:v>داده امتیازات در DWH با تأخیر طبق SLA و DQ tests سبز</x:v>
      </x:c>
      <x:c r="AC52" s="30" t="str">
        <x:v>نیازمند تکمیل و تأیید مالک</x:v>
      </x:c>
      <x:c r="AD52" s="30" t="str">
        <x:v>نیازمند تکمیل و تأیید مالک</x:v>
      </x:c>
      <x:c r="AE52" s="30" t="str">
        <x:v>داده امتیازات در DWH با تأخیر طبق SLA و DQ tests سبز</x:v>
      </x:c>
      <x:c r="AF52" s="30" t="str"/>
      <x:c r="AG52" s="30" t="str"/>
      <x:c r="AH52" s="30" t="str"/>
    </x:row>
    <x:row r="53">
      <x:c r="A53" s="19" t="inlineStr">
        <x:is>
          <x:t xml:space="preserve">TK-052</x:t>
        </x:is>
      </x:c>
      <x:c r="B53" s="6" t="inlineStr">
        <x:is>
          <x:t xml:space="preserve">اتصال سرچشمه داده شبکه همکاران فروش و اینفلوئنسرها (Affiliate / Influencer)</x:t>
        </x:is>
      </x:c>
      <x:c r="C53" s="6" t="inlineStr">
        <x:is>
          <x:t xml:space="preserve">Connect Source Affiliate / Influencer</x:t>
        </x:is>
      </x:c>
      <x:c r="D53" s="6" t="inlineStr">
        <x:is>
          <x:t xml:space="preserve">Integration</x:t>
        </x:is>
      </x:c>
      <x:c r="E53" s="6" t="inlineStr">
        <x:is>
          <x:t xml:space="preserve">SRC-12</x:t>
        </x:is>
      </x:c>
      <x:c r="F53" s="19" t="inlineStr">
        <x:is>
          <x:t xml:space="preserve">W3</x:t>
        </x:is>
      </x:c>
      <x:c r="G53" s="6" t="inlineStr">
        <x:is>
          <x:t xml:space="preserve">S2</x:t>
        </x:is>
      </x:c>
      <x:c r="H53" s="19" t="inlineStr">
        <x:is>
          <x:t xml:space="preserve">Low</x:t>
        </x:is>
      </x:c>
      <x:c r="I53" s="6" t="inlineStr">
        <x:is>
          <x:t xml:space="preserve">CMO</x:t>
        </x:is>
      </x:c>
      <x:c r="J53" s="19" t="n">
        <x:v>4</x:v>
      </x:c>
      <x:c r="K53" s="19" t="n">
        <x:v>3</x:v>
      </x:c>
      <x:c r="L53" s="18" t="n">
        <x:f>J53*2-K53</x:f>
        <x:v>5</x:v>
      </x:c>
      <x:c r="M53" s="6" t="inlineStr">
        <x:is>
          <x:t xml:space="preserve">TK-009, پنل مدیریت همکاران</x:t>
        </x:is>
      </x:c>
      <x:c r="N53" s="6" t="inlineStr">
        <x:is>
          <x:t xml:space="preserve">داده معرفی کلینیکی و همکاری با اساتید در DWH با تأخیر طبق SLA و DQ tests سبز</x:t>
        </x:is>
      </x:c>
      <x:c r="O53" s="19" t="inlineStr">
        <x:is>
          <x:t xml:space="preserve">Proposed</x:t>
        </x:is>
      </x:c>
      <x:c r="P53" s="6" t="inlineStr">
        <x:is>
          <x:t xml:space="preserve">پنل مدیریت همکاران</x:t>
        </x:is>
      </x:c>
      <x:c r="Q53" s="30" t="str">
        <x:v>TK-052</x:v>
      </x:c>
      <x:c r="R53" s="30" t="str"/>
      <x:c r="S53" s="30" t="str">
        <x:v>Integration</x:v>
      </x:c>
      <x:c r="T53" s="30" t="str">
        <x:v>SRC-12</x:v>
      </x:c>
      <x:c r="U53" s="30" t="str">
        <x:v>اتصال سرچشمه داده شبکه همکاران فروش و اینفلوئنسرها (Affiliate / Influencer)</x:v>
      </x:c>
      <x:c r="V53" s="30" t="str">
        <x:v>Pending dependency review</x:v>
      </x:c>
      <x:c r="W53" s="30" t="str">
        <x:v>نیازمند تکمیل و تأیید مالک</x:v>
      </x:c>
      <x:c r="X53" s="30" t="str">
        <x:v>نیازمند تکمیل و تأیید مالک</x:v>
      </x:c>
      <x:c r="Y53" s="30" t="str">
        <x:v>CMO</x:v>
      </x:c>
      <x:c r="Z53" s="30" t="n">
        <x:v>7</x:v>
      </x:c>
      <x:c r="AA53" s="30" t="n">
        <x:v>52</x:v>
      </x:c>
      <x:c r="AB53" s="30" t="str">
        <x:v>داده معرفی کلینیکی و همکاری با اساتید در DWH با تأخیر طبق SLA و DQ tests سبز</x:v>
      </x:c>
      <x:c r="AC53" s="30" t="str">
        <x:v>نیازمند تکمیل و تأیید مالک</x:v>
      </x:c>
      <x:c r="AD53" s="30" t="str">
        <x:v>نیازمند تکمیل و تأیید مالک</x:v>
      </x:c>
      <x:c r="AE53" s="30" t="str">
        <x:v>داده معرفی کلینیکی و همکاری با اساتید در DWH با تأخیر طبق SLA و DQ tests سبز</x:v>
      </x:c>
      <x:c r="AF53" s="30" t="str"/>
      <x:c r="AG53" s="30" t="str"/>
      <x:c r="AH53" s="30" t="str"/>
    </x:row>
    <x:row r="54">
      <x:c r="A54" s="17" t="inlineStr">
        <x:is>
          <x:t xml:space="preserve">TK-053</x:t>
        </x:is>
      </x:c>
      <x:c r="B54" s="4" t="inlineStr">
        <x:is>
          <x:t xml:space="preserve">اتصال سرچشمه داده وب‌سرویس سازمان نظام پزشکی (Medical Council Web Service)</x:t>
        </x:is>
      </x:c>
      <x:c r="C54" s="4" t="inlineStr">
        <x:is>
          <x:t xml:space="preserve">Connect Source Medical Council Web Service</x:t>
        </x:is>
      </x:c>
      <x:c r="D54" s="4" t="inlineStr">
        <x:is>
          <x:t xml:space="preserve">Integration</x:t>
        </x:is>
      </x:c>
      <x:c r="E54" s="4" t="inlineStr">
        <x:is>
          <x:t xml:space="preserve">SRC-13</x:t>
        </x:is>
      </x:c>
      <x:c r="F54" s="17" t="inlineStr">
        <x:is>
          <x:t xml:space="preserve">W3</x:t>
        </x:is>
      </x:c>
      <x:c r="G54" s="4" t="inlineStr">
        <x:is>
          <x:t xml:space="preserve">S2</x:t>
        </x:is>
      </x:c>
      <x:c r="H54" s="17" t="inlineStr">
        <x:is>
          <x:t xml:space="preserve">Critical</x:t>
        </x:is>
      </x:c>
      <x:c r="I54" s="4" t="inlineStr">
        <x:is>
          <x:t xml:space="preserve">Security &amp; Governance</x:t>
        </x:is>
      </x:c>
      <x:c r="J54" s="17" t="n">
        <x:v>4</x:v>
      </x:c>
      <x:c r="K54" s="17" t="n">
        <x:v>3</x:v>
      </x:c>
      <x:c r="L54" s="18" t="n">
        <x:f>J54*2-K54</x:f>
        <x:v>5</x:v>
      </x:c>
      <x:c r="M54" s="4" t="inlineStr">
        <x:is>
          <x:t xml:space="preserve">TK-009, تأیید/قرارداد استعلام</x:t>
        </x:is>
      </x:c>
      <x:c r="N54" s="4" t="inlineStr">
        <x:is>
          <x:t xml:space="preserve">داده اعتبارسنجی شماره نظام پزشکی و تخصص دندان‌پزشک در DWH با تأخیر طبق SLA و DQ tests سبز</x:t>
        </x:is>
      </x:c>
      <x:c r="O54" s="17" t="inlineStr">
        <x:is>
          <x:t xml:space="preserve">Proposed</x:t>
        </x:is>
      </x:c>
      <x:c r="P54" s="4" t="inlineStr">
        <x:is>
          <x:t xml:space="preserve">تأیید/قرارداد استعلام + کلید سرویس</x:t>
        </x:is>
      </x:c>
      <x:c r="Q54" s="30" t="str">
        <x:v>TK-053</x:v>
      </x:c>
      <x:c r="R54" s="30" t="str"/>
      <x:c r="S54" s="30" t="str">
        <x:v>Integration</x:v>
      </x:c>
      <x:c r="T54" s="30" t="str">
        <x:v>SRC-13</x:v>
      </x:c>
      <x:c r="U54" s="30" t="str">
        <x:v>اتصال سرچشمه داده وب‌سرویس سازمان نظام پزشکی (Medical Council Web Service)</x:v>
      </x:c>
      <x:c r="V54" s="30" t="str">
        <x:v>Pending dependency review</x:v>
      </x:c>
      <x:c r="W54" s="30" t="str">
        <x:v>نیازمند تکمیل و تأیید مالک</x:v>
      </x:c>
      <x:c r="X54" s="30" t="str">
        <x:v>نیازمند تکمیل و تأیید مالک</x:v>
      </x:c>
      <x:c r="Y54" s="30" t="str">
        <x:v>Security &amp; Governance</x:v>
      </x:c>
      <x:c r="Z54" s="30" t="n">
        <x:v>7</x:v>
      </x:c>
      <x:c r="AA54" s="30" t="n">
        <x:v>53</x:v>
      </x:c>
      <x:c r="AB54" s="30" t="str">
        <x:v>داده اعتبارسنجی شماره نظام پزشکی و تخصص دندان‌پزشک در DWH با تأخیر طبق SLA و DQ tests سبز</x:v>
      </x:c>
      <x:c r="AC54" s="30" t="str">
        <x:v>نیازمند تکمیل و تأیید مالک</x:v>
      </x:c>
      <x:c r="AD54" s="30" t="str">
        <x:v>نیازمند تکمیل و تأیید مالک</x:v>
      </x:c>
      <x:c r="AE54" s="30" t="str">
        <x:v>داده اعتبارسنجی شماره نظام پزشکی و تخصص دندان‌پزشک در DWH با تأخیر طبق SLA و DQ tests سبز</x:v>
      </x:c>
      <x:c r="AF54" s="30" t="str"/>
      <x:c r="AG54" s="30" t="str"/>
      <x:c r="AH54" s="30" t="str"/>
    </x:row>
    <x:row r="55">
      <x:c r="A55" s="19" t="inlineStr">
        <x:is>
          <x:t xml:space="preserve">TK-054</x:t>
        </x:is>
      </x:c>
      <x:c r="B55" s="6" t="inlineStr">
        <x:is>
          <x:t xml:space="preserve">مدل‌سازی موجودیت Customer (8 فیلد)</x:t>
        </x:is>
      </x:c>
      <x:c r="C55" s="6" t="inlineStr">
        <x:is>
          <x:t xml:space="preserve">Build Entity Model: Customer</x:t>
        </x:is>
      </x:c>
      <x:c r="D55" s="6" t="inlineStr">
        <x:is>
          <x:t xml:space="preserve">Data</x:t>
        </x:is>
      </x:c>
      <x:c r="E55" s="6" t="inlineStr">
        <x:is>
          <x:t xml:space="preserve">master_customer_id, medical_council_id, customer_specialty_board…</x:t>
        </x:is>
      </x:c>
      <x:c r="F55" s="19" t="inlineStr">
        <x:is>
          <x:t xml:space="preserve">W3</x:t>
        </x:is>
      </x:c>
      <x:c r="G55" s="6" t="inlineStr">
        <x:is>
          <x:t xml:space="preserve">S2</x:t>
        </x:is>
      </x:c>
      <x:c r="H55" s="19" t="inlineStr">
        <x:is>
          <x:t xml:space="preserve">High</x:t>
        </x:is>
      </x:c>
      <x:c r="I55" s="6" t="inlineStr">
        <x:is>
          <x:t xml:space="preserve">Senior Data Engineer</x:t>
        </x:is>
      </x:c>
      <x:c r="J55" s="19" t="n">
        <x:v>3</x:v>
      </x:c>
      <x:c r="K55" s="19" t="n">
        <x:v>2</x:v>
      </x:c>
      <x:c r="L55" s="18" t="n">
        <x:f>J55*2-K55</x:f>
        <x:v>4</x:v>
      </x:c>
      <x:c r="M55" s="6" t="inlineStr">
        <x:is>
          <x:t xml:space="preserve">TK-012, TK-041..053</x:t>
        </x:is>
      </x:c>
      <x:c r="N55" s="6" t="inlineStr">
        <x:is>
          <x:t xml:space="preserve">جدول Customer با 8 فیلد + DQ rules (PK/Not-Null/RefInt) سبز</x:t>
        </x:is>
      </x:c>
      <x:c r="O55" s="19" t="inlineStr">
        <x:is>
          <x:t xml:space="preserve">Proposed</x:t>
        </x:is>
      </x:c>
      <x:c r="P55" s="6" t="inlineStr">
        <x:is>
          <x:t xml:space="preserve">master_customer_id = join key</x:t>
        </x:is>
      </x:c>
      <x:c r="Q55" s="30" t="str">
        <x:v>TK-054</x:v>
      </x:c>
      <x:c r="R55" s="30" t="str"/>
      <x:c r="S55" s="30" t="str">
        <x:v>Data</x:v>
      </x:c>
      <x:c r="T55" s="30" t="str">
        <x:v>master_customer_id, medical_council_id, customer_specialty_board…</x:v>
      </x:c>
      <x:c r="U55" s="30" t="str">
        <x:v>مدل‌سازی موجودیت Customer (8 فیلد)</x:v>
      </x:c>
      <x:c r="V55" s="30" t="str">
        <x:v>Pending dependency review</x:v>
      </x:c>
      <x:c r="W55" s="30" t="str">
        <x:v>نیازمند تکمیل و تأیید مالک</x:v>
      </x:c>
      <x:c r="X55" s="30" t="str">
        <x:v>نیازمند تکمیل و تأیید مالک</x:v>
      </x:c>
      <x:c r="Y55" s="30" t="str">
        <x:v>Senior Data Engineer</x:v>
      </x:c>
      <x:c r="Z55" s="30" t="n">
        <x:v>7</x:v>
      </x:c>
      <x:c r="AA55" s="30" t="n">
        <x:v>54</x:v>
      </x:c>
      <x:c r="AB55" s="30" t="str">
        <x:v>جدول Customer با 8 فیلد + DQ rules (PK/Not-Null/RefInt) سبز</x:v>
      </x:c>
      <x:c r="AC55" s="30" t="str">
        <x:v>نیازمند تکمیل و تأیید مالک</x:v>
      </x:c>
      <x:c r="AD55" s="30" t="str">
        <x:v>نیازمند تکمیل و تأیید مالک</x:v>
      </x:c>
      <x:c r="AE55" s="30" t="str">
        <x:v>جدول Customer با 8 فیلد + DQ rules (PK/Not-Null/RefInt) سبز</x:v>
      </x:c>
      <x:c r="AF55" s="30" t="str"/>
      <x:c r="AG55" s="30" t="str"/>
      <x:c r="AH55" s="30" t="str"/>
    </x:row>
    <x:row r="56">
      <x:c r="A56" s="17" t="inlineStr">
        <x:is>
          <x:t xml:space="preserve">TK-055</x:t>
        </x:is>
      </x:c>
      <x:c r="B56" s="4" t="inlineStr">
        <x:is>
          <x:t xml:space="preserve">مدل‌سازی موجودیت Lead (6 فیلد)</x:t>
        </x:is>
      </x:c>
      <x:c r="C56" s="4" t="inlineStr">
        <x:is>
          <x:t xml:space="preserve">Build Entity Model: Lead</x:t>
        </x:is>
      </x:c>
      <x:c r="D56" s="4" t="inlineStr">
        <x:is>
          <x:t xml:space="preserve">Data</x:t>
        </x:is>
      </x:c>
      <x:c r="E56" s="4" t="inlineStr">
        <x:is>
          <x:t xml:space="preserve">lead_id, lead_master_customer_fk, lead_qualification_status…</x:t>
        </x:is>
      </x:c>
      <x:c r="F56" s="17" t="inlineStr">
        <x:is>
          <x:t xml:space="preserve">W3</x:t>
        </x:is>
      </x:c>
      <x:c r="G56" s="4" t="inlineStr">
        <x:is>
          <x:t xml:space="preserve">S2</x:t>
        </x:is>
      </x:c>
      <x:c r="H56" s="17" t="inlineStr">
        <x:is>
          <x:t xml:space="preserve">High</x:t>
        </x:is>
      </x:c>
      <x:c r="I56" s="4" t="inlineStr">
        <x:is>
          <x:t xml:space="preserve">Senior Data Engineer</x:t>
        </x:is>
      </x:c>
      <x:c r="J56" s="17" t="n">
        <x:v>3</x:v>
      </x:c>
      <x:c r="K56" s="17" t="n">
        <x:v>2</x:v>
      </x:c>
      <x:c r="L56" s="18" t="n">
        <x:f>J56*2-K56</x:f>
        <x:v>4</x:v>
      </x:c>
      <x:c r="M56" s="4" t="inlineStr">
        <x:is>
          <x:t xml:space="preserve">TK-012, TK-041..053</x:t>
        </x:is>
      </x:c>
      <x:c r="N56" s="4" t="inlineStr">
        <x:is>
          <x:t xml:space="preserve">جدول Lead با 6 فیلد + DQ rules (PK/Not-Null/RefInt) سبز</x:t>
        </x:is>
      </x:c>
      <x:c r="O56" s="17" t="inlineStr">
        <x:is>
          <x:t xml:space="preserve">Proposed</x:t>
        </x:is>
      </x:c>
      <x:c r="P56" s="4" t="inlineStr">
        <x:is>
          <x:t xml:space="preserve">lead_id = join key</x:t>
        </x:is>
      </x:c>
      <x:c r="Q56" s="30" t="str">
        <x:v>TK-055</x:v>
      </x:c>
      <x:c r="R56" s="30" t="str"/>
      <x:c r="S56" s="30" t="str">
        <x:v>Data</x:v>
      </x:c>
      <x:c r="T56" s="30" t="str">
        <x:v>lead_id, lead_master_customer_fk, lead_qualification_status…</x:v>
      </x:c>
      <x:c r="U56" s="30" t="str">
        <x:v>مدل‌سازی موجودیت Lead (6 فیلد)</x:v>
      </x:c>
      <x:c r="V56" s="30" t="str">
        <x:v>Pending dependency review</x:v>
      </x:c>
      <x:c r="W56" s="30" t="str">
        <x:v>نیازمند تکمیل و تأیید مالک</x:v>
      </x:c>
      <x:c r="X56" s="30" t="str">
        <x:v>نیازمند تکمیل و تأیید مالک</x:v>
      </x:c>
      <x:c r="Y56" s="30" t="str">
        <x:v>Senior Data Engineer</x:v>
      </x:c>
      <x:c r="Z56" s="30" t="n">
        <x:v>7</x:v>
      </x:c>
      <x:c r="AA56" s="30" t="n">
        <x:v>55</x:v>
      </x:c>
      <x:c r="AB56" s="30" t="str">
        <x:v>جدول Lead با 6 فیلد + DQ rules (PK/Not-Null/RefInt) سبز</x:v>
      </x:c>
      <x:c r="AC56" s="30" t="str">
        <x:v>نیازمند تکمیل و تأیید مالک</x:v>
      </x:c>
      <x:c r="AD56" s="30" t="str">
        <x:v>نیازمند تکمیل و تأیید مالک</x:v>
      </x:c>
      <x:c r="AE56" s="30" t="str">
        <x:v>جدول Lead با 6 فیلد + DQ rules (PK/Not-Null/RefInt) سبز</x:v>
      </x:c>
      <x:c r="AF56" s="30" t="str"/>
      <x:c r="AG56" s="30" t="str"/>
      <x:c r="AH56" s="30" t="str"/>
    </x:row>
    <x:row r="57">
      <x:c r="A57" s="19" t="inlineStr">
        <x:is>
          <x:t xml:space="preserve">TK-056</x:t>
        </x:is>
      </x:c>
      <x:c r="B57" s="6" t="inlineStr">
        <x:is>
          <x:t xml:space="preserve">مدل‌سازی موجودیت Session (6 فیلد)</x:t>
        </x:is>
      </x:c>
      <x:c r="C57" s="6" t="inlineStr">
        <x:is>
          <x:t xml:space="preserve">Build Entity Model: Session</x:t>
        </x:is>
      </x:c>
      <x:c r="D57" s="6" t="inlineStr">
        <x:is>
          <x:t xml:space="preserve">Data</x:t>
        </x:is>
      </x:c>
      <x:c r="E57" s="6" t="inlineStr">
        <x:is>
          <x:t xml:space="preserve">session_id, session_user_pseudo_id, session_utm_source_medium…</x:t>
        </x:is>
      </x:c>
      <x:c r="F57" s="19" t="inlineStr">
        <x:is>
          <x:t xml:space="preserve">W3</x:t>
        </x:is>
      </x:c>
      <x:c r="G57" s="6" t="inlineStr">
        <x:is>
          <x:t xml:space="preserve">S2</x:t>
        </x:is>
      </x:c>
      <x:c r="H57" s="19" t="inlineStr">
        <x:is>
          <x:t xml:space="preserve">High</x:t>
        </x:is>
      </x:c>
      <x:c r="I57" s="6" t="inlineStr">
        <x:is>
          <x:t xml:space="preserve">Senior Data Engineer</x:t>
        </x:is>
      </x:c>
      <x:c r="J57" s="19" t="n">
        <x:v>3</x:v>
      </x:c>
      <x:c r="K57" s="19" t="n">
        <x:v>2</x:v>
      </x:c>
      <x:c r="L57" s="18" t="n">
        <x:f>J57*2-K57</x:f>
        <x:v>4</x:v>
      </x:c>
      <x:c r="M57" s="6" t="inlineStr">
        <x:is>
          <x:t xml:space="preserve">TK-012, TK-041..053</x:t>
        </x:is>
      </x:c>
      <x:c r="N57" s="6" t="inlineStr">
        <x:is>
          <x:t xml:space="preserve">جدول Session با 6 فیلد + DQ rules (PK/Not-Null/RefInt) سبز</x:t>
        </x:is>
      </x:c>
      <x:c r="O57" s="19" t="inlineStr">
        <x:is>
          <x:t xml:space="preserve">Proposed</x:t>
        </x:is>
      </x:c>
      <x:c r="P57" s="6" t="inlineStr">
        <x:is>
          <x:t xml:space="preserve">session_id = join key</x:t>
        </x:is>
      </x:c>
      <x:c r="Q57" s="30" t="str">
        <x:v>TK-056</x:v>
      </x:c>
      <x:c r="R57" s="30" t="str"/>
      <x:c r="S57" s="30" t="str">
        <x:v>Data</x:v>
      </x:c>
      <x:c r="T57" s="30" t="str">
        <x:v>session_id, session_user_pseudo_id, session_utm_source_medium…</x:v>
      </x:c>
      <x:c r="U57" s="30" t="str">
        <x:v>مدل‌سازی موجودیت Session (6 فیلد)</x:v>
      </x:c>
      <x:c r="V57" s="30" t="str">
        <x:v>Pending dependency review</x:v>
      </x:c>
      <x:c r="W57" s="30" t="str">
        <x:v>نیازمند تکمیل و تأیید مالک</x:v>
      </x:c>
      <x:c r="X57" s="30" t="str">
        <x:v>نیازمند تکمیل و تأیید مالک</x:v>
      </x:c>
      <x:c r="Y57" s="30" t="str">
        <x:v>Senior Data Engineer</x:v>
      </x:c>
      <x:c r="Z57" s="30" t="n">
        <x:v>7</x:v>
      </x:c>
      <x:c r="AA57" s="30" t="n">
        <x:v>56</x:v>
      </x:c>
      <x:c r="AB57" s="30" t="str">
        <x:v>جدول Session با 6 فیلد + DQ rules (PK/Not-Null/RefInt) سبز</x:v>
      </x:c>
      <x:c r="AC57" s="30" t="str">
        <x:v>نیازمند تکمیل و تأیید مالک</x:v>
      </x:c>
      <x:c r="AD57" s="30" t="str">
        <x:v>نیازمند تکمیل و تأیید مالک</x:v>
      </x:c>
      <x:c r="AE57" s="30" t="str">
        <x:v>جدول Session با 6 فیلد + DQ rules (PK/Not-Null/RefInt) سبز</x:v>
      </x:c>
      <x:c r="AF57" s="30" t="str"/>
      <x:c r="AG57" s="30" t="str"/>
      <x:c r="AH57" s="30" t="str"/>
    </x:row>
    <x:row r="58">
      <x:c r="A58" s="17" t="inlineStr">
        <x:is>
          <x:t xml:space="preserve">TK-057</x:t>
        </x:is>
      </x:c>
      <x:c r="B58" s="4" t="inlineStr">
        <x:is>
          <x:t xml:space="preserve">مدل‌سازی موجودیت Event (5 فیلد)</x:t>
        </x:is>
      </x:c>
      <x:c r="C58" s="4" t="inlineStr">
        <x:is>
          <x:t xml:space="preserve">Build Entity Model: Event</x:t>
        </x:is>
      </x:c>
      <x:c r="D58" s="4" t="inlineStr">
        <x:is>
          <x:t xml:space="preserve">Data</x:t>
        </x:is>
      </x:c>
      <x:c r="E58" s="4" t="inlineStr">
        <x:is>
          <x:t xml:space="preserve">event_id, event_session_fk, event_name…</x:t>
        </x:is>
      </x:c>
      <x:c r="F58" s="17" t="inlineStr">
        <x:is>
          <x:t xml:space="preserve">W3</x:t>
        </x:is>
      </x:c>
      <x:c r="G58" s="4" t="inlineStr">
        <x:is>
          <x:t xml:space="preserve">S2</x:t>
        </x:is>
      </x:c>
      <x:c r="H58" s="17" t="inlineStr">
        <x:is>
          <x:t xml:space="preserve">High</x:t>
        </x:is>
      </x:c>
      <x:c r="I58" s="4" t="inlineStr">
        <x:is>
          <x:t xml:space="preserve">Senior Data Engineer</x:t>
        </x:is>
      </x:c>
      <x:c r="J58" s="17" t="n">
        <x:v>3</x:v>
      </x:c>
      <x:c r="K58" s="17" t="n">
        <x:v>2</x:v>
      </x:c>
      <x:c r="L58" s="18" t="n">
        <x:f>J58*2-K58</x:f>
        <x:v>4</x:v>
      </x:c>
      <x:c r="M58" s="4" t="inlineStr">
        <x:is>
          <x:t xml:space="preserve">TK-012, TK-041..053</x:t>
        </x:is>
      </x:c>
      <x:c r="N58" s="4" t="inlineStr">
        <x:is>
          <x:t xml:space="preserve">جدول Event با 5 فیلد + DQ rules (PK/Not-Null/RefInt) سبز</x:t>
        </x:is>
      </x:c>
      <x:c r="O58" s="17" t="inlineStr">
        <x:is>
          <x:t xml:space="preserve">Proposed</x:t>
        </x:is>
      </x:c>
      <x:c r="P58" s="4" t="inlineStr">
        <x:is>
          <x:t xml:space="preserve">event_id = join key</x:t>
        </x:is>
      </x:c>
      <x:c r="Q58" s="30" t="str">
        <x:v>TK-057</x:v>
      </x:c>
      <x:c r="R58" s="30" t="str"/>
      <x:c r="S58" s="30" t="str">
        <x:v>Data</x:v>
      </x:c>
      <x:c r="T58" s="30" t="str">
        <x:v>event_id, event_session_fk, event_name…</x:v>
      </x:c>
      <x:c r="U58" s="30" t="str">
        <x:v>مدل‌سازی موجودیت Event (5 فیلد)</x:v>
      </x:c>
      <x:c r="V58" s="30" t="str">
        <x:v>Pending dependency review</x:v>
      </x:c>
      <x:c r="W58" s="30" t="str">
        <x:v>نیازمند تکمیل و تأیید مالک</x:v>
      </x:c>
      <x:c r="X58" s="30" t="str">
        <x:v>نیازمند تکمیل و تأیید مالک</x:v>
      </x:c>
      <x:c r="Y58" s="30" t="str">
        <x:v>Senior Data Engineer</x:v>
      </x:c>
      <x:c r="Z58" s="30" t="n">
        <x:v>7</x:v>
      </x:c>
      <x:c r="AA58" s="30" t="n">
        <x:v>57</x:v>
      </x:c>
      <x:c r="AB58" s="30" t="str">
        <x:v>جدول Event با 5 فیلد + DQ rules (PK/Not-Null/RefInt) سبز</x:v>
      </x:c>
      <x:c r="AC58" s="30" t="str">
        <x:v>نیازمند تکمیل و تأیید مالک</x:v>
      </x:c>
      <x:c r="AD58" s="30" t="str">
        <x:v>نیازمند تکمیل و تأیید مالک</x:v>
      </x:c>
      <x:c r="AE58" s="30" t="str">
        <x:v>جدول Event با 5 فیلد + DQ rules (PK/Not-Null/RefInt) سبز</x:v>
      </x:c>
      <x:c r="AF58" s="30" t="str"/>
      <x:c r="AG58" s="30" t="str"/>
      <x:c r="AH58" s="30" t="str"/>
    </x:row>
    <x:row r="59">
      <x:c r="A59" s="19" t="inlineStr">
        <x:is>
          <x:t xml:space="preserve">TK-058</x:t>
        </x:is>
      </x:c>
      <x:c r="B59" s="6" t="inlineStr">
        <x:is>
          <x:t xml:space="preserve">مدل‌سازی موجودیت Campaign (5 فیلد)</x:t>
        </x:is>
      </x:c>
      <x:c r="C59" s="6" t="inlineStr">
        <x:is>
          <x:t xml:space="preserve">Build Entity Model: Campaign</x:t>
        </x:is>
      </x:c>
      <x:c r="D59" s="6" t="inlineStr">
        <x:is>
          <x:t xml:space="preserve">Data</x:t>
        </x:is>
      </x:c>
      <x:c r="E59" s="6" t="inlineStr">
        <x:is>
          <x:t xml:space="preserve">campaign_id, campaign_ad_platform, campaign_marketing_objective…</x:t>
        </x:is>
      </x:c>
      <x:c r="F59" s="19" t="inlineStr">
        <x:is>
          <x:t xml:space="preserve">W3</x:t>
        </x:is>
      </x:c>
      <x:c r="G59" s="6" t="inlineStr">
        <x:is>
          <x:t xml:space="preserve">S2</x:t>
        </x:is>
      </x:c>
      <x:c r="H59" s="19" t="inlineStr">
        <x:is>
          <x:t xml:space="preserve">High</x:t>
        </x:is>
      </x:c>
      <x:c r="I59" s="6" t="inlineStr">
        <x:is>
          <x:t xml:space="preserve">Senior Data Engineer</x:t>
        </x:is>
      </x:c>
      <x:c r="J59" s="19" t="n">
        <x:v>3</x:v>
      </x:c>
      <x:c r="K59" s="19" t="n">
        <x:v>2</x:v>
      </x:c>
      <x:c r="L59" s="18" t="n">
        <x:f>J59*2-K59</x:f>
        <x:v>4</x:v>
      </x:c>
      <x:c r="M59" s="6" t="inlineStr">
        <x:is>
          <x:t xml:space="preserve">TK-012, TK-041..053</x:t>
        </x:is>
      </x:c>
      <x:c r="N59" s="6" t="inlineStr">
        <x:is>
          <x:t xml:space="preserve">جدول Campaign با 5 فیلد + DQ rules (PK/Not-Null/RefInt) سبز</x:t>
        </x:is>
      </x:c>
      <x:c r="O59" s="19" t="inlineStr">
        <x:is>
          <x:t xml:space="preserve">Proposed</x:t>
        </x:is>
      </x:c>
      <x:c r="P59" s="6" t="inlineStr">
        <x:is>
          <x:t xml:space="preserve">campaign_id = join key</x:t>
        </x:is>
      </x:c>
      <x:c r="Q59" s="30" t="str">
        <x:v>TK-058</x:v>
      </x:c>
      <x:c r="R59" s="30" t="str"/>
      <x:c r="S59" s="30" t="str">
        <x:v>Data</x:v>
      </x:c>
      <x:c r="T59" s="30" t="str">
        <x:v>campaign_id, campaign_ad_platform, campaign_marketing_objective…</x:v>
      </x:c>
      <x:c r="U59" s="30" t="str">
        <x:v>مدل‌سازی موجودیت Campaign (5 فیلد)</x:v>
      </x:c>
      <x:c r="V59" s="30" t="str">
        <x:v>Pending dependency review</x:v>
      </x:c>
      <x:c r="W59" s="30" t="str">
        <x:v>نیازمند تکمیل و تأیید مالک</x:v>
      </x:c>
      <x:c r="X59" s="30" t="str">
        <x:v>نیازمند تکمیل و تأیید مالک</x:v>
      </x:c>
      <x:c r="Y59" s="30" t="str">
        <x:v>Senior Data Engineer</x:v>
      </x:c>
      <x:c r="Z59" s="30" t="n">
        <x:v>7</x:v>
      </x:c>
      <x:c r="AA59" s="30" t="n">
        <x:v>58</x:v>
      </x:c>
      <x:c r="AB59" s="30" t="str">
        <x:v>جدول Campaign با 5 فیلد + DQ rules (PK/Not-Null/RefInt) سبز</x:v>
      </x:c>
      <x:c r="AC59" s="30" t="str">
        <x:v>نیازمند تکمیل و تأیید مالک</x:v>
      </x:c>
      <x:c r="AD59" s="30" t="str">
        <x:v>نیازمند تکمیل و تأیید مالک</x:v>
      </x:c>
      <x:c r="AE59" s="30" t="str">
        <x:v>جدول Campaign با 5 فیلد + DQ rules (PK/Not-Null/RefInt) سبز</x:v>
      </x:c>
      <x:c r="AF59" s="30" t="str"/>
      <x:c r="AG59" s="30" t="str"/>
      <x:c r="AH59" s="30" t="str"/>
    </x:row>
    <x:row r="60">
      <x:c r="A60" s="17" t="inlineStr">
        <x:is>
          <x:t xml:space="preserve">TK-059</x:t>
        </x:is>
      </x:c>
      <x:c r="B60" s="4" t="inlineStr">
        <x:is>
          <x:t xml:space="preserve">مدل‌سازی موجودیت Ad Set (4 فیلد)</x:t>
        </x:is>
      </x:c>
      <x:c r="C60" s="4" t="inlineStr">
        <x:is>
          <x:t xml:space="preserve">Build Entity Model: Ad Set</x:t>
        </x:is>
      </x:c>
      <x:c r="D60" s="4" t="inlineStr">
        <x:is>
          <x:t xml:space="preserve">Data</x:t>
        </x:is>
      </x:c>
      <x:c r="E60" s="4" t="inlineStr">
        <x:is>
          <x:t xml:space="preserve">adset_adgroup_id, adset_campaign_fk, adset_targeting_profile_type…</x:t>
        </x:is>
      </x:c>
      <x:c r="F60" s="17" t="inlineStr">
        <x:is>
          <x:t xml:space="preserve">W3</x:t>
        </x:is>
      </x:c>
      <x:c r="G60" s="4" t="inlineStr">
        <x:is>
          <x:t xml:space="preserve">S2</x:t>
        </x:is>
      </x:c>
      <x:c r="H60" s="17" t="inlineStr">
        <x:is>
          <x:t xml:space="preserve">High</x:t>
        </x:is>
      </x:c>
      <x:c r="I60" s="4" t="inlineStr">
        <x:is>
          <x:t xml:space="preserve">Senior Data Engineer</x:t>
        </x:is>
      </x:c>
      <x:c r="J60" s="17" t="n">
        <x:v>3</x:v>
      </x:c>
      <x:c r="K60" s="17" t="n">
        <x:v>2</x:v>
      </x:c>
      <x:c r="L60" s="18" t="n">
        <x:f>J60*2-K60</x:f>
        <x:v>4</x:v>
      </x:c>
      <x:c r="M60" s="4" t="inlineStr">
        <x:is>
          <x:t xml:space="preserve">TK-012, TK-041..053</x:t>
        </x:is>
      </x:c>
      <x:c r="N60" s="4" t="inlineStr">
        <x:is>
          <x:t xml:space="preserve">جدول Ad Set با 4 فیلد + DQ rules (PK/Not-Null/RefInt) سبز</x:t>
        </x:is>
      </x:c>
      <x:c r="O60" s="17" t="inlineStr">
        <x:is>
          <x:t xml:space="preserve">Proposed</x:t>
        </x:is>
      </x:c>
      <x:c r="P60" s="4" t="inlineStr">
        <x:is>
          <x:t xml:space="preserve">adset_adgroup_id = join key</x:t>
        </x:is>
      </x:c>
      <x:c r="Q60" s="30" t="str">
        <x:v>TK-059</x:v>
      </x:c>
      <x:c r="R60" s="30" t="str"/>
      <x:c r="S60" s="30" t="str">
        <x:v>Data</x:v>
      </x:c>
      <x:c r="T60" s="30" t="str">
        <x:v>adset_adgroup_id, adset_campaign_fk, adset_targeting_profile_type…</x:v>
      </x:c>
      <x:c r="U60" s="30" t="str">
        <x:v>مدل‌سازی موجودیت Ad Set (4 فیلد)</x:v>
      </x:c>
      <x:c r="V60" s="30" t="str">
        <x:v>Pending dependency review</x:v>
      </x:c>
      <x:c r="W60" s="30" t="str">
        <x:v>نیازمند تکمیل و تأیید مالک</x:v>
      </x:c>
      <x:c r="X60" s="30" t="str">
        <x:v>نیازمند تکمیل و تأیید مالک</x:v>
      </x:c>
      <x:c r="Y60" s="30" t="str">
        <x:v>Senior Data Engineer</x:v>
      </x:c>
      <x:c r="Z60" s="30" t="n">
        <x:v>7</x:v>
      </x:c>
      <x:c r="AA60" s="30" t="n">
        <x:v>59</x:v>
      </x:c>
      <x:c r="AB60" s="30" t="str">
        <x:v>جدول Ad Set با 4 فیلد + DQ rules (PK/Not-Null/RefInt) سبز</x:v>
      </x:c>
      <x:c r="AC60" s="30" t="str">
        <x:v>نیازمند تکمیل و تأیید مالک</x:v>
      </x:c>
      <x:c r="AD60" s="30" t="str">
        <x:v>نیازمند تکمیل و تأیید مالک</x:v>
      </x:c>
      <x:c r="AE60" s="30" t="str">
        <x:v>جدول Ad Set با 4 فیلد + DQ rules (PK/Not-Null/RefInt) سبز</x:v>
      </x:c>
      <x:c r="AF60" s="30" t="str"/>
      <x:c r="AG60" s="30" t="str"/>
      <x:c r="AH60" s="30" t="str"/>
    </x:row>
    <x:row r="61">
      <x:c r="A61" s="19" t="inlineStr">
        <x:is>
          <x:t xml:space="preserve">TK-060</x:t>
        </x:is>
      </x:c>
      <x:c r="B61" s="6" t="inlineStr">
        <x:is>
          <x:t xml:space="preserve">مدل‌سازی موجودیت Ad (5 فیلد)</x:t>
        </x:is>
      </x:c>
      <x:c r="C61" s="6" t="inlineStr">
        <x:is>
          <x:t xml:space="preserve">Build Entity Model: Ad</x:t>
        </x:is>
      </x:c>
      <x:c r="D61" s="6" t="inlineStr">
        <x:is>
          <x:t xml:space="preserve">Data</x:t>
        </x:is>
      </x:c>
      <x:c r="E61" s="6" t="inlineStr">
        <x:is>
          <x:t xml:space="preserve">ad_id, ad_adset_fk, ad_creative_asset_fk…</x:t>
        </x:is>
      </x:c>
      <x:c r="F61" s="19" t="inlineStr">
        <x:is>
          <x:t xml:space="preserve">W3</x:t>
        </x:is>
      </x:c>
      <x:c r="G61" s="6" t="inlineStr">
        <x:is>
          <x:t xml:space="preserve">S2</x:t>
        </x:is>
      </x:c>
      <x:c r="H61" s="19" t="inlineStr">
        <x:is>
          <x:t xml:space="preserve">High</x:t>
        </x:is>
      </x:c>
      <x:c r="I61" s="6" t="inlineStr">
        <x:is>
          <x:t xml:space="preserve">Senior Data Engineer</x:t>
        </x:is>
      </x:c>
      <x:c r="J61" s="19" t="n">
        <x:v>3</x:v>
      </x:c>
      <x:c r="K61" s="19" t="n">
        <x:v>2</x:v>
      </x:c>
      <x:c r="L61" s="18" t="n">
        <x:f>J61*2-K61</x:f>
        <x:v>4</x:v>
      </x:c>
      <x:c r="M61" s="6" t="inlineStr">
        <x:is>
          <x:t xml:space="preserve">TK-012, TK-041..053</x:t>
        </x:is>
      </x:c>
      <x:c r="N61" s="6" t="inlineStr">
        <x:is>
          <x:t xml:space="preserve">جدول Ad با 5 فیلد + DQ rules (PK/Not-Null/RefInt) سبز</x:t>
        </x:is>
      </x:c>
      <x:c r="O61" s="19" t="inlineStr">
        <x:is>
          <x:t xml:space="preserve">Proposed</x:t>
        </x:is>
      </x:c>
      <x:c r="P61" s="6" t="inlineStr">
        <x:is>
          <x:t xml:space="preserve">ad_id = join key</x:t>
        </x:is>
      </x:c>
      <x:c r="Q61" s="30" t="str">
        <x:v>TK-060</x:v>
      </x:c>
      <x:c r="R61" s="30" t="str"/>
      <x:c r="S61" s="30" t="str">
        <x:v>Data</x:v>
      </x:c>
      <x:c r="T61" s="30" t="str">
        <x:v>ad_id, ad_adset_fk, ad_creative_asset_fk…</x:v>
      </x:c>
      <x:c r="U61" s="30" t="str">
        <x:v>مدل‌سازی موجودیت Ad (5 فیلد)</x:v>
      </x:c>
      <x:c r="V61" s="30" t="str">
        <x:v>Pending dependency review</x:v>
      </x:c>
      <x:c r="W61" s="30" t="str">
        <x:v>نیازمند تکمیل و تأیید مالک</x:v>
      </x:c>
      <x:c r="X61" s="30" t="str">
        <x:v>نیازمند تکمیل و تأیید مالک</x:v>
      </x:c>
      <x:c r="Y61" s="30" t="str">
        <x:v>Senior Data Engineer</x:v>
      </x:c>
      <x:c r="Z61" s="30" t="n">
        <x:v>7</x:v>
      </x:c>
      <x:c r="AA61" s="30" t="n">
        <x:v>60</x:v>
      </x:c>
      <x:c r="AB61" s="30" t="str">
        <x:v>جدول Ad با 5 فیلد + DQ rules (PK/Not-Null/RefInt) سبز</x:v>
      </x:c>
      <x:c r="AC61" s="30" t="str">
        <x:v>نیازمند تکمیل و تأیید مالک</x:v>
      </x:c>
      <x:c r="AD61" s="30" t="str">
        <x:v>نیازمند تکمیل و تأیید مالک</x:v>
      </x:c>
      <x:c r="AE61" s="30" t="str">
        <x:v>جدول Ad با 5 فیلد + DQ rules (PK/Not-Null/RefInt) سبز</x:v>
      </x:c>
      <x:c r="AF61" s="30" t="str"/>
      <x:c r="AG61" s="30" t="str"/>
      <x:c r="AH61" s="30" t="str"/>
    </x:row>
    <x:row r="62">
      <x:c r="A62" s="17" t="inlineStr">
        <x:is>
          <x:t xml:space="preserve">TK-061</x:t>
        </x:is>
      </x:c>
      <x:c r="B62" s="4" t="inlineStr">
        <x:is>
          <x:t xml:space="preserve">مدل‌سازی موجودیت Creative (5 فیلد)</x:t>
        </x:is>
      </x:c>
      <x:c r="C62" s="4" t="inlineStr">
        <x:is>
          <x:t xml:space="preserve">Build Entity Model: Creative</x:t>
        </x:is>
      </x:c>
      <x:c r="D62" s="4" t="inlineStr">
        <x:is>
          <x:t xml:space="preserve">Data</x:t>
        </x:is>
      </x:c>
      <x:c r="E62" s="4" t="inlineStr">
        <x:is>
          <x:t xml:space="preserve">creative_id, creative_format_type, creative_hook_angle_theme…</x:t>
        </x:is>
      </x:c>
      <x:c r="F62" s="17" t="inlineStr">
        <x:is>
          <x:t xml:space="preserve">W3</x:t>
        </x:is>
      </x:c>
      <x:c r="G62" s="4" t="inlineStr">
        <x:is>
          <x:t xml:space="preserve">S2</x:t>
        </x:is>
      </x:c>
      <x:c r="H62" s="17" t="inlineStr">
        <x:is>
          <x:t xml:space="preserve">High</x:t>
        </x:is>
      </x:c>
      <x:c r="I62" s="4" t="inlineStr">
        <x:is>
          <x:t xml:space="preserve">Senior Data Engineer</x:t>
        </x:is>
      </x:c>
      <x:c r="J62" s="17" t="n">
        <x:v>3</x:v>
      </x:c>
      <x:c r="K62" s="17" t="n">
        <x:v>2</x:v>
      </x:c>
      <x:c r="L62" s="18" t="n">
        <x:f>J62*2-K62</x:f>
        <x:v>4</x:v>
      </x:c>
      <x:c r="M62" s="4" t="inlineStr">
        <x:is>
          <x:t xml:space="preserve">TK-012, TK-041..053</x:t>
        </x:is>
      </x:c>
      <x:c r="N62" s="4" t="inlineStr">
        <x:is>
          <x:t xml:space="preserve">جدول Creative با 5 فیلد + DQ rules (PK/Not-Null/RefInt) سبز</x:t>
        </x:is>
      </x:c>
      <x:c r="O62" s="17" t="inlineStr">
        <x:is>
          <x:t xml:space="preserve">Proposed</x:t>
        </x:is>
      </x:c>
      <x:c r="P62" s="4" t="inlineStr">
        <x:is>
          <x:t xml:space="preserve">creative_id = join key</x:t>
        </x:is>
      </x:c>
      <x:c r="Q62" s="30" t="str">
        <x:v>TK-061</x:v>
      </x:c>
      <x:c r="R62" s="30" t="str"/>
      <x:c r="S62" s="30" t="str">
        <x:v>Data</x:v>
      </x:c>
      <x:c r="T62" s="30" t="str">
        <x:v>creative_id, creative_format_type, creative_hook_angle_theme…</x:v>
      </x:c>
      <x:c r="U62" s="30" t="str">
        <x:v>مدل‌سازی موجودیت Creative (5 فیلد)</x:v>
      </x:c>
      <x:c r="V62" s="30" t="str">
        <x:v>Pending dependency review</x:v>
      </x:c>
      <x:c r="W62" s="30" t="str">
        <x:v>نیازمند تکمیل و تأیید مالک</x:v>
      </x:c>
      <x:c r="X62" s="30" t="str">
        <x:v>نیازمند تکمیل و تأیید مالک</x:v>
      </x:c>
      <x:c r="Y62" s="30" t="str">
        <x:v>Senior Data Engineer</x:v>
      </x:c>
      <x:c r="Z62" s="30" t="n">
        <x:v>7</x:v>
      </x:c>
      <x:c r="AA62" s="30" t="n">
        <x:v>61</x:v>
      </x:c>
      <x:c r="AB62" s="30" t="str">
        <x:v>جدول Creative با 5 فیلد + DQ rules (PK/Not-Null/RefInt) سبز</x:v>
      </x:c>
      <x:c r="AC62" s="30" t="str">
        <x:v>نیازمند تکمیل و تأیید مالک</x:v>
      </x:c>
      <x:c r="AD62" s="30" t="str">
        <x:v>نیازمند تکمیل و تأیید مالک</x:v>
      </x:c>
      <x:c r="AE62" s="30" t="str">
        <x:v>جدول Creative با 5 فیلد + DQ rules (PK/Not-Null/RefInt) سبز</x:v>
      </x:c>
      <x:c r="AF62" s="30" t="str"/>
      <x:c r="AG62" s="30" t="str"/>
      <x:c r="AH62" s="30" t="str"/>
    </x:row>
    <x:row r="63">
      <x:c r="A63" s="19" t="inlineStr">
        <x:is>
          <x:t xml:space="preserve">TK-062</x:t>
        </x:is>
      </x:c>
      <x:c r="B63" s="6" t="inlineStr">
        <x:is>
          <x:t xml:space="preserve">مدل‌سازی موجودیت Keyword (4 فیلد)</x:t>
        </x:is>
      </x:c>
      <x:c r="C63" s="6" t="inlineStr">
        <x:is>
          <x:t xml:space="preserve">Build Entity Model: Keyword</x:t>
        </x:is>
      </x:c>
      <x:c r="D63" s="6" t="inlineStr">
        <x:is>
          <x:t xml:space="preserve">Data</x:t>
        </x:is>
      </x:c>
      <x:c r="E63" s="6" t="inlineStr">
        <x:is>
          <x:t xml:space="preserve">keyword_id, keyword_text, keyword_match_type…</x:t>
        </x:is>
      </x:c>
      <x:c r="F63" s="19" t="inlineStr">
        <x:is>
          <x:t xml:space="preserve">W3</x:t>
        </x:is>
      </x:c>
      <x:c r="G63" s="6" t="inlineStr">
        <x:is>
          <x:t xml:space="preserve">S2</x:t>
        </x:is>
      </x:c>
      <x:c r="H63" s="19" t="inlineStr">
        <x:is>
          <x:t xml:space="preserve">High</x:t>
        </x:is>
      </x:c>
      <x:c r="I63" s="6" t="inlineStr">
        <x:is>
          <x:t xml:space="preserve">Senior Data Engineer</x:t>
        </x:is>
      </x:c>
      <x:c r="J63" s="19" t="n">
        <x:v>3</x:v>
      </x:c>
      <x:c r="K63" s="19" t="n">
        <x:v>2</x:v>
      </x:c>
      <x:c r="L63" s="18" t="n">
        <x:f>J63*2-K63</x:f>
        <x:v>4</x:v>
      </x:c>
      <x:c r="M63" s="6" t="inlineStr">
        <x:is>
          <x:t xml:space="preserve">TK-012, TK-041..053</x:t>
        </x:is>
      </x:c>
      <x:c r="N63" s="6" t="inlineStr">
        <x:is>
          <x:t xml:space="preserve">جدول Keyword با 4 فیلد + DQ rules (PK/Not-Null/RefInt) سبز</x:t>
        </x:is>
      </x:c>
      <x:c r="O63" s="19" t="inlineStr">
        <x:is>
          <x:t xml:space="preserve">Proposed</x:t>
        </x:is>
      </x:c>
      <x:c r="P63" s="6" t="inlineStr">
        <x:is>
          <x:t xml:space="preserve">keyword_id = join key</x:t>
        </x:is>
      </x:c>
      <x:c r="Q63" s="30" t="str">
        <x:v>TK-062</x:v>
      </x:c>
      <x:c r="R63" s="30" t="str"/>
      <x:c r="S63" s="30" t="str">
        <x:v>Data</x:v>
      </x:c>
      <x:c r="T63" s="30" t="str">
        <x:v>keyword_id, keyword_text, keyword_match_type…</x:v>
      </x:c>
      <x:c r="U63" s="30" t="str">
        <x:v>مدل‌سازی موجودیت Keyword (4 فیلد)</x:v>
      </x:c>
      <x:c r="V63" s="30" t="str">
        <x:v>Pending dependency review</x:v>
      </x:c>
      <x:c r="W63" s="30" t="str">
        <x:v>نیازمند تکمیل و تأیید مالک</x:v>
      </x:c>
      <x:c r="X63" s="30" t="str">
        <x:v>نیازمند تکمیل و تأیید مالک</x:v>
      </x:c>
      <x:c r="Y63" s="30" t="str">
        <x:v>Senior Data Engineer</x:v>
      </x:c>
      <x:c r="Z63" s="30" t="n">
        <x:v>7</x:v>
      </x:c>
      <x:c r="AA63" s="30" t="n">
        <x:v>62</x:v>
      </x:c>
      <x:c r="AB63" s="30" t="str">
        <x:v>جدول Keyword با 4 فیلد + DQ rules (PK/Not-Null/RefInt) سبز</x:v>
      </x:c>
      <x:c r="AC63" s="30" t="str">
        <x:v>نیازمند تکمیل و تأیید مالک</x:v>
      </x:c>
      <x:c r="AD63" s="30" t="str">
        <x:v>نیازمند تکمیل و تأیید مالک</x:v>
      </x:c>
      <x:c r="AE63" s="30" t="str">
        <x:v>جدول Keyword با 4 فیلد + DQ rules (PK/Not-Null/RefInt) سبز</x:v>
      </x:c>
      <x:c r="AF63" s="30" t="str"/>
      <x:c r="AG63" s="30" t="str"/>
      <x:c r="AH63" s="30" t="str"/>
    </x:row>
    <x:row r="64">
      <x:c r="A64" s="17" t="inlineStr">
        <x:is>
          <x:t xml:space="preserve">TK-063</x:t>
        </x:is>
      </x:c>
      <x:c r="B64" s="4" t="inlineStr">
        <x:is>
          <x:t xml:space="preserve">مدل‌سازی موجودیت Search Term (4 فیلد)</x:t>
        </x:is>
      </x:c>
      <x:c r="C64" s="4" t="inlineStr">
        <x:is>
          <x:t xml:space="preserve">Build Entity Model: Search Term</x:t>
        </x:is>
      </x:c>
      <x:c r="D64" s="4" t="inlineStr">
        <x:is>
          <x:t xml:space="preserve">Data</x:t>
        </x:is>
      </x:c>
      <x:c r="E64" s="4" t="inlineStr">
        <x:is>
          <x:t xml:space="preserve">search_term_id, search_term_query_text, search_term_keyword_fk…</x:t>
        </x:is>
      </x:c>
      <x:c r="F64" s="17" t="inlineStr">
        <x:is>
          <x:t xml:space="preserve">W3</x:t>
        </x:is>
      </x:c>
      <x:c r="G64" s="4" t="inlineStr">
        <x:is>
          <x:t xml:space="preserve">S2</x:t>
        </x:is>
      </x:c>
      <x:c r="H64" s="17" t="inlineStr">
        <x:is>
          <x:t xml:space="preserve">High</x:t>
        </x:is>
      </x:c>
      <x:c r="I64" s="4" t="inlineStr">
        <x:is>
          <x:t xml:space="preserve">Senior Data Engineer</x:t>
        </x:is>
      </x:c>
      <x:c r="J64" s="17" t="n">
        <x:v>3</x:v>
      </x:c>
      <x:c r="K64" s="17" t="n">
        <x:v>2</x:v>
      </x:c>
      <x:c r="L64" s="18" t="n">
        <x:f>J64*2-K64</x:f>
        <x:v>4</x:v>
      </x:c>
      <x:c r="M64" s="4" t="inlineStr">
        <x:is>
          <x:t xml:space="preserve">TK-012, TK-041..053</x:t>
        </x:is>
      </x:c>
      <x:c r="N64" s="4" t="inlineStr">
        <x:is>
          <x:t xml:space="preserve">جدول Search Term با 4 فیلد + DQ rules (PK/Not-Null/RefInt) سبز</x:t>
        </x:is>
      </x:c>
      <x:c r="O64" s="17" t="inlineStr">
        <x:is>
          <x:t xml:space="preserve">Proposed</x:t>
        </x:is>
      </x:c>
      <x:c r="P64" s="4" t="inlineStr">
        <x:is>
          <x:t xml:space="preserve">search_term_id = join key</x:t>
        </x:is>
      </x:c>
      <x:c r="Q64" s="30" t="str">
        <x:v>TK-063</x:v>
      </x:c>
      <x:c r="R64" s="30" t="str"/>
      <x:c r="S64" s="30" t="str">
        <x:v>Data</x:v>
      </x:c>
      <x:c r="T64" s="30" t="str">
        <x:v>search_term_id, search_term_query_text, search_term_keyword_fk…</x:v>
      </x:c>
      <x:c r="U64" s="30" t="str">
        <x:v>مدل‌سازی موجودیت Search Term (4 فیلد)</x:v>
      </x:c>
      <x:c r="V64" s="30" t="str">
        <x:v>Pending dependency review</x:v>
      </x:c>
      <x:c r="W64" s="30" t="str">
        <x:v>نیازمند تکمیل و تأیید مالک</x:v>
      </x:c>
      <x:c r="X64" s="30" t="str">
        <x:v>نیازمند تکمیل و تأیید مالک</x:v>
      </x:c>
      <x:c r="Y64" s="30" t="str">
        <x:v>Senior Data Engineer</x:v>
      </x:c>
      <x:c r="Z64" s="30" t="n">
        <x:v>7</x:v>
      </x:c>
      <x:c r="AA64" s="30" t="n">
        <x:v>63</x:v>
      </x:c>
      <x:c r="AB64" s="30" t="str">
        <x:v>جدول Search Term با 4 فیلد + DQ rules (PK/Not-Null/RefInt) سبز</x:v>
      </x:c>
      <x:c r="AC64" s="30" t="str">
        <x:v>نیازمند تکمیل و تأیید مالک</x:v>
      </x:c>
      <x:c r="AD64" s="30" t="str">
        <x:v>نیازمند تکمیل و تأیید مالک</x:v>
      </x:c>
      <x:c r="AE64" s="30" t="str">
        <x:v>جدول Search Term با 4 فیلد + DQ rules (PK/Not-Null/RefInt) سبز</x:v>
      </x:c>
      <x:c r="AF64" s="30" t="str"/>
      <x:c r="AG64" s="30" t="str"/>
      <x:c r="AH64" s="30" t="str"/>
    </x:row>
    <x:row r="65">
      <x:c r="A65" s="19" t="inlineStr">
        <x:is>
          <x:t xml:space="preserve">TK-064</x:t>
        </x:is>
      </x:c>
      <x:c r="B65" s="6" t="inlineStr">
        <x:is>
          <x:t xml:space="preserve">مدل‌سازی موجودیت Landing Page (4 فیلد)</x:t>
        </x:is>
      </x:c>
      <x:c r="C65" s="6" t="inlineStr">
        <x:is>
          <x:t xml:space="preserve">Build Entity Model: Landing Page</x:t>
        </x:is>
      </x:c>
      <x:c r="D65" s="6" t="inlineStr">
        <x:is>
          <x:t xml:space="preserve">Data</x:t>
        </x:is>
      </x:c>
      <x:c r="E65" s="6" t="inlineStr">
        <x:is>
          <x:t xml:space="preserve">landing_page_id, landing_page_full_url, landing_page_load_time_sec…</x:t>
        </x:is>
      </x:c>
      <x:c r="F65" s="19" t="inlineStr">
        <x:is>
          <x:t xml:space="preserve">W3</x:t>
        </x:is>
      </x:c>
      <x:c r="G65" s="6" t="inlineStr">
        <x:is>
          <x:t xml:space="preserve">S2</x:t>
        </x:is>
      </x:c>
      <x:c r="H65" s="19" t="inlineStr">
        <x:is>
          <x:t xml:space="preserve">High</x:t>
        </x:is>
      </x:c>
      <x:c r="I65" s="6" t="inlineStr">
        <x:is>
          <x:t xml:space="preserve">Senior Data Engineer</x:t>
        </x:is>
      </x:c>
      <x:c r="J65" s="19" t="n">
        <x:v>3</x:v>
      </x:c>
      <x:c r="K65" s="19" t="n">
        <x:v>2</x:v>
      </x:c>
      <x:c r="L65" s="18" t="n">
        <x:f>J65*2-K65</x:f>
        <x:v>4</x:v>
      </x:c>
      <x:c r="M65" s="6" t="inlineStr">
        <x:is>
          <x:t xml:space="preserve">TK-012, TK-041..053</x:t>
        </x:is>
      </x:c>
      <x:c r="N65" s="6" t="inlineStr">
        <x:is>
          <x:t xml:space="preserve">جدول Landing Page با 4 فیلد + DQ rules (PK/Not-Null/RefInt) سبز</x:t>
        </x:is>
      </x:c>
      <x:c r="O65" s="19" t="inlineStr">
        <x:is>
          <x:t xml:space="preserve">Proposed</x:t>
        </x:is>
      </x:c>
      <x:c r="P65" s="6" t="inlineStr">
        <x:is>
          <x:t xml:space="preserve">landing_page_id = join key</x:t>
        </x:is>
      </x:c>
      <x:c r="Q65" s="30" t="str">
        <x:v>TK-064</x:v>
      </x:c>
      <x:c r="R65" s="30" t="str"/>
      <x:c r="S65" s="30" t="str">
        <x:v>Data</x:v>
      </x:c>
      <x:c r="T65" s="30" t="str">
        <x:v>landing_page_id, landing_page_full_url, landing_page_load_time_sec…</x:v>
      </x:c>
      <x:c r="U65" s="30" t="str">
        <x:v>مدل‌سازی موجودیت Landing Page (4 فیلد)</x:v>
      </x:c>
      <x:c r="V65" s="30" t="str">
        <x:v>Pending dependency review</x:v>
      </x:c>
      <x:c r="W65" s="30" t="str">
        <x:v>نیازمند تکمیل و تأیید مالک</x:v>
      </x:c>
      <x:c r="X65" s="30" t="str">
        <x:v>نیازمند تکمیل و تأیید مالک</x:v>
      </x:c>
      <x:c r="Y65" s="30" t="str">
        <x:v>Senior Data Engineer</x:v>
      </x:c>
      <x:c r="Z65" s="30" t="n">
        <x:v>7</x:v>
      </x:c>
      <x:c r="AA65" s="30" t="n">
        <x:v>64</x:v>
      </x:c>
      <x:c r="AB65" s="30" t="str">
        <x:v>جدول Landing Page با 4 فیلد + DQ rules (PK/Not-Null/RefInt) سبز</x:v>
      </x:c>
      <x:c r="AC65" s="30" t="str">
        <x:v>نیازمند تکمیل و تأیید مالک</x:v>
      </x:c>
      <x:c r="AD65" s="30" t="str">
        <x:v>نیازمند تکمیل و تأیید مالک</x:v>
      </x:c>
      <x:c r="AE65" s="30" t="str">
        <x:v>جدول Landing Page با 4 فیلد + DQ rules (PK/Not-Null/RefInt) سبز</x:v>
      </x:c>
      <x:c r="AF65" s="30" t="str"/>
      <x:c r="AG65" s="30" t="str"/>
      <x:c r="AH65" s="30" t="str"/>
    </x:row>
    <x:row r="66">
      <x:c r="A66" s="17" t="inlineStr">
        <x:is>
          <x:t xml:space="preserve">TK-065</x:t>
        </x:is>
      </x:c>
      <x:c r="B66" s="4" t="inlineStr">
        <x:is>
          <x:t xml:space="preserve">مدل‌سازی موجودیت Product (7 فیلد)</x:t>
        </x:is>
      </x:c>
      <x:c r="C66" s="4" t="inlineStr">
        <x:is>
          <x:t xml:space="preserve">Build Entity Model: Product</x:t>
        </x:is>
      </x:c>
      <x:c r="D66" s="4" t="inlineStr">
        <x:is>
          <x:t xml:space="preserve">Data</x:t>
        </x:is>
      </x:c>
      <x:c r="E66" s="4" t="inlineStr">
        <x:is>
          <x:t xml:space="preserve">sku_id, product_canonical_name, product_category_fk…</x:t>
        </x:is>
      </x:c>
      <x:c r="F66" s="17" t="inlineStr">
        <x:is>
          <x:t xml:space="preserve">W3</x:t>
        </x:is>
      </x:c>
      <x:c r="G66" s="4" t="inlineStr">
        <x:is>
          <x:t xml:space="preserve">S2</x:t>
        </x:is>
      </x:c>
      <x:c r="H66" s="17" t="inlineStr">
        <x:is>
          <x:t xml:space="preserve">High</x:t>
        </x:is>
      </x:c>
      <x:c r="I66" s="4" t="inlineStr">
        <x:is>
          <x:t xml:space="preserve">Senior Data Engineer</x:t>
        </x:is>
      </x:c>
      <x:c r="J66" s="17" t="n">
        <x:v>3</x:v>
      </x:c>
      <x:c r="K66" s="17" t="n">
        <x:v>2</x:v>
      </x:c>
      <x:c r="L66" s="18" t="n">
        <x:f>J66*2-K66</x:f>
        <x:v>4</x:v>
      </x:c>
      <x:c r="M66" s="4" t="inlineStr">
        <x:is>
          <x:t xml:space="preserve">TK-012, TK-041..053</x:t>
        </x:is>
      </x:c>
      <x:c r="N66" s="4" t="inlineStr">
        <x:is>
          <x:t xml:space="preserve">جدول Product با 7 فیلد + DQ rules (PK/Not-Null/RefInt) سبز</x:t>
        </x:is>
      </x:c>
      <x:c r="O66" s="17" t="inlineStr">
        <x:is>
          <x:t xml:space="preserve">Proposed</x:t>
        </x:is>
      </x:c>
      <x:c r="P66" s="4" t="inlineStr">
        <x:is>
          <x:t xml:space="preserve">sku_id = join key</x:t>
        </x:is>
      </x:c>
      <x:c r="Q66" s="30" t="str">
        <x:v>TK-065</x:v>
      </x:c>
      <x:c r="R66" s="30" t="str"/>
      <x:c r="S66" s="30" t="str">
        <x:v>Data</x:v>
      </x:c>
      <x:c r="T66" s="30" t="str">
        <x:v>sku_id, product_canonical_name, product_category_fk…</x:v>
      </x:c>
      <x:c r="U66" s="30" t="str">
        <x:v>مدل‌سازی موجودیت Product (7 فیلد)</x:v>
      </x:c>
      <x:c r="V66" s="30" t="str">
        <x:v>Pending dependency review</x:v>
      </x:c>
      <x:c r="W66" s="30" t="str">
        <x:v>نیازمند تکمیل و تأیید مالک</x:v>
      </x:c>
      <x:c r="X66" s="30" t="str">
        <x:v>نیازمند تکمیل و تأیید مالک</x:v>
      </x:c>
      <x:c r="Y66" s="30" t="str">
        <x:v>Senior Data Engineer</x:v>
      </x:c>
      <x:c r="Z66" s="30" t="n">
        <x:v>7</x:v>
      </x:c>
      <x:c r="AA66" s="30" t="n">
        <x:v>65</x:v>
      </x:c>
      <x:c r="AB66" s="30" t="str">
        <x:v>جدول Product با 7 فیلد + DQ rules (PK/Not-Null/RefInt) سبز</x:v>
      </x:c>
      <x:c r="AC66" s="30" t="str">
        <x:v>نیازمند تکمیل و تأیید مالک</x:v>
      </x:c>
      <x:c r="AD66" s="30" t="str">
        <x:v>نیازمند تکمیل و تأیید مالک</x:v>
      </x:c>
      <x:c r="AE66" s="30" t="str">
        <x:v>جدول Product با 7 فیلد + DQ rules (PK/Not-Null/RefInt) سبز</x:v>
      </x:c>
      <x:c r="AF66" s="30" t="str"/>
      <x:c r="AG66" s="30" t="str"/>
      <x:c r="AH66" s="30" t="str"/>
    </x:row>
    <x:row r="67">
      <x:c r="A67" s="19" t="inlineStr">
        <x:is>
          <x:t xml:space="preserve">TK-066</x:t>
        </x:is>
      </x:c>
      <x:c r="B67" s="6" t="inlineStr">
        <x:is>
          <x:t xml:space="preserve">مدل‌سازی موجودیت Category (4 فیلد)</x:t>
        </x:is>
      </x:c>
      <x:c r="C67" s="6" t="inlineStr">
        <x:is>
          <x:t xml:space="preserve">Build Entity Model: Category</x:t>
        </x:is>
      </x:c>
      <x:c r="D67" s="6" t="inlineStr">
        <x:is>
          <x:t xml:space="preserve">Data</x:t>
        </x:is>
      </x:c>
      <x:c r="E67" s="6" t="inlineStr">
        <x:is>
          <x:t xml:space="preserve">category_id, category_name_fa, category_target_margin_pct…</x:t>
        </x:is>
      </x:c>
      <x:c r="F67" s="19" t="inlineStr">
        <x:is>
          <x:t xml:space="preserve">W3</x:t>
        </x:is>
      </x:c>
      <x:c r="G67" s="6" t="inlineStr">
        <x:is>
          <x:t xml:space="preserve">S2</x:t>
        </x:is>
      </x:c>
      <x:c r="H67" s="19" t="inlineStr">
        <x:is>
          <x:t xml:space="preserve">High</x:t>
        </x:is>
      </x:c>
      <x:c r="I67" s="6" t="inlineStr">
        <x:is>
          <x:t xml:space="preserve">Senior Data Engineer</x:t>
        </x:is>
      </x:c>
      <x:c r="J67" s="19" t="n">
        <x:v>3</x:v>
      </x:c>
      <x:c r="K67" s="19" t="n">
        <x:v>2</x:v>
      </x:c>
      <x:c r="L67" s="18" t="n">
        <x:f>J67*2-K67</x:f>
        <x:v>4</x:v>
      </x:c>
      <x:c r="M67" s="6" t="inlineStr">
        <x:is>
          <x:t xml:space="preserve">TK-012, TK-041..053</x:t>
        </x:is>
      </x:c>
      <x:c r="N67" s="6" t="inlineStr">
        <x:is>
          <x:t xml:space="preserve">جدول Category با 4 فیلد + DQ rules (PK/Not-Null/RefInt) سبز</x:t>
        </x:is>
      </x:c>
      <x:c r="O67" s="19" t="inlineStr">
        <x:is>
          <x:t xml:space="preserve">Proposed</x:t>
        </x:is>
      </x:c>
      <x:c r="P67" s="6" t="inlineStr">
        <x:is>
          <x:t xml:space="preserve">category_id = join key</x:t>
        </x:is>
      </x:c>
      <x:c r="Q67" s="30" t="str">
        <x:v>TK-066</x:v>
      </x:c>
      <x:c r="R67" s="30" t="str"/>
      <x:c r="S67" s="30" t="str">
        <x:v>Data</x:v>
      </x:c>
      <x:c r="T67" s="30" t="str">
        <x:v>category_id, category_name_fa, category_target_margin_pct…</x:v>
      </x:c>
      <x:c r="U67" s="30" t="str">
        <x:v>مدل‌سازی موجودیت Category (4 فیلد)</x:v>
      </x:c>
      <x:c r="V67" s="30" t="str">
        <x:v>Pending dependency review</x:v>
      </x:c>
      <x:c r="W67" s="30" t="str">
        <x:v>نیازمند تکمیل و تأیید مالک</x:v>
      </x:c>
      <x:c r="X67" s="30" t="str">
        <x:v>نیازمند تکمیل و تأیید مالک</x:v>
      </x:c>
      <x:c r="Y67" s="30" t="str">
        <x:v>Senior Data Engineer</x:v>
      </x:c>
      <x:c r="Z67" s="30" t="n">
        <x:v>7</x:v>
      </x:c>
      <x:c r="AA67" s="30" t="n">
        <x:v>66</x:v>
      </x:c>
      <x:c r="AB67" s="30" t="str">
        <x:v>جدول Category با 4 فیلد + DQ rules (PK/Not-Null/RefInt) سبز</x:v>
      </x:c>
      <x:c r="AC67" s="30" t="str">
        <x:v>نیازمند تکمیل و تأیید مالک</x:v>
      </x:c>
      <x:c r="AD67" s="30" t="str">
        <x:v>نیازمند تکمیل و تأیید مالک</x:v>
      </x:c>
      <x:c r="AE67" s="30" t="str">
        <x:v>جدول Category با 4 فیلد + DQ rules (PK/Not-Null/RefInt) سبز</x:v>
      </x:c>
      <x:c r="AF67" s="30" t="str"/>
      <x:c r="AG67" s="30" t="str"/>
      <x:c r="AH67" s="30" t="str"/>
    </x:row>
    <x:row r="68">
      <x:c r="A68" s="17" t="inlineStr">
        <x:is>
          <x:t xml:space="preserve">TK-067</x:t>
        </x:is>
      </x:c>
      <x:c r="B68" s="4" t="inlineStr">
        <x:is>
          <x:t xml:space="preserve">مدل‌سازی موجودیت Brand (3 فیلد)</x:t>
        </x:is>
      </x:c>
      <x:c r="C68" s="4" t="inlineStr">
        <x:is>
          <x:t xml:space="preserve">Build Entity Model: Brand</x:t>
        </x:is>
      </x:c>
      <x:c r="D68" s="4" t="inlineStr">
        <x:is>
          <x:t xml:space="preserve">Data</x:t>
        </x:is>
      </x:c>
      <x:c r="E68" s="4" t="inlineStr">
        <x:is>
          <x:t xml:space="preserve">brand_id, brand_trade_name, brand_country_of_origin</x:t>
        </x:is>
      </x:c>
      <x:c r="F68" s="17" t="inlineStr">
        <x:is>
          <x:t xml:space="preserve">W3</x:t>
        </x:is>
      </x:c>
      <x:c r="G68" s="4" t="inlineStr">
        <x:is>
          <x:t xml:space="preserve">S2</x:t>
        </x:is>
      </x:c>
      <x:c r="H68" s="17" t="inlineStr">
        <x:is>
          <x:t xml:space="preserve">High</x:t>
        </x:is>
      </x:c>
      <x:c r="I68" s="4" t="inlineStr">
        <x:is>
          <x:t xml:space="preserve">Senior Data Engineer</x:t>
        </x:is>
      </x:c>
      <x:c r="J68" s="17" t="n">
        <x:v>3</x:v>
      </x:c>
      <x:c r="K68" s="17" t="n">
        <x:v>2</x:v>
      </x:c>
      <x:c r="L68" s="18" t="n">
        <x:f>J68*2-K68</x:f>
        <x:v>4</x:v>
      </x:c>
      <x:c r="M68" s="4" t="inlineStr">
        <x:is>
          <x:t xml:space="preserve">TK-012, TK-041..053</x:t>
        </x:is>
      </x:c>
      <x:c r="N68" s="4" t="inlineStr">
        <x:is>
          <x:t xml:space="preserve">جدول Brand با 3 فیلد + DQ rules (PK/Not-Null/RefInt) سبز</x:t>
        </x:is>
      </x:c>
      <x:c r="O68" s="17" t="inlineStr">
        <x:is>
          <x:t xml:space="preserve">Proposed</x:t>
        </x:is>
      </x:c>
      <x:c r="P68" s="4" t="inlineStr">
        <x:is>
          <x:t xml:space="preserve">brand_id = join key</x:t>
        </x:is>
      </x:c>
      <x:c r="Q68" s="30" t="str">
        <x:v>TK-067</x:v>
      </x:c>
      <x:c r="R68" s="30" t="str"/>
      <x:c r="S68" s="30" t="str">
        <x:v>Data</x:v>
      </x:c>
      <x:c r="T68" s="30" t="str">
        <x:v>brand_id, brand_trade_name, brand_country_of_origin</x:v>
      </x:c>
      <x:c r="U68" s="30" t="str">
        <x:v>مدل‌سازی موجودیت Brand (3 فیلد)</x:v>
      </x:c>
      <x:c r="V68" s="30" t="str">
        <x:v>Pending dependency review</x:v>
      </x:c>
      <x:c r="W68" s="30" t="str">
        <x:v>نیازمند تکمیل و تأیید مالک</x:v>
      </x:c>
      <x:c r="X68" s="30" t="str">
        <x:v>نیازمند تکمیل و تأیید مالک</x:v>
      </x:c>
      <x:c r="Y68" s="30" t="str">
        <x:v>Senior Data Engineer</x:v>
      </x:c>
      <x:c r="Z68" s="30" t="n">
        <x:v>7</x:v>
      </x:c>
      <x:c r="AA68" s="30" t="n">
        <x:v>67</x:v>
      </x:c>
      <x:c r="AB68" s="30" t="str">
        <x:v>جدول Brand با 3 فیلد + DQ rules (PK/Not-Null/RefInt) سبز</x:v>
      </x:c>
      <x:c r="AC68" s="30" t="str">
        <x:v>نیازمند تکمیل و تأیید مالک</x:v>
      </x:c>
      <x:c r="AD68" s="30" t="str">
        <x:v>نیازمند تکمیل و تأیید مالک</x:v>
      </x:c>
      <x:c r="AE68" s="30" t="str">
        <x:v>جدول Brand با 3 فیلد + DQ rules (PK/Not-Null/RefInt) سبز</x:v>
      </x:c>
      <x:c r="AF68" s="30" t="str"/>
      <x:c r="AG68" s="30" t="str"/>
      <x:c r="AH68" s="30" t="str"/>
    </x:row>
    <x:row r="69">
      <x:c r="A69" s="19" t="inlineStr">
        <x:is>
          <x:t xml:space="preserve">TK-068</x:t>
        </x:is>
      </x:c>
      <x:c r="B69" s="6" t="inlineStr">
        <x:is>
          <x:t xml:space="preserve">مدل‌سازی موجودیت Inventory (4 فیلد)</x:t>
        </x:is>
      </x:c>
      <x:c r="C69" s="6" t="inlineStr">
        <x:is>
          <x:t xml:space="preserve">Build Entity Model: Inventory</x:t>
        </x:is>
      </x:c>
      <x:c r="D69" s="6" t="inlineStr">
        <x:is>
          <x:t xml:space="preserve">Data</x:t>
        </x:is>
      </x:c>
      <x:c r="E69" s="6" t="inlineStr">
        <x:is>
          <x:t xml:space="preserve">inventory_available_stock, inventory_safety_stock_level, inventory_batch_expiry_date…</x:t>
        </x:is>
      </x:c>
      <x:c r="F69" s="19" t="inlineStr">
        <x:is>
          <x:t xml:space="preserve">W3</x:t>
        </x:is>
      </x:c>
      <x:c r="G69" s="6" t="inlineStr">
        <x:is>
          <x:t xml:space="preserve">S2</x:t>
        </x:is>
      </x:c>
      <x:c r="H69" s="19" t="inlineStr">
        <x:is>
          <x:t xml:space="preserve">High</x:t>
        </x:is>
      </x:c>
      <x:c r="I69" s="6" t="inlineStr">
        <x:is>
          <x:t xml:space="preserve">Senior Data Engineer</x:t>
        </x:is>
      </x:c>
      <x:c r="J69" s="19" t="n">
        <x:v>3</x:v>
      </x:c>
      <x:c r="K69" s="19" t="n">
        <x:v>2</x:v>
      </x:c>
      <x:c r="L69" s="18" t="n">
        <x:f>J69*2-K69</x:f>
        <x:v>4</x:v>
      </x:c>
      <x:c r="M69" s="6" t="inlineStr">
        <x:is>
          <x:t xml:space="preserve">TK-012, TK-041..053</x:t>
        </x:is>
      </x:c>
      <x:c r="N69" s="6" t="inlineStr">
        <x:is>
          <x:t xml:space="preserve">جدول Inventory با 4 فیلد + DQ rules (PK/Not-Null/RefInt) سبز</x:t>
        </x:is>
      </x:c>
      <x:c r="O69" s="19" t="inlineStr">
        <x:is>
          <x:t xml:space="preserve">Proposed</x:t>
        </x:is>
      </x:c>
      <x:c r="P69" s="6" t="inlineStr">
        <x:is>
          <x:t xml:space="preserve">inventory_available_stock = join key</x:t>
        </x:is>
      </x:c>
      <x:c r="Q69" s="30" t="str">
        <x:v>TK-068</x:v>
      </x:c>
      <x:c r="R69" s="30" t="str"/>
      <x:c r="S69" s="30" t="str">
        <x:v>Data</x:v>
      </x:c>
      <x:c r="T69" s="30" t="str">
        <x:v>inventory_available_stock, inventory_safety_stock_level, inventory_batch_expiry_date…</x:v>
      </x:c>
      <x:c r="U69" s="30" t="str">
        <x:v>مدل‌سازی موجودیت Inventory (4 فیلد)</x:v>
      </x:c>
      <x:c r="V69" s="30" t="str">
        <x:v>Pending dependency review</x:v>
      </x:c>
      <x:c r="W69" s="30" t="str">
        <x:v>نیازمند تکمیل و تأیید مالک</x:v>
      </x:c>
      <x:c r="X69" s="30" t="str">
        <x:v>نیازمند تکمیل و تأیید مالک</x:v>
      </x:c>
      <x:c r="Y69" s="30" t="str">
        <x:v>Senior Data Engineer</x:v>
      </x:c>
      <x:c r="Z69" s="30" t="n">
        <x:v>7</x:v>
      </x:c>
      <x:c r="AA69" s="30" t="n">
        <x:v>68</x:v>
      </x:c>
      <x:c r="AB69" s="30" t="str">
        <x:v>جدول Inventory با 4 فیلد + DQ rules (PK/Not-Null/RefInt) سبز</x:v>
      </x:c>
      <x:c r="AC69" s="30" t="str">
        <x:v>نیازمند تکمیل و تأیید مالک</x:v>
      </x:c>
      <x:c r="AD69" s="30" t="str">
        <x:v>نیازمند تکمیل و تأیید مالک</x:v>
      </x:c>
      <x:c r="AE69" s="30" t="str">
        <x:v>جدول Inventory با 4 فیلد + DQ rules (PK/Not-Null/RefInt) سبز</x:v>
      </x:c>
      <x:c r="AF69" s="30" t="str"/>
      <x:c r="AG69" s="30" t="str"/>
      <x:c r="AH69" s="30" t="str"/>
    </x:row>
    <x:row r="70">
      <x:c r="A70" s="17" t="inlineStr">
        <x:is>
          <x:t xml:space="preserve">TK-069</x:t>
        </x:is>
      </x:c>
      <x:c r="B70" s="4" t="inlineStr">
        <x:is>
          <x:t xml:space="preserve">مدل‌سازی موجودیت Order (7 فیلد)</x:t>
        </x:is>
      </x:c>
      <x:c r="C70" s="4" t="inlineStr">
        <x:is>
          <x:t xml:space="preserve">Build Entity Model: Order</x:t>
        </x:is>
      </x:c>
      <x:c r="D70" s="4" t="inlineStr">
        <x:is>
          <x:t xml:space="preserve">Data</x:t>
        </x:is>
      </x:c>
      <x:c r="E70" s="4" t="inlineStr">
        <x:is>
          <x:t xml:space="preserve">order_id, order_master_customer_fk, order_final_net_paid_amount…</x:t>
        </x:is>
      </x:c>
      <x:c r="F70" s="17" t="inlineStr">
        <x:is>
          <x:t xml:space="preserve">W3</x:t>
        </x:is>
      </x:c>
      <x:c r="G70" s="4" t="inlineStr">
        <x:is>
          <x:t xml:space="preserve">S2</x:t>
        </x:is>
      </x:c>
      <x:c r="H70" s="17" t="inlineStr">
        <x:is>
          <x:t xml:space="preserve">High</x:t>
        </x:is>
      </x:c>
      <x:c r="I70" s="4" t="inlineStr">
        <x:is>
          <x:t xml:space="preserve">Senior Data Engineer</x:t>
        </x:is>
      </x:c>
      <x:c r="J70" s="17" t="n">
        <x:v>3</x:v>
      </x:c>
      <x:c r="K70" s="17" t="n">
        <x:v>2</x:v>
      </x:c>
      <x:c r="L70" s="18" t="n">
        <x:f>J70*2-K70</x:f>
        <x:v>4</x:v>
      </x:c>
      <x:c r="M70" s="4" t="inlineStr">
        <x:is>
          <x:t xml:space="preserve">TK-012, TK-041..053</x:t>
        </x:is>
      </x:c>
      <x:c r="N70" s="4" t="inlineStr">
        <x:is>
          <x:t xml:space="preserve">جدول Order با 7 فیلد + DQ rules (PK/Not-Null/RefInt) سبز</x:t>
        </x:is>
      </x:c>
      <x:c r="O70" s="17" t="inlineStr">
        <x:is>
          <x:t xml:space="preserve">Proposed</x:t>
        </x:is>
      </x:c>
      <x:c r="P70" s="4" t="inlineStr">
        <x:is>
          <x:t xml:space="preserve">order_id = join key</x:t>
        </x:is>
      </x:c>
      <x:c r="Q70" s="30" t="str">
        <x:v>TK-069</x:v>
      </x:c>
      <x:c r="R70" s="30" t="str"/>
      <x:c r="S70" s="30" t="str">
        <x:v>Data</x:v>
      </x:c>
      <x:c r="T70" s="30" t="str">
        <x:v>order_id, order_master_customer_fk, order_final_net_paid_amount…</x:v>
      </x:c>
      <x:c r="U70" s="30" t="str">
        <x:v>مدل‌سازی موجودیت Order (7 فیلد)</x:v>
      </x:c>
      <x:c r="V70" s="30" t="str">
        <x:v>Pending dependency review</x:v>
      </x:c>
      <x:c r="W70" s="30" t="str">
        <x:v>نیازمند تکمیل و تأیید مالک</x:v>
      </x:c>
      <x:c r="X70" s="30" t="str">
        <x:v>نیازمند تکمیل و تأیید مالک</x:v>
      </x:c>
      <x:c r="Y70" s="30" t="str">
        <x:v>Senior Data Engineer</x:v>
      </x:c>
      <x:c r="Z70" s="30" t="n">
        <x:v>7</x:v>
      </x:c>
      <x:c r="AA70" s="30" t="n">
        <x:v>69</x:v>
      </x:c>
      <x:c r="AB70" s="30" t="str">
        <x:v>جدول Order با 7 فیلد + DQ rules (PK/Not-Null/RefInt) سبز</x:v>
      </x:c>
      <x:c r="AC70" s="30" t="str">
        <x:v>نیازمند تکمیل و تأیید مالک</x:v>
      </x:c>
      <x:c r="AD70" s="30" t="str">
        <x:v>نیازمند تکمیل و تأیید مالک</x:v>
      </x:c>
      <x:c r="AE70" s="30" t="str">
        <x:v>جدول Order با 7 فیلد + DQ rules (PK/Not-Null/RefInt) سبز</x:v>
      </x:c>
      <x:c r="AF70" s="30" t="str"/>
      <x:c r="AG70" s="30" t="str"/>
      <x:c r="AH70" s="30" t="str"/>
    </x:row>
    <x:row r="71">
      <x:c r="A71" s="19" t="inlineStr">
        <x:is>
          <x:t xml:space="preserve">TK-070</x:t>
        </x:is>
      </x:c>
      <x:c r="B71" s="6" t="inlineStr">
        <x:is>
          <x:t xml:space="preserve">مدل‌سازی موجودیت Order Item (5 فیلد)</x:t>
        </x:is>
      </x:c>
      <x:c r="C71" s="6" t="inlineStr">
        <x:is>
          <x:t xml:space="preserve">Build Entity Model: Order Item</x:t>
        </x:is>
      </x:c>
      <x:c r="D71" s="6" t="inlineStr">
        <x:is>
          <x:t xml:space="preserve">Data</x:t>
        </x:is>
      </x:c>
      <x:c r="E71" s="6" t="inlineStr">
        <x:is>
          <x:t xml:space="preserve">order_item_id, order_item_order_fk, order_item_sku_fk…</x:t>
        </x:is>
      </x:c>
      <x:c r="F71" s="19" t="inlineStr">
        <x:is>
          <x:t xml:space="preserve">W3</x:t>
        </x:is>
      </x:c>
      <x:c r="G71" s="6" t="inlineStr">
        <x:is>
          <x:t xml:space="preserve">S2</x:t>
        </x:is>
      </x:c>
      <x:c r="H71" s="19" t="inlineStr">
        <x:is>
          <x:t xml:space="preserve">High</x:t>
        </x:is>
      </x:c>
      <x:c r="I71" s="6" t="inlineStr">
        <x:is>
          <x:t xml:space="preserve">Senior Data Engineer</x:t>
        </x:is>
      </x:c>
      <x:c r="J71" s="19" t="n">
        <x:v>3</x:v>
      </x:c>
      <x:c r="K71" s="19" t="n">
        <x:v>2</x:v>
      </x:c>
      <x:c r="L71" s="18" t="n">
        <x:f>J71*2-K71</x:f>
        <x:v>4</x:v>
      </x:c>
      <x:c r="M71" s="6" t="inlineStr">
        <x:is>
          <x:t xml:space="preserve">TK-012, TK-041..053</x:t>
        </x:is>
      </x:c>
      <x:c r="N71" s="6" t="inlineStr">
        <x:is>
          <x:t xml:space="preserve">جدول Order Item با 5 فیلد + DQ rules (PK/Not-Null/RefInt) سبز</x:t>
        </x:is>
      </x:c>
      <x:c r="O71" s="19" t="inlineStr">
        <x:is>
          <x:t xml:space="preserve">Proposed</x:t>
        </x:is>
      </x:c>
      <x:c r="P71" s="6" t="inlineStr">
        <x:is>
          <x:t xml:space="preserve">order_item_id = join key</x:t>
        </x:is>
      </x:c>
      <x:c r="Q71" s="30" t="str">
        <x:v>TK-070</x:v>
      </x:c>
      <x:c r="R71" s="30" t="str"/>
      <x:c r="S71" s="30" t="str">
        <x:v>Data</x:v>
      </x:c>
      <x:c r="T71" s="30" t="str">
        <x:v>order_item_id, order_item_order_fk, order_item_sku_fk…</x:v>
      </x:c>
      <x:c r="U71" s="30" t="str">
        <x:v>مدل‌سازی موجودیت Order Item (5 فیلد)</x:v>
      </x:c>
      <x:c r="V71" s="30" t="str">
        <x:v>Pending dependency review</x:v>
      </x:c>
      <x:c r="W71" s="30" t="str">
        <x:v>نیازمند تکمیل و تأیید مالک</x:v>
      </x:c>
      <x:c r="X71" s="30" t="str">
        <x:v>نیازمند تکمیل و تأیید مالک</x:v>
      </x:c>
      <x:c r="Y71" s="30" t="str">
        <x:v>Senior Data Engineer</x:v>
      </x:c>
      <x:c r="Z71" s="30" t="n">
        <x:v>7</x:v>
      </x:c>
      <x:c r="AA71" s="30" t="n">
        <x:v>70</x:v>
      </x:c>
      <x:c r="AB71" s="30" t="str">
        <x:v>جدول Order Item با 5 فیلد + DQ rules (PK/Not-Null/RefInt) سبز</x:v>
      </x:c>
      <x:c r="AC71" s="30" t="str">
        <x:v>نیازمند تکمیل و تأیید مالک</x:v>
      </x:c>
      <x:c r="AD71" s="30" t="str">
        <x:v>نیازمند تکمیل و تأیید مالک</x:v>
      </x:c>
      <x:c r="AE71" s="30" t="str">
        <x:v>جدول Order Item با 5 فیلد + DQ rules (PK/Not-Null/RefInt) سبز</x:v>
      </x:c>
      <x:c r="AF71" s="30" t="str"/>
      <x:c r="AG71" s="30" t="str"/>
      <x:c r="AH71" s="30" t="str"/>
    </x:row>
    <x:row r="72">
      <x:c r="A72" s="17" t="inlineStr">
        <x:is>
          <x:t xml:space="preserve">TK-071</x:t>
        </x:is>
      </x:c>
      <x:c r="B72" s="4" t="inlineStr">
        <x:is>
          <x:t xml:space="preserve">مدل‌سازی موجودیت Payment (4 فیلد)</x:t>
        </x:is>
      </x:c>
      <x:c r="C72" s="4" t="inlineStr">
        <x:is>
          <x:t xml:space="preserve">Build Entity Model: Payment</x:t>
        </x:is>
      </x:c>
      <x:c r="D72" s="4" t="inlineStr">
        <x:is>
          <x:t xml:space="preserve">Data</x:t>
        </x:is>
      </x:c>
      <x:c r="E72" s="4" t="inlineStr">
        <x:is>
          <x:t xml:space="preserve">payment_id, payment_order_fk, payment_gateway_rrn…</x:t>
        </x:is>
      </x:c>
      <x:c r="F72" s="17" t="inlineStr">
        <x:is>
          <x:t xml:space="preserve">W3</x:t>
        </x:is>
      </x:c>
      <x:c r="G72" s="4" t="inlineStr">
        <x:is>
          <x:t xml:space="preserve">S2</x:t>
        </x:is>
      </x:c>
      <x:c r="H72" s="17" t="inlineStr">
        <x:is>
          <x:t xml:space="preserve">High</x:t>
        </x:is>
      </x:c>
      <x:c r="I72" s="4" t="inlineStr">
        <x:is>
          <x:t xml:space="preserve">Senior Data Engineer</x:t>
        </x:is>
      </x:c>
      <x:c r="J72" s="17" t="n">
        <x:v>3</x:v>
      </x:c>
      <x:c r="K72" s="17" t="n">
        <x:v>2</x:v>
      </x:c>
      <x:c r="L72" s="18" t="n">
        <x:f>J72*2-K72</x:f>
        <x:v>4</x:v>
      </x:c>
      <x:c r="M72" s="4" t="inlineStr">
        <x:is>
          <x:t xml:space="preserve">TK-012, TK-041..053</x:t>
        </x:is>
      </x:c>
      <x:c r="N72" s="4" t="inlineStr">
        <x:is>
          <x:t xml:space="preserve">جدول Payment با 4 فیلد + DQ rules (PK/Not-Null/RefInt) سبز</x:t>
        </x:is>
      </x:c>
      <x:c r="O72" s="17" t="inlineStr">
        <x:is>
          <x:t xml:space="preserve">Proposed</x:t>
        </x:is>
      </x:c>
      <x:c r="P72" s="4" t="inlineStr">
        <x:is>
          <x:t xml:space="preserve">payment_id = join key</x:t>
        </x:is>
      </x:c>
      <x:c r="Q72" s="30" t="str">
        <x:v>TK-071</x:v>
      </x:c>
      <x:c r="R72" s="30" t="str"/>
      <x:c r="S72" s="30" t="str">
        <x:v>Data</x:v>
      </x:c>
      <x:c r="T72" s="30" t="str">
        <x:v>payment_id, payment_order_fk, payment_gateway_rrn…</x:v>
      </x:c>
      <x:c r="U72" s="30" t="str">
        <x:v>مدل‌سازی موجودیت Payment (4 فیلد)</x:v>
      </x:c>
      <x:c r="V72" s="30" t="str">
        <x:v>Pending dependency review</x:v>
      </x:c>
      <x:c r="W72" s="30" t="str">
        <x:v>نیازمند تکمیل و تأیید مالک</x:v>
      </x:c>
      <x:c r="X72" s="30" t="str">
        <x:v>نیازمند تکمیل و تأیید مالک</x:v>
      </x:c>
      <x:c r="Y72" s="30" t="str">
        <x:v>Senior Data Engineer</x:v>
      </x:c>
      <x:c r="Z72" s="30" t="n">
        <x:v>7</x:v>
      </x:c>
      <x:c r="AA72" s="30" t="n">
        <x:v>71</x:v>
      </x:c>
      <x:c r="AB72" s="30" t="str">
        <x:v>جدول Payment با 4 فیلد + DQ rules (PK/Not-Null/RefInt) سبز</x:v>
      </x:c>
      <x:c r="AC72" s="30" t="str">
        <x:v>نیازمند تکمیل و تأیید مالک</x:v>
      </x:c>
      <x:c r="AD72" s="30" t="str">
        <x:v>نیازمند تکمیل و تأیید مالک</x:v>
      </x:c>
      <x:c r="AE72" s="30" t="str">
        <x:v>جدول Payment با 4 فیلد + DQ rules (PK/Not-Null/RefInt) سبز</x:v>
      </x:c>
      <x:c r="AF72" s="30" t="str"/>
      <x:c r="AG72" s="30" t="str"/>
      <x:c r="AH72" s="30" t="str"/>
    </x:row>
    <x:row r="73">
      <x:c r="A73" s="19" t="inlineStr">
        <x:is>
          <x:t xml:space="preserve">TK-072</x:t>
        </x:is>
      </x:c>
      <x:c r="B73" s="6" t="inlineStr">
        <x:is>
          <x:t xml:space="preserve">مدل‌سازی موجودیت Refund (4 فیلد)</x:t>
        </x:is>
      </x:c>
      <x:c r="C73" s="6" t="inlineStr">
        <x:is>
          <x:t xml:space="preserve">Build Entity Model: Refund</x:t>
        </x:is>
      </x:c>
      <x:c r="D73" s="6" t="inlineStr">
        <x:is>
          <x:t xml:space="preserve">Data</x:t>
        </x:is>
      </x:c>
      <x:c r="E73" s="6" t="inlineStr">
        <x:is>
          <x:t xml:space="preserve">refund_record_id, refund_order_fk, refund_total_amount…</x:t>
        </x:is>
      </x:c>
      <x:c r="F73" s="19" t="inlineStr">
        <x:is>
          <x:t xml:space="preserve">W3</x:t>
        </x:is>
      </x:c>
      <x:c r="G73" s="6" t="inlineStr">
        <x:is>
          <x:t xml:space="preserve">S2</x:t>
        </x:is>
      </x:c>
      <x:c r="H73" s="19" t="inlineStr">
        <x:is>
          <x:t xml:space="preserve">High</x:t>
        </x:is>
      </x:c>
      <x:c r="I73" s="6" t="inlineStr">
        <x:is>
          <x:t xml:space="preserve">Senior Data Engineer</x:t>
        </x:is>
      </x:c>
      <x:c r="J73" s="19" t="n">
        <x:v>3</x:v>
      </x:c>
      <x:c r="K73" s="19" t="n">
        <x:v>2</x:v>
      </x:c>
      <x:c r="L73" s="18" t="n">
        <x:f>J73*2-K73</x:f>
        <x:v>4</x:v>
      </x:c>
      <x:c r="M73" s="6" t="inlineStr">
        <x:is>
          <x:t xml:space="preserve">TK-012, TK-041..053</x:t>
        </x:is>
      </x:c>
      <x:c r="N73" s="6" t="inlineStr">
        <x:is>
          <x:t xml:space="preserve">جدول Refund با 4 فیلد + DQ rules (PK/Not-Null/RefInt) سبز</x:t>
        </x:is>
      </x:c>
      <x:c r="O73" s="19" t="inlineStr">
        <x:is>
          <x:t xml:space="preserve">Proposed</x:t>
        </x:is>
      </x:c>
      <x:c r="P73" s="6" t="inlineStr">
        <x:is>
          <x:t xml:space="preserve">refund_record_id = join key</x:t>
        </x:is>
      </x:c>
      <x:c r="Q73" s="30" t="str">
        <x:v>TK-072</x:v>
      </x:c>
      <x:c r="R73" s="30" t="str"/>
      <x:c r="S73" s="30" t="str">
        <x:v>Data</x:v>
      </x:c>
      <x:c r="T73" s="30" t="str">
        <x:v>refund_record_id, refund_order_fk, refund_total_amount…</x:v>
      </x:c>
      <x:c r="U73" s="30" t="str">
        <x:v>مدل‌سازی موجودیت Refund (4 فیلد)</x:v>
      </x:c>
      <x:c r="V73" s="30" t="str">
        <x:v>Pending dependency review</x:v>
      </x:c>
      <x:c r="W73" s="30" t="str">
        <x:v>نیازمند تکمیل و تأیید مالک</x:v>
      </x:c>
      <x:c r="X73" s="30" t="str">
        <x:v>نیازمند تکمیل و تأیید مالک</x:v>
      </x:c>
      <x:c r="Y73" s="30" t="str">
        <x:v>Senior Data Engineer</x:v>
      </x:c>
      <x:c r="Z73" s="30" t="n">
        <x:v>7</x:v>
      </x:c>
      <x:c r="AA73" s="30" t="n">
        <x:v>72</x:v>
      </x:c>
      <x:c r="AB73" s="30" t="str">
        <x:v>جدول Refund با 4 فیلد + DQ rules (PK/Not-Null/RefInt) سبز</x:v>
      </x:c>
      <x:c r="AC73" s="30" t="str">
        <x:v>نیازمند تکمیل و تأیید مالک</x:v>
      </x:c>
      <x:c r="AD73" s="30" t="str">
        <x:v>نیازمند تکمیل و تأیید مالک</x:v>
      </x:c>
      <x:c r="AE73" s="30" t="str">
        <x:v>جدول Refund با 4 فیلد + DQ rules (PK/Not-Null/RefInt) سبز</x:v>
      </x:c>
      <x:c r="AF73" s="30" t="str"/>
      <x:c r="AG73" s="30" t="str"/>
      <x:c r="AH73" s="30" t="str"/>
    </x:row>
    <x:row r="74">
      <x:c r="A74" s="17" t="inlineStr">
        <x:is>
          <x:t xml:space="preserve">TK-073</x:t>
        </x:is>
      </x:c>
      <x:c r="B74" s="4" t="inlineStr">
        <x:is>
          <x:t xml:space="preserve">مدل‌سازی موجودیت Discount (2 فیلد)</x:t>
        </x:is>
      </x:c>
      <x:c r="C74" s="4" t="inlineStr">
        <x:is>
          <x:t xml:space="preserve">Build Entity Model: Discount</x:t>
        </x:is>
      </x:c>
      <x:c r="D74" s="4" t="inlineStr">
        <x:is>
          <x:t xml:space="preserve">Data</x:t>
        </x:is>
      </x:c>
      <x:c r="E74" s="4" t="inlineStr">
        <x:is>
          <x:t xml:space="preserve">discount_coupon_id, discount_coupon_code_string</x:t>
        </x:is>
      </x:c>
      <x:c r="F74" s="17" t="inlineStr">
        <x:is>
          <x:t xml:space="preserve">W3</x:t>
        </x:is>
      </x:c>
      <x:c r="G74" s="4" t="inlineStr">
        <x:is>
          <x:t xml:space="preserve">S2</x:t>
        </x:is>
      </x:c>
      <x:c r="H74" s="17" t="inlineStr">
        <x:is>
          <x:t xml:space="preserve">High</x:t>
        </x:is>
      </x:c>
      <x:c r="I74" s="4" t="inlineStr">
        <x:is>
          <x:t xml:space="preserve">Senior Data Engineer</x:t>
        </x:is>
      </x:c>
      <x:c r="J74" s="17" t="n">
        <x:v>3</x:v>
      </x:c>
      <x:c r="K74" s="17" t="n">
        <x:v>2</x:v>
      </x:c>
      <x:c r="L74" s="18" t="n">
        <x:f>J74*2-K74</x:f>
        <x:v>4</x:v>
      </x:c>
      <x:c r="M74" s="4" t="inlineStr">
        <x:is>
          <x:t xml:space="preserve">TK-012, TK-041..053</x:t>
        </x:is>
      </x:c>
      <x:c r="N74" s="4" t="inlineStr">
        <x:is>
          <x:t xml:space="preserve">جدول Discount با 2 فیلد + DQ rules (PK/Not-Null/RefInt) سبز</x:t>
        </x:is>
      </x:c>
      <x:c r="O74" s="17" t="inlineStr">
        <x:is>
          <x:t xml:space="preserve">Proposed</x:t>
        </x:is>
      </x:c>
      <x:c r="P74" s="4" t="inlineStr">
        <x:is>
          <x:t xml:space="preserve">discount_coupon_id = join key</x:t>
        </x:is>
      </x:c>
      <x:c r="Q74" s="30" t="str">
        <x:v>TK-073</x:v>
      </x:c>
      <x:c r="R74" s="30" t="str"/>
      <x:c r="S74" s="30" t="str">
        <x:v>Data</x:v>
      </x:c>
      <x:c r="T74" s="30" t="str">
        <x:v>discount_coupon_id, discount_coupon_code_string</x:v>
      </x:c>
      <x:c r="U74" s="30" t="str">
        <x:v>مدل‌سازی موجودیت Discount (2 فیلد)</x:v>
      </x:c>
      <x:c r="V74" s="30" t="str">
        <x:v>Pending dependency review</x:v>
      </x:c>
      <x:c r="W74" s="30" t="str">
        <x:v>نیازمند تکمیل و تأیید مالک</x:v>
      </x:c>
      <x:c r="X74" s="30" t="str">
        <x:v>نیازمند تکمیل و تأیید مالک</x:v>
      </x:c>
      <x:c r="Y74" s="30" t="str">
        <x:v>Senior Data Engineer</x:v>
      </x:c>
      <x:c r="Z74" s="30" t="n">
        <x:v>7</x:v>
      </x:c>
      <x:c r="AA74" s="30" t="n">
        <x:v>73</x:v>
      </x:c>
      <x:c r="AB74" s="30" t="str">
        <x:v>جدول Discount با 2 فیلد + DQ rules (PK/Not-Null/RefInt) سبز</x:v>
      </x:c>
      <x:c r="AC74" s="30" t="str">
        <x:v>نیازمند تکمیل و تأیید مالک</x:v>
      </x:c>
      <x:c r="AD74" s="30" t="str">
        <x:v>نیازمند تکمیل و تأیید مالک</x:v>
      </x:c>
      <x:c r="AE74" s="30" t="str">
        <x:v>جدول Discount با 2 فیلد + DQ rules (PK/Not-Null/RefInt) سبز</x:v>
      </x:c>
      <x:c r="AF74" s="30" t="str"/>
      <x:c r="AG74" s="30" t="str"/>
      <x:c r="AH74" s="30" t="str"/>
    </x:row>
    <x:row r="75">
      <x:c r="A75" s="19" t="inlineStr">
        <x:is>
          <x:t xml:space="preserve">TK-074</x:t>
        </x:is>
      </x:c>
      <x:c r="B75" s="6" t="inlineStr">
        <x:is>
          <x:t xml:space="preserve">مدل‌سازی موجودیت Salesperson (5 فیلد)</x:t>
        </x:is>
      </x:c>
      <x:c r="C75" s="6" t="inlineStr">
        <x:is>
          <x:t xml:space="preserve">Build Entity Model: Salesperson</x:t>
        </x:is>
      </x:c>
      <x:c r="D75" s="6" t="inlineStr">
        <x:is>
          <x:t xml:space="preserve">Data</x:t>
        </x:is>
      </x:c>
      <x:c r="E75" s="6" t="inlineStr">
        <x:is>
          <x:t xml:space="preserve">sales_rep_id, sales_rep_full_name, sales_rep_territory_zone…</x:t>
        </x:is>
      </x:c>
      <x:c r="F75" s="19" t="inlineStr">
        <x:is>
          <x:t xml:space="preserve">W3</x:t>
        </x:is>
      </x:c>
      <x:c r="G75" s="6" t="inlineStr">
        <x:is>
          <x:t xml:space="preserve">S2</x:t>
        </x:is>
      </x:c>
      <x:c r="H75" s="19" t="inlineStr">
        <x:is>
          <x:t xml:space="preserve">High</x:t>
        </x:is>
      </x:c>
      <x:c r="I75" s="6" t="inlineStr">
        <x:is>
          <x:t xml:space="preserve">Senior Data Engineer</x:t>
        </x:is>
      </x:c>
      <x:c r="J75" s="19" t="n">
        <x:v>3</x:v>
      </x:c>
      <x:c r="K75" s="19" t="n">
        <x:v>2</x:v>
      </x:c>
      <x:c r="L75" s="18" t="n">
        <x:f>J75*2-K75</x:f>
        <x:v>4</x:v>
      </x:c>
      <x:c r="M75" s="6" t="inlineStr">
        <x:is>
          <x:t xml:space="preserve">TK-012, TK-041..053</x:t>
        </x:is>
      </x:c>
      <x:c r="N75" s="6" t="inlineStr">
        <x:is>
          <x:t xml:space="preserve">جدول Salesperson با 5 فیلد + DQ rules (PK/Not-Null/RefInt) سبز</x:t>
        </x:is>
      </x:c>
      <x:c r="O75" s="19" t="inlineStr">
        <x:is>
          <x:t xml:space="preserve">Proposed</x:t>
        </x:is>
      </x:c>
      <x:c r="P75" s="6" t="inlineStr">
        <x:is>
          <x:t xml:space="preserve">sales_rep_id = join key</x:t>
        </x:is>
      </x:c>
      <x:c r="Q75" s="30" t="str">
        <x:v>TK-074</x:v>
      </x:c>
      <x:c r="R75" s="30" t="str"/>
      <x:c r="S75" s="30" t="str">
        <x:v>Data</x:v>
      </x:c>
      <x:c r="T75" s="30" t="str">
        <x:v>sales_rep_id, sales_rep_full_name, sales_rep_territory_zone…</x:v>
      </x:c>
      <x:c r="U75" s="30" t="str">
        <x:v>مدل‌سازی موجودیت Salesperson (5 فیلد)</x:v>
      </x:c>
      <x:c r="V75" s="30" t="str">
        <x:v>Pending dependency review</x:v>
      </x:c>
      <x:c r="W75" s="30" t="str">
        <x:v>نیازمند تکمیل و تأیید مالک</x:v>
      </x:c>
      <x:c r="X75" s="30" t="str">
        <x:v>نیازمند تکمیل و تأیید مالک</x:v>
      </x:c>
      <x:c r="Y75" s="30" t="str">
        <x:v>Senior Data Engineer</x:v>
      </x:c>
      <x:c r="Z75" s="30" t="n">
        <x:v>7</x:v>
      </x:c>
      <x:c r="AA75" s="30" t="n">
        <x:v>74</x:v>
      </x:c>
      <x:c r="AB75" s="30" t="str">
        <x:v>جدول Salesperson با 5 فیلد + DQ rules (PK/Not-Null/RefInt) سبز</x:v>
      </x:c>
      <x:c r="AC75" s="30" t="str">
        <x:v>نیازمند تکمیل و تأیید مالک</x:v>
      </x:c>
      <x:c r="AD75" s="30" t="str">
        <x:v>نیازمند تکمیل و تأیید مالک</x:v>
      </x:c>
      <x:c r="AE75" s="30" t="str">
        <x:v>جدول Salesperson با 5 فیلد + DQ rules (PK/Not-Null/RefInt) سبز</x:v>
      </x:c>
      <x:c r="AF75" s="30" t="str"/>
      <x:c r="AG75" s="30" t="str"/>
      <x:c r="AH75" s="30" t="str"/>
    </x:row>
    <x:row r="76">
      <x:c r="A76" s="17" t="inlineStr">
        <x:is>
          <x:t xml:space="preserve">TK-075</x:t>
        </x:is>
      </x:c>
      <x:c r="B76" s="4" t="inlineStr">
        <x:is>
          <x:t xml:space="preserve">مدل‌سازی موجودیت Call Center (4 فیلد)</x:t>
        </x:is>
      </x:c>
      <x:c r="C76" s="4" t="inlineStr">
        <x:is>
          <x:t xml:space="preserve">Build Entity Model: Call Center</x:t>
        </x:is>
      </x:c>
      <x:c r="D76" s="4" t="inlineStr">
        <x:is>
          <x:t xml:space="preserve">Data</x:t>
        </x:is>
      </x:c>
      <x:c r="E76" s="4" t="inlineStr">
        <x:is>
          <x:t xml:space="preserve">call_log_id, call_customer_phone_number, call_duration_seconds…</x:t>
        </x:is>
      </x:c>
      <x:c r="F76" s="17" t="inlineStr">
        <x:is>
          <x:t xml:space="preserve">W3</x:t>
        </x:is>
      </x:c>
      <x:c r="G76" s="4" t="inlineStr">
        <x:is>
          <x:t xml:space="preserve">S2</x:t>
        </x:is>
      </x:c>
      <x:c r="H76" s="17" t="inlineStr">
        <x:is>
          <x:t xml:space="preserve">High</x:t>
        </x:is>
      </x:c>
      <x:c r="I76" s="4" t="inlineStr">
        <x:is>
          <x:t xml:space="preserve">Senior Data Engineer</x:t>
        </x:is>
      </x:c>
      <x:c r="J76" s="17" t="n">
        <x:v>3</x:v>
      </x:c>
      <x:c r="K76" s="17" t="n">
        <x:v>2</x:v>
      </x:c>
      <x:c r="L76" s="18" t="n">
        <x:f>J76*2-K76</x:f>
        <x:v>4</x:v>
      </x:c>
      <x:c r="M76" s="4" t="inlineStr">
        <x:is>
          <x:t xml:space="preserve">TK-012, TK-041..053</x:t>
        </x:is>
      </x:c>
      <x:c r="N76" s="4" t="inlineStr">
        <x:is>
          <x:t xml:space="preserve">جدول Call Center با 4 فیلد + DQ rules (PK/Not-Null/RefInt) سبز</x:t>
        </x:is>
      </x:c>
      <x:c r="O76" s="17" t="inlineStr">
        <x:is>
          <x:t xml:space="preserve">Proposed</x:t>
        </x:is>
      </x:c>
      <x:c r="P76" s="4" t="inlineStr">
        <x:is>
          <x:t xml:space="preserve">call_log_id = join key</x:t>
        </x:is>
      </x:c>
      <x:c r="Q76" s="30" t="str">
        <x:v>TK-075</x:v>
      </x:c>
      <x:c r="R76" s="30" t="str"/>
      <x:c r="S76" s="30" t="str">
        <x:v>Data</x:v>
      </x:c>
      <x:c r="T76" s="30" t="str">
        <x:v>call_log_id, call_customer_phone_number, call_duration_seconds…</x:v>
      </x:c>
      <x:c r="U76" s="30" t="str">
        <x:v>مدل‌سازی موجودیت Call Center (4 فیلد)</x:v>
      </x:c>
      <x:c r="V76" s="30" t="str">
        <x:v>Pending dependency review</x:v>
      </x:c>
      <x:c r="W76" s="30" t="str">
        <x:v>نیازمند تکمیل و تأیید مالک</x:v>
      </x:c>
      <x:c r="X76" s="30" t="str">
        <x:v>نیازمند تکمیل و تأیید مالک</x:v>
      </x:c>
      <x:c r="Y76" s="30" t="str">
        <x:v>Senior Data Engineer</x:v>
      </x:c>
      <x:c r="Z76" s="30" t="n">
        <x:v>7</x:v>
      </x:c>
      <x:c r="AA76" s="30" t="n">
        <x:v>75</x:v>
      </x:c>
      <x:c r="AB76" s="30" t="str">
        <x:v>جدول Call Center با 4 فیلد + DQ rules (PK/Not-Null/RefInt) سبز</x:v>
      </x:c>
      <x:c r="AC76" s="30" t="str">
        <x:v>نیازمند تکمیل و تأیید مالک</x:v>
      </x:c>
      <x:c r="AD76" s="30" t="str">
        <x:v>نیازمند تکمیل و تأیید مالک</x:v>
      </x:c>
      <x:c r="AE76" s="30" t="str">
        <x:v>جدول Call Center با 4 فیلد + DQ rules (PK/Not-Null/RefInt) سبز</x:v>
      </x:c>
      <x:c r="AF76" s="30" t="str"/>
      <x:c r="AG76" s="30" t="str"/>
      <x:c r="AH76" s="30" t="str"/>
    </x:row>
    <x:row r="77">
      <x:c r="A77" s="19" t="inlineStr">
        <x:is>
          <x:t xml:space="preserve">TK-076</x:t>
        </x:is>
      </x:c>
      <x:c r="B77" s="6" t="inlineStr">
        <x:is>
          <x:t xml:space="preserve">مدل‌سازی موجودیت CRM Activity (3 فیلد)</x:t>
        </x:is>
      </x:c>
      <x:c r="C77" s="6" t="inlineStr">
        <x:is>
          <x:t xml:space="preserve">Build Entity Model: CRM Activity</x:t>
        </x:is>
      </x:c>
      <x:c r="D77" s="6" t="inlineStr">
        <x:is>
          <x:t xml:space="preserve">Data</x:t>
        </x:is>
      </x:c>
      <x:c r="E77" s="6" t="inlineStr">
        <x:is>
          <x:t xml:space="preserve">crm_activity_id, crm_activity_type, crm_deal_stage_outcome</x:t>
        </x:is>
      </x:c>
      <x:c r="F77" s="19" t="inlineStr">
        <x:is>
          <x:t xml:space="preserve">W3</x:t>
        </x:is>
      </x:c>
      <x:c r="G77" s="6" t="inlineStr">
        <x:is>
          <x:t xml:space="preserve">S2</x:t>
        </x:is>
      </x:c>
      <x:c r="H77" s="19" t="inlineStr">
        <x:is>
          <x:t xml:space="preserve">High</x:t>
        </x:is>
      </x:c>
      <x:c r="I77" s="6" t="inlineStr">
        <x:is>
          <x:t xml:space="preserve">Senior Data Engineer</x:t>
        </x:is>
      </x:c>
      <x:c r="J77" s="19" t="n">
        <x:v>3</x:v>
      </x:c>
      <x:c r="K77" s="19" t="n">
        <x:v>2</x:v>
      </x:c>
      <x:c r="L77" s="18" t="n">
        <x:f>J77*2-K77</x:f>
        <x:v>4</x:v>
      </x:c>
      <x:c r="M77" s="6" t="inlineStr">
        <x:is>
          <x:t xml:space="preserve">TK-012, TK-041..053</x:t>
        </x:is>
      </x:c>
      <x:c r="N77" s="6" t="inlineStr">
        <x:is>
          <x:t xml:space="preserve">جدول CRM Activity با 3 فیلد + DQ rules (PK/Not-Null/RefInt) سبز</x:t>
        </x:is>
      </x:c>
      <x:c r="O77" s="19" t="inlineStr">
        <x:is>
          <x:t xml:space="preserve">Proposed</x:t>
        </x:is>
      </x:c>
      <x:c r="P77" s="6" t="inlineStr">
        <x:is>
          <x:t xml:space="preserve">crm_activity_id = join key</x:t>
        </x:is>
      </x:c>
      <x:c r="Q77" s="30" t="str">
        <x:v>TK-076</x:v>
      </x:c>
      <x:c r="R77" s="30" t="str"/>
      <x:c r="S77" s="30" t="str">
        <x:v>Data</x:v>
      </x:c>
      <x:c r="T77" s="30" t="str">
        <x:v>crm_activity_id, crm_activity_type, crm_deal_stage_outcome</x:v>
      </x:c>
      <x:c r="U77" s="30" t="str">
        <x:v>مدل‌سازی موجودیت CRM Activity (3 فیلد)</x:v>
      </x:c>
      <x:c r="V77" s="30" t="str">
        <x:v>Pending dependency review</x:v>
      </x:c>
      <x:c r="W77" s="30" t="str">
        <x:v>نیازمند تکمیل و تأیید مالک</x:v>
      </x:c>
      <x:c r="X77" s="30" t="str">
        <x:v>نیازمند تکمیل و تأیید مالک</x:v>
      </x:c>
      <x:c r="Y77" s="30" t="str">
        <x:v>Senior Data Engineer</x:v>
      </x:c>
      <x:c r="Z77" s="30" t="n">
        <x:v>7</x:v>
      </x:c>
      <x:c r="AA77" s="30" t="n">
        <x:v>76</x:v>
      </x:c>
      <x:c r="AB77" s="30" t="str">
        <x:v>جدول CRM Activity با 3 فیلد + DQ rules (PK/Not-Null/RefInt) سبز</x:v>
      </x:c>
      <x:c r="AC77" s="30" t="str">
        <x:v>نیازمند تکمیل و تأیید مالک</x:v>
      </x:c>
      <x:c r="AD77" s="30" t="str">
        <x:v>نیازمند تکمیل و تأیید مالک</x:v>
      </x:c>
      <x:c r="AE77" s="30" t="str">
        <x:v>جدول CRM Activity با 3 فیلد + DQ rules (PK/Not-Null/RefInt) سبز</x:v>
      </x:c>
      <x:c r="AF77" s="30" t="str"/>
      <x:c r="AG77" s="30" t="str"/>
      <x:c r="AH77" s="30" t="str"/>
    </x:row>
    <x:row r="78">
      <x:c r="A78" s="17" t="inlineStr">
        <x:is>
          <x:t xml:space="preserve">TK-077</x:t>
        </x:is>
      </x:c>
      <x:c r="B78" s="4" t="inlineStr">
        <x:is>
          <x:t xml:space="preserve">مدل‌سازی موجودیت Loyalty Activity (3 فیلد)</x:t>
        </x:is>
      </x:c>
      <x:c r="C78" s="4" t="inlineStr">
        <x:is>
          <x:t xml:space="preserve">Build Entity Model: Loyalty Activity</x:t>
        </x:is>
      </x:c>
      <x:c r="D78" s="4" t="inlineStr">
        <x:is>
          <x:t xml:space="preserve">Data</x:t>
        </x:is>
      </x:c>
      <x:c r="E78" s="4" t="inlineStr">
        <x:is>
          <x:t xml:space="preserve">loyalty_transaction_id, loyalty_points_earned_burned, loyalty_current_tier_level</x:t>
        </x:is>
      </x:c>
      <x:c r="F78" s="17" t="inlineStr">
        <x:is>
          <x:t xml:space="preserve">W3</x:t>
        </x:is>
      </x:c>
      <x:c r="G78" s="4" t="inlineStr">
        <x:is>
          <x:t xml:space="preserve">S2</x:t>
        </x:is>
      </x:c>
      <x:c r="H78" s="17" t="inlineStr">
        <x:is>
          <x:t xml:space="preserve">High</x:t>
        </x:is>
      </x:c>
      <x:c r="I78" s="4" t="inlineStr">
        <x:is>
          <x:t xml:space="preserve">Senior Data Engineer</x:t>
        </x:is>
      </x:c>
      <x:c r="J78" s="17" t="n">
        <x:v>3</x:v>
      </x:c>
      <x:c r="K78" s="17" t="n">
        <x:v>2</x:v>
      </x:c>
      <x:c r="L78" s="18" t="n">
        <x:f>J78*2-K78</x:f>
        <x:v>4</x:v>
      </x:c>
      <x:c r="M78" s="4" t="inlineStr">
        <x:is>
          <x:t xml:space="preserve">TK-012, TK-041..053</x:t>
        </x:is>
      </x:c>
      <x:c r="N78" s="4" t="inlineStr">
        <x:is>
          <x:t xml:space="preserve">جدول Loyalty Activity با 3 فیلد + DQ rules (PK/Not-Null/RefInt) سبز</x:t>
        </x:is>
      </x:c>
      <x:c r="O78" s="17" t="inlineStr">
        <x:is>
          <x:t xml:space="preserve">Proposed</x:t>
        </x:is>
      </x:c>
      <x:c r="P78" s="4" t="inlineStr">
        <x:is>
          <x:t xml:space="preserve">loyalty_transaction_id = join key</x:t>
        </x:is>
      </x:c>
      <x:c r="Q78" s="30" t="str">
        <x:v>TK-077</x:v>
      </x:c>
      <x:c r="R78" s="30" t="str"/>
      <x:c r="S78" s="30" t="str">
        <x:v>Data</x:v>
      </x:c>
      <x:c r="T78" s="30" t="str">
        <x:v>loyalty_transaction_id, loyalty_points_earned_burned, loyalty_current_tier_level</x:v>
      </x:c>
      <x:c r="U78" s="30" t="str">
        <x:v>مدل‌سازی موجودیت Loyalty Activity (3 فیلد)</x:v>
      </x:c>
      <x:c r="V78" s="30" t="str">
        <x:v>Pending dependency review</x:v>
      </x:c>
      <x:c r="W78" s="30" t="str">
        <x:v>نیازمند تکمیل و تأیید مالک</x:v>
      </x:c>
      <x:c r="X78" s="30" t="str">
        <x:v>نیازمند تکمیل و تأیید مالک</x:v>
      </x:c>
      <x:c r="Y78" s="30" t="str">
        <x:v>Senior Data Engineer</x:v>
      </x:c>
      <x:c r="Z78" s="30" t="n">
        <x:v>7</x:v>
      </x:c>
      <x:c r="AA78" s="30" t="n">
        <x:v>77</x:v>
      </x:c>
      <x:c r="AB78" s="30" t="str">
        <x:v>جدول Loyalty Activity با 3 فیلد + DQ rules (PK/Not-Null/RefInt) سبز</x:v>
      </x:c>
      <x:c r="AC78" s="30" t="str">
        <x:v>نیازمند تکمیل و تأیید مالک</x:v>
      </x:c>
      <x:c r="AD78" s="30" t="str">
        <x:v>نیازمند تکمیل و تأیید مالک</x:v>
      </x:c>
      <x:c r="AE78" s="30" t="str">
        <x:v>جدول Loyalty Activity با 3 فیلد + DQ rules (PK/Not-Null/RefInt) سبز</x:v>
      </x:c>
      <x:c r="AF78" s="30" t="str"/>
      <x:c r="AG78" s="30" t="str"/>
      <x:c r="AH78" s="30" t="str"/>
    </x:row>
    <x:row r="79">
      <x:c r="A79" s="19" t="inlineStr">
        <x:is>
          <x:t xml:space="preserve">TK-078</x:t>
        </x:is>
      </x:c>
      <x:c r="B79" s="6" t="inlineStr">
        <x:is>
          <x:t xml:space="preserve">مدل‌سازی موجودیت Email/SMS/Push (4 فیلد)</x:t>
        </x:is>
      </x:c>
      <x:c r="C79" s="6" t="inlineStr">
        <x:is>
          <x:t xml:space="preserve">Build Entity Model: Email/SMS/Push</x:t>
        </x:is>
      </x:c>
      <x:c r="D79" s="6" t="inlineStr">
        <x:is>
          <x:t xml:space="preserve">Data</x:t>
        </x:is>
      </x:c>
      <x:c r="E79" s="6" t="inlineStr">
        <x:is>
          <x:t xml:space="preserve">comm_dispatch_id, comm_channel_medium, comm_delivery_status…</x:t>
        </x:is>
      </x:c>
      <x:c r="F79" s="19" t="inlineStr">
        <x:is>
          <x:t xml:space="preserve">W3</x:t>
        </x:is>
      </x:c>
      <x:c r="G79" s="6" t="inlineStr">
        <x:is>
          <x:t xml:space="preserve">S2</x:t>
        </x:is>
      </x:c>
      <x:c r="H79" s="19" t="inlineStr">
        <x:is>
          <x:t xml:space="preserve">High</x:t>
        </x:is>
      </x:c>
      <x:c r="I79" s="6" t="inlineStr">
        <x:is>
          <x:t xml:space="preserve">Senior Data Engineer</x:t>
        </x:is>
      </x:c>
      <x:c r="J79" s="19" t="n">
        <x:v>3</x:v>
      </x:c>
      <x:c r="K79" s="19" t="n">
        <x:v>2</x:v>
      </x:c>
      <x:c r="L79" s="18" t="n">
        <x:f>J79*2-K79</x:f>
        <x:v>4</x:v>
      </x:c>
      <x:c r="M79" s="6" t="inlineStr">
        <x:is>
          <x:t xml:space="preserve">TK-012, TK-041..053</x:t>
        </x:is>
      </x:c>
      <x:c r="N79" s="6" t="inlineStr">
        <x:is>
          <x:t xml:space="preserve">جدول Email/SMS/Push با 4 فیلد + DQ rules (PK/Not-Null/RefInt) سبز</x:t>
        </x:is>
      </x:c>
      <x:c r="O79" s="19" t="inlineStr">
        <x:is>
          <x:t xml:space="preserve">Proposed</x:t>
        </x:is>
      </x:c>
      <x:c r="P79" s="6" t="inlineStr">
        <x:is>
          <x:t xml:space="preserve">comm_dispatch_id = join key</x:t>
        </x:is>
      </x:c>
      <x:c r="Q79" s="30" t="str">
        <x:v>TK-078</x:v>
      </x:c>
      <x:c r="R79" s="30" t="str"/>
      <x:c r="S79" s="30" t="str">
        <x:v>Data</x:v>
      </x:c>
      <x:c r="T79" s="30" t="str">
        <x:v>comm_dispatch_id, comm_channel_medium, comm_delivery_status…</x:v>
      </x:c>
      <x:c r="U79" s="30" t="str">
        <x:v>مدل‌سازی موجودیت Email/SMS/Push (4 فیلد)</x:v>
      </x:c>
      <x:c r="V79" s="30" t="str">
        <x:v>Pending dependency review</x:v>
      </x:c>
      <x:c r="W79" s="30" t="str">
        <x:v>نیازمند تکمیل و تأیید مالک</x:v>
      </x:c>
      <x:c r="X79" s="30" t="str">
        <x:v>نیازمند تکمیل و تأیید مالک</x:v>
      </x:c>
      <x:c r="Y79" s="30" t="str">
        <x:v>Senior Data Engineer</x:v>
      </x:c>
      <x:c r="Z79" s="30" t="n">
        <x:v>7</x:v>
      </x:c>
      <x:c r="AA79" s="30" t="n">
        <x:v>78</x:v>
      </x:c>
      <x:c r="AB79" s="30" t="str">
        <x:v>جدول Email/SMS/Push با 4 فیلد + DQ rules (PK/Not-Null/RefInt) سبز</x:v>
      </x:c>
      <x:c r="AC79" s="30" t="str">
        <x:v>نیازمند تکمیل و تأیید مالک</x:v>
      </x:c>
      <x:c r="AD79" s="30" t="str">
        <x:v>نیازمند تکمیل و تأیید مالک</x:v>
      </x:c>
      <x:c r="AE79" s="30" t="str">
        <x:v>جدول Email/SMS/Push با 4 فیلد + DQ rules (PK/Not-Null/RefInt) سبز</x:v>
      </x:c>
      <x:c r="AF79" s="30" t="str"/>
      <x:c r="AG79" s="30" t="str"/>
      <x:c r="AH79" s="30" t="str"/>
    </x:row>
    <x:row r="80">
      <x:c r="A80" s="17" t="inlineStr">
        <x:is>
          <x:t xml:space="preserve">TK-079</x:t>
        </x:is>
      </x:c>
      <x:c r="B80" s="4" t="inlineStr">
        <x:is>
          <x:t xml:space="preserve">مدل‌سازی موجودیت Influencer (3 فیلد)</x:t>
        </x:is>
      </x:c>
      <x:c r="C80" s="4" t="inlineStr">
        <x:is>
          <x:t xml:space="preserve">Build Entity Model: Influencer</x:t>
        </x:is>
      </x:c>
      <x:c r="D80" s="4" t="inlineStr">
        <x:is>
          <x:t xml:space="preserve">Data</x:t>
        </x:is>
      </x:c>
      <x:c r="E80" s="4" t="inlineStr">
        <x:is>
          <x:t xml:space="preserve">influencer_partner_id, influencer_allocated_promo_code, influencer_sponsorship_cost</x:t>
        </x:is>
      </x:c>
      <x:c r="F80" s="17" t="inlineStr">
        <x:is>
          <x:t xml:space="preserve">W3</x:t>
        </x:is>
      </x:c>
      <x:c r="G80" s="4" t="inlineStr">
        <x:is>
          <x:t xml:space="preserve">S2</x:t>
        </x:is>
      </x:c>
      <x:c r="H80" s="17" t="inlineStr">
        <x:is>
          <x:t xml:space="preserve">High</x:t>
        </x:is>
      </x:c>
      <x:c r="I80" s="4" t="inlineStr">
        <x:is>
          <x:t xml:space="preserve">Senior Data Engineer</x:t>
        </x:is>
      </x:c>
      <x:c r="J80" s="17" t="n">
        <x:v>3</x:v>
      </x:c>
      <x:c r="K80" s="17" t="n">
        <x:v>2</x:v>
      </x:c>
      <x:c r="L80" s="18" t="n">
        <x:f>J80*2-K80</x:f>
        <x:v>4</x:v>
      </x:c>
      <x:c r="M80" s="4" t="inlineStr">
        <x:is>
          <x:t xml:space="preserve">TK-012, TK-041..053</x:t>
        </x:is>
      </x:c>
      <x:c r="N80" s="4" t="inlineStr">
        <x:is>
          <x:t xml:space="preserve">جدول Influencer با 3 فیلد + DQ rules (PK/Not-Null/RefInt) سبز</x:t>
        </x:is>
      </x:c>
      <x:c r="O80" s="17" t="inlineStr">
        <x:is>
          <x:t xml:space="preserve">Proposed</x:t>
        </x:is>
      </x:c>
      <x:c r="P80" s="4" t="inlineStr">
        <x:is>
          <x:t xml:space="preserve">influencer_partner_id = join key</x:t>
        </x:is>
      </x:c>
      <x:c r="Q80" s="30" t="str">
        <x:v>TK-079</x:v>
      </x:c>
      <x:c r="R80" s="30" t="str"/>
      <x:c r="S80" s="30" t="str">
        <x:v>Data</x:v>
      </x:c>
      <x:c r="T80" s="30" t="str">
        <x:v>influencer_partner_id, influencer_allocated_promo_code, influencer_sponsorship_cost</x:v>
      </x:c>
      <x:c r="U80" s="30" t="str">
        <x:v>مدل‌سازی موجودیت Influencer (3 فیلد)</x:v>
      </x:c>
      <x:c r="V80" s="30" t="str">
        <x:v>Pending dependency review</x:v>
      </x:c>
      <x:c r="W80" s="30" t="str">
        <x:v>نیازمند تکمیل و تأیید مالک</x:v>
      </x:c>
      <x:c r="X80" s="30" t="str">
        <x:v>نیازمند تکمیل و تأیید مالک</x:v>
      </x:c>
      <x:c r="Y80" s="30" t="str">
        <x:v>Senior Data Engineer</x:v>
      </x:c>
      <x:c r="Z80" s="30" t="n">
        <x:v>7</x:v>
      </x:c>
      <x:c r="AA80" s="30" t="n">
        <x:v>79</x:v>
      </x:c>
      <x:c r="AB80" s="30" t="str">
        <x:v>جدول Influencer با 3 فیلد + DQ rules (PK/Not-Null/RefInt) سبز</x:v>
      </x:c>
      <x:c r="AC80" s="30" t="str">
        <x:v>نیازمند تکمیل و تأیید مالک</x:v>
      </x:c>
      <x:c r="AD80" s="30" t="str">
        <x:v>نیازمند تکمیل و تأیید مالک</x:v>
      </x:c>
      <x:c r="AE80" s="30" t="str">
        <x:v>جدول Influencer با 3 فیلد + DQ rules (PK/Not-Null/RefInt) سبز</x:v>
      </x:c>
      <x:c r="AF80" s="30" t="str"/>
      <x:c r="AG80" s="30" t="str"/>
      <x:c r="AH80" s="30" t="str"/>
    </x:row>
    <x:row r="81">
      <x:c r="A81" s="19" t="inlineStr">
        <x:is>
          <x:t xml:space="preserve">TK-080</x:t>
        </x:is>
      </x:c>
      <x:c r="B81" s="6" t="inlineStr">
        <x:is>
          <x:t xml:space="preserve">مدل‌سازی موجودیت Affiliate (2 فیلد)</x:t>
        </x:is>
      </x:c>
      <x:c r="C81" s="6" t="inlineStr">
        <x:is>
          <x:t xml:space="preserve">Build Entity Model: Affiliate</x:t>
        </x:is>
      </x:c>
      <x:c r="D81" s="6" t="inlineStr">
        <x:is>
          <x:t xml:space="preserve">Data</x:t>
        </x:is>
      </x:c>
      <x:c r="E81" s="6" t="inlineStr">
        <x:is>
          <x:t xml:space="preserve">affiliate_partner_id, affiliate_commission_rate</x:t>
        </x:is>
      </x:c>
      <x:c r="F81" s="19" t="inlineStr">
        <x:is>
          <x:t xml:space="preserve">W3</x:t>
        </x:is>
      </x:c>
      <x:c r="G81" s="6" t="inlineStr">
        <x:is>
          <x:t xml:space="preserve">S2</x:t>
        </x:is>
      </x:c>
      <x:c r="H81" s="19" t="inlineStr">
        <x:is>
          <x:t xml:space="preserve">High</x:t>
        </x:is>
      </x:c>
      <x:c r="I81" s="6" t="inlineStr">
        <x:is>
          <x:t xml:space="preserve">Senior Data Engineer</x:t>
        </x:is>
      </x:c>
      <x:c r="J81" s="19" t="n">
        <x:v>3</x:v>
      </x:c>
      <x:c r="K81" s="19" t="n">
        <x:v>2</x:v>
      </x:c>
      <x:c r="L81" s="18" t="n">
        <x:f>J81*2-K81</x:f>
        <x:v>4</x:v>
      </x:c>
      <x:c r="M81" s="6" t="inlineStr">
        <x:is>
          <x:t xml:space="preserve">TK-012, TK-041..053</x:t>
        </x:is>
      </x:c>
      <x:c r="N81" s="6" t="inlineStr">
        <x:is>
          <x:t xml:space="preserve">جدول Affiliate با 2 فیلد + DQ rules (PK/Not-Null/RefInt) سبز</x:t>
        </x:is>
      </x:c>
      <x:c r="O81" s="19" t="inlineStr">
        <x:is>
          <x:t xml:space="preserve">Proposed</x:t>
        </x:is>
      </x:c>
      <x:c r="P81" s="6" t="inlineStr">
        <x:is>
          <x:t xml:space="preserve">affiliate_partner_id = join key</x:t>
        </x:is>
      </x:c>
      <x:c r="Q81" s="30" t="str">
        <x:v>TK-080</x:v>
      </x:c>
      <x:c r="R81" s="30" t="str"/>
      <x:c r="S81" s="30" t="str">
        <x:v>Data</x:v>
      </x:c>
      <x:c r="T81" s="30" t="str">
        <x:v>affiliate_partner_id, affiliate_commission_rate</x:v>
      </x:c>
      <x:c r="U81" s="30" t="str">
        <x:v>مدل‌سازی موجودیت Affiliate (2 فیلد)</x:v>
      </x:c>
      <x:c r="V81" s="30" t="str">
        <x:v>Pending dependency review</x:v>
      </x:c>
      <x:c r="W81" s="30" t="str">
        <x:v>نیازمند تکمیل و تأیید مالک</x:v>
      </x:c>
      <x:c r="X81" s="30" t="str">
        <x:v>نیازمند تکمیل و تأیید مالک</x:v>
      </x:c>
      <x:c r="Y81" s="30" t="str">
        <x:v>Senior Data Engineer</x:v>
      </x:c>
      <x:c r="Z81" s="30" t="n">
        <x:v>7</x:v>
      </x:c>
      <x:c r="AA81" s="30" t="n">
        <x:v>80</x:v>
      </x:c>
      <x:c r="AB81" s="30" t="str">
        <x:v>جدول Affiliate با 2 فیلد + DQ rules (PK/Not-Null/RefInt) سبز</x:v>
      </x:c>
      <x:c r="AC81" s="30" t="str">
        <x:v>نیازمند تکمیل و تأیید مالک</x:v>
      </x:c>
      <x:c r="AD81" s="30" t="str">
        <x:v>نیازمند تکمیل و تأیید مالک</x:v>
      </x:c>
      <x:c r="AE81" s="30" t="str">
        <x:v>جدول Affiliate با 2 فیلد + DQ rules (PK/Not-Null/RefInt) سبز</x:v>
      </x:c>
      <x:c r="AF81" s="30" t="str"/>
      <x:c r="AG81" s="30" t="str"/>
      <x:c r="AH81" s="30" t="str"/>
    </x:row>
    <x:row r="82">
      <x:c r="A82" s="17" t="inlineStr">
        <x:is>
          <x:t xml:space="preserve">TK-081</x:t>
        </x:is>
      </x:c>
      <x:c r="B82" s="4" t="inlineStr">
        <x:is>
          <x:t xml:space="preserve">مدل‌سازی موجودیت Experiment (4 فیلد)</x:t>
        </x:is>
      </x:c>
      <x:c r="C82" s="4" t="inlineStr">
        <x:is>
          <x:t xml:space="preserve">Build Entity Model: Experiment</x:t>
        </x:is>
      </x:c>
      <x:c r="D82" s="4" t="inlineStr">
        <x:is>
          <x:t xml:space="preserve">Data</x:t>
        </x:is>
      </x:c>
      <x:c r="E82" s="4" t="inlineStr">
        <x:is>
          <x:t xml:space="preserve">experiment_test_id, experiment_variant_bucket, experiment_sample_size_target…</x:t>
        </x:is>
      </x:c>
      <x:c r="F82" s="17" t="inlineStr">
        <x:is>
          <x:t xml:space="preserve">W3</x:t>
        </x:is>
      </x:c>
      <x:c r="G82" s="4" t="inlineStr">
        <x:is>
          <x:t xml:space="preserve">S2</x:t>
        </x:is>
      </x:c>
      <x:c r="H82" s="17" t="inlineStr">
        <x:is>
          <x:t xml:space="preserve">High</x:t>
        </x:is>
      </x:c>
      <x:c r="I82" s="4" t="inlineStr">
        <x:is>
          <x:t xml:space="preserve">Senior Data Engineer</x:t>
        </x:is>
      </x:c>
      <x:c r="J82" s="17" t="n">
        <x:v>3</x:v>
      </x:c>
      <x:c r="K82" s="17" t="n">
        <x:v>2</x:v>
      </x:c>
      <x:c r="L82" s="18" t="n">
        <x:f>J82*2-K82</x:f>
        <x:v>4</x:v>
      </x:c>
      <x:c r="M82" s="4" t="inlineStr">
        <x:is>
          <x:t xml:space="preserve">TK-012, TK-041..053</x:t>
        </x:is>
      </x:c>
      <x:c r="N82" s="4" t="inlineStr">
        <x:is>
          <x:t xml:space="preserve">جدول Experiment با 4 فیلد + DQ rules (PK/Not-Null/RefInt) سبز</x:t>
        </x:is>
      </x:c>
      <x:c r="O82" s="17" t="inlineStr">
        <x:is>
          <x:t xml:space="preserve">Proposed</x:t>
        </x:is>
      </x:c>
      <x:c r="P82" s="4" t="inlineStr">
        <x:is>
          <x:t xml:space="preserve">experiment_test_id = join key</x:t>
        </x:is>
      </x:c>
      <x:c r="Q82" s="30" t="str">
        <x:v>TK-081</x:v>
      </x:c>
      <x:c r="R82" s="30" t="str"/>
      <x:c r="S82" s="30" t="str">
        <x:v>Data</x:v>
      </x:c>
      <x:c r="T82" s="30" t="str">
        <x:v>experiment_test_id, experiment_variant_bucket, experiment_sample_size_target…</x:v>
      </x:c>
      <x:c r="U82" s="30" t="str">
        <x:v>مدل‌سازی موجودیت Experiment (4 فیلد)</x:v>
      </x:c>
      <x:c r="V82" s="30" t="str">
        <x:v>Pending dependency review</x:v>
      </x:c>
      <x:c r="W82" s="30" t="str">
        <x:v>نیازمند تکمیل و تأیید مالک</x:v>
      </x:c>
      <x:c r="X82" s="30" t="str">
        <x:v>نیازمند تکمیل و تأیید مالک</x:v>
      </x:c>
      <x:c r="Y82" s="30" t="str">
        <x:v>Senior Data Engineer</x:v>
      </x:c>
      <x:c r="Z82" s="30" t="n">
        <x:v>7</x:v>
      </x:c>
      <x:c r="AA82" s="30" t="n">
        <x:v>81</x:v>
      </x:c>
      <x:c r="AB82" s="30" t="str">
        <x:v>جدول Experiment با 4 فیلد + DQ rules (PK/Not-Null/RefInt) سبز</x:v>
      </x:c>
      <x:c r="AC82" s="30" t="str">
        <x:v>نیازمند تکمیل و تأیید مالک</x:v>
      </x:c>
      <x:c r="AD82" s="30" t="str">
        <x:v>نیازمند تکمیل و تأیید مالک</x:v>
      </x:c>
      <x:c r="AE82" s="30" t="str">
        <x:v>جدول Experiment با 4 فیلد + DQ rules (PK/Not-Null/RefInt) سبز</x:v>
      </x:c>
      <x:c r="AF82" s="30" t="str"/>
      <x:c r="AG82" s="30" t="str"/>
      <x:c r="AH82" s="30" t="str"/>
    </x:row>
    <x:row r="83">
      <x:c r="A83" s="19" t="inlineStr">
        <x:is>
          <x:t xml:space="preserve">TK-082</x:t>
        </x:is>
      </x:c>
      <x:c r="B83" s="6" t="inlineStr">
        <x:is>
          <x:t xml:space="preserve">مدل‌سازی موجودیت Attribution Touchpoint (3 فیلد)</x:t>
        </x:is>
      </x:c>
      <x:c r="C83" s="6" t="inlineStr">
        <x:is>
          <x:t xml:space="preserve">Build Entity Model: Attribution Touchpoint</x:t>
        </x:is>
      </x:c>
      <x:c r="D83" s="6" t="inlineStr">
        <x:is>
          <x:t xml:space="preserve">Data</x:t>
        </x:is>
      </x:c>
      <x:c r="E83" s="6" t="inlineStr">
        <x:is>
          <x:t xml:space="preserve">touchpoint_record_id, touchpoint_position_in_path, touchpoint_weight_data_driven</x:t>
        </x:is>
      </x:c>
      <x:c r="F83" s="19" t="inlineStr">
        <x:is>
          <x:t xml:space="preserve">W3</x:t>
        </x:is>
      </x:c>
      <x:c r="G83" s="6" t="inlineStr">
        <x:is>
          <x:t xml:space="preserve">S2</x:t>
        </x:is>
      </x:c>
      <x:c r="H83" s="19" t="inlineStr">
        <x:is>
          <x:t xml:space="preserve">High</x:t>
        </x:is>
      </x:c>
      <x:c r="I83" s="6" t="inlineStr">
        <x:is>
          <x:t xml:space="preserve">Senior Data Engineer</x:t>
        </x:is>
      </x:c>
      <x:c r="J83" s="19" t="n">
        <x:v>3</x:v>
      </x:c>
      <x:c r="K83" s="19" t="n">
        <x:v>2</x:v>
      </x:c>
      <x:c r="L83" s="18" t="n">
        <x:f>J83*2-K83</x:f>
        <x:v>4</x:v>
      </x:c>
      <x:c r="M83" s="6" t="inlineStr">
        <x:is>
          <x:t xml:space="preserve">TK-012, TK-041..053</x:t>
        </x:is>
      </x:c>
      <x:c r="N83" s="6" t="inlineStr">
        <x:is>
          <x:t xml:space="preserve">جدول Attribution Touchpoint با 3 فیلد + DQ rules (PK/Not-Null/RefInt) سبز</x:t>
        </x:is>
      </x:c>
      <x:c r="O83" s="19" t="inlineStr">
        <x:is>
          <x:t xml:space="preserve">Proposed</x:t>
        </x:is>
      </x:c>
      <x:c r="P83" s="6" t="inlineStr">
        <x:is>
          <x:t xml:space="preserve">touchpoint_record_id = join key</x:t>
        </x:is>
      </x:c>
      <x:c r="Q83" s="30" t="str">
        <x:v>TK-082</x:v>
      </x:c>
      <x:c r="R83" s="30" t="str"/>
      <x:c r="S83" s="30" t="str">
        <x:v>Data</x:v>
      </x:c>
      <x:c r="T83" s="30" t="str">
        <x:v>touchpoint_record_id, touchpoint_position_in_path, touchpoint_weight_data_driven</x:v>
      </x:c>
      <x:c r="U83" s="30" t="str">
        <x:v>مدل‌سازی موجودیت Attribution Touchpoint (3 فیلد)</x:v>
      </x:c>
      <x:c r="V83" s="30" t="str">
        <x:v>Pending dependency review</x:v>
      </x:c>
      <x:c r="W83" s="30" t="str">
        <x:v>نیازمند تکمیل و تأیید مالک</x:v>
      </x:c>
      <x:c r="X83" s="30" t="str">
        <x:v>نیازمند تکمیل و تأیید مالک</x:v>
      </x:c>
      <x:c r="Y83" s="30" t="str">
        <x:v>Senior Data Engineer</x:v>
      </x:c>
      <x:c r="Z83" s="30" t="n">
        <x:v>7</x:v>
      </x:c>
      <x:c r="AA83" s="30" t="n">
        <x:v>82</x:v>
      </x:c>
      <x:c r="AB83" s="30" t="str">
        <x:v>جدول Attribution Touchpoint با 3 فیلد + DQ rules (PK/Not-Null/RefInt) سبز</x:v>
      </x:c>
      <x:c r="AC83" s="30" t="str">
        <x:v>نیازمند تکمیل و تأیید مالک</x:v>
      </x:c>
      <x:c r="AD83" s="30" t="str">
        <x:v>نیازمند تکمیل و تأیید مالک</x:v>
      </x:c>
      <x:c r="AE83" s="30" t="str">
        <x:v>جدول Attribution Touchpoint با 3 فیلد + DQ rules (PK/Not-Null/RefInt) سبز</x:v>
      </x:c>
      <x:c r="AF83" s="30" t="str"/>
      <x:c r="AG83" s="30" t="str"/>
      <x:c r="AH83" s="30" t="str"/>
    </x:row>
    <x:row r="84">
      <x:c r="A84" s="17" t="inlineStr">
        <x:is>
          <x:t xml:space="preserve">TK-083</x:t>
        </x:is>
      </x:c>
      <x:c r="B84" s="4" t="inlineStr">
        <x:is>
          <x:t xml:space="preserve">اتصال فروش آفلاین EXIDA: QR + فرم تبلت + CRM</x:t>
        </x:is>
      </x:c>
      <x:c r="C84" s="4" t="inlineStr">
        <x:is>
          <x:t xml:space="preserve">Integrate EXIDA Offline Sales: QR + Tablet Form + CRM</x:t>
        </x:is>
      </x:c>
      <x:c r="D84" s="4" t="inlineStr">
        <x:is>
          <x:t xml:space="preserve">Integration</x:t>
        </x:is>
      </x:c>
      <x:c r="E84" s="4" t="inlineStr">
        <x:is>
          <x:t xml:space="preserve">GAP-الف</x:t>
        </x:is>
      </x:c>
      <x:c r="F84" s="17" t="inlineStr">
        <x:is>
          <x:t xml:space="preserve">W3</x:t>
        </x:is>
      </x:c>
      <x:c r="G84" s="4" t="inlineStr">
        <x:is>
          <x:t xml:space="preserve">S2</x:t>
        </x:is>
      </x:c>
      <x:c r="H84" s="17" t="inlineStr">
        <x:is>
          <x:t xml:space="preserve">High</x:t>
        </x:is>
      </x:c>
      <x:c r="I84" s="4" t="inlineStr">
        <x:is>
          <x:t xml:space="preserve">B2B Sales Director</x:t>
        </x:is>
      </x:c>
      <x:c r="J84" s="17" t="n">
        <x:v>4</x:v>
      </x:c>
      <x:c r="K84" s="17" t="n">
        <x:v>3</x:v>
      </x:c>
      <x:c r="L84" s="18" t="n">
        <x:f>J84*2-K84</x:f>
        <x:v>5</x:v>
      </x:c>
      <x:c r="M84" s="4" t="inlineStr">
        <x:is>
          <x:t xml:space="preserve">TK-010</x:t>
        </x:is>
      </x:c>
      <x:c r="N84" s="4" t="inlineStr">
        <x:is>
          <x:t xml:space="preserve">QR اختصاصی غرفه + registration_source=EXIDA_2026 + master_customer_id در پیش‌فاکتور (TST-08)</x:t>
        </x:is>
      </x:c>
      <x:c r="O84" s="17" t="inlineStr">
        <x:is>
          <x:t xml:space="preserve">Proposed</x:t>
        </x:is>
      </x:c>
      <x:c r="P84" s="4" t="inlineStr">
        <x:is>
          <x:t xml:space="preserve">شکاف ۳الف سند ۱۲</x:t>
        </x:is>
      </x:c>
      <x:c r="Q84" s="30" t="str">
        <x:v>TK-083</x:v>
      </x:c>
      <x:c r="R84" s="30" t="str"/>
      <x:c r="S84" s="30" t="str">
        <x:v>Integration</x:v>
      </x:c>
      <x:c r="T84" s="30" t="str">
        <x:v>GAP-الف</x:v>
      </x:c>
      <x:c r="U84" s="30" t="str">
        <x:v>اتصال فروش آفلاین EXIDA: QR + فرم تبلت + CRM</x:v>
      </x:c>
      <x:c r="V84" s="30" t="str">
        <x:v>Pending dependency review</x:v>
      </x:c>
      <x:c r="W84" s="30" t="str">
        <x:v>نیازمند تکمیل و تأیید مالک</x:v>
      </x:c>
      <x:c r="X84" s="30" t="str">
        <x:v>نیازمند تکمیل و تأیید مالک</x:v>
      </x:c>
      <x:c r="Y84" s="30" t="str">
        <x:v>B2B Sales Director</x:v>
      </x:c>
      <x:c r="Z84" s="30" t="n">
        <x:v>7</x:v>
      </x:c>
      <x:c r="AA84" s="30" t="n">
        <x:v>83</x:v>
      </x:c>
      <x:c r="AB84" s="30" t="str">
        <x:v>QR اختصاصی غرفه + registration_source=EXIDA_2026 + master_customer_id در پیش‌فاکتور (TST-08)</x:v>
      </x:c>
      <x:c r="AC84" s="30" t="str">
        <x:v>نیازمند تکمیل و تأیید مالک</x:v>
      </x:c>
      <x:c r="AD84" s="30" t="str">
        <x:v>نیازمند تکمیل و تأیید مالک</x:v>
      </x:c>
      <x:c r="AE84" s="30" t="str">
        <x:v>QR اختصاصی غرفه + registration_source=EXIDA_2026 + master_customer_id در پیش‌فاکتور (TST-08)</x:v>
      </x:c>
      <x:c r="AF84" s="30" t="str"/>
      <x:c r="AG84" s="30" t="str"/>
      <x:c r="AH84" s="30" t="str"/>
    </x:row>
    <x:row r="85">
      <x:c r="A85" s="19" t="inlineStr">
        <x:is>
          <x:t xml:space="preserve">TK-084</x:t>
        </x:is>
      </x:c>
      <x:c r="B85" s="6" t="inlineStr">
        <x:is>
          <x:t xml:space="preserve">اتصال VoIP/DNI و رویداد آفلاین Offline_Purchase</x:t>
        </x:is>
      </x:c>
      <x:c r="C85" s="6" t="inlineStr">
        <x:is>
          <x:t xml:space="preserve">Integrate VoIP/DNI &amp; Offline_Purchase Event</x:t>
        </x:is>
      </x:c>
      <x:c r="D85" s="6" t="inlineStr">
        <x:is>
          <x:t xml:space="preserve">Integration</x:t>
        </x:is>
      </x:c>
      <x:c r="E85" s="6" t="inlineStr">
        <x:is>
          <x:t xml:space="preserve">GAP-ب</x:t>
        </x:is>
      </x:c>
      <x:c r="F85" s="19" t="inlineStr">
        <x:is>
          <x:t xml:space="preserve">W3</x:t>
        </x:is>
      </x:c>
      <x:c r="G85" s="6" t="inlineStr">
        <x:is>
          <x:t xml:space="preserve">S2</x:t>
        </x:is>
      </x:c>
      <x:c r="H85" s="19" t="inlineStr">
        <x:is>
          <x:t xml:space="preserve">High</x:t>
        </x:is>
      </x:c>
      <x:c r="I85" s="6" t="inlineStr">
        <x:is>
          <x:t xml:space="preserve">DevOps/Web Engineer</x:t>
        </x:is>
      </x:c>
      <x:c r="J85" s="19" t="n">
        <x:v>4</x:v>
      </x:c>
      <x:c r="K85" s="19" t="n">
        <x:v>4</x:v>
      </x:c>
      <x:c r="L85" s="18" t="n">
        <x:f>J85*2-K85</x:f>
        <x:v>4</x:v>
      </x:c>
      <x:c r="M85" s="6" t="inlineStr">
        <x:is>
          <x:t xml:space="preserve">TK-010, CRED-09</x:t>
        </x:is>
      </x:c>
      <x:c r="N85" s="6" t="inlineStr">
        <x:is>
          <x:t xml:space="preserve">Call Log + DNI در DWH؛ Offline_Purchase به CAPI/EC (TST-09)</x:t>
        </x:is>
      </x:c>
      <x:c r="O85" s="19" t="inlineStr">
        <x:is>
          <x:t xml:space="preserve">Proposed</x:t>
        </x:is>
      </x:c>
      <x:c r="P85" s="6" t="inlineStr">
        <x:is>
          <x:t xml:space="preserve">شکاف ۳ب سند ۱۲</x:t>
        </x:is>
      </x:c>
      <x:c r="Q85" s="30" t="str">
        <x:v>TK-084</x:v>
      </x:c>
      <x:c r="R85" s="30" t="str"/>
      <x:c r="S85" s="30" t="str">
        <x:v>Integration</x:v>
      </x:c>
      <x:c r="T85" s="30" t="str">
        <x:v>GAP-ب</x:v>
      </x:c>
      <x:c r="U85" s="30" t="str">
        <x:v>اتصال VoIP/DNI و رویداد آفلاین Offline_Purchase</x:v>
      </x:c>
      <x:c r="V85" s="30" t="str">
        <x:v>Pending dependency review</x:v>
      </x:c>
      <x:c r="W85" s="30" t="str">
        <x:v>نیازمند تکمیل و تأیید مالک</x:v>
      </x:c>
      <x:c r="X85" s="30" t="str">
        <x:v>نیازمند تکمیل و تأیید مالک</x:v>
      </x:c>
      <x:c r="Y85" s="30" t="str">
        <x:v>DevOps/Web Engineer</x:v>
      </x:c>
      <x:c r="Z85" s="30" t="n">
        <x:v>7</x:v>
      </x:c>
      <x:c r="AA85" s="30" t="n">
        <x:v>84</x:v>
      </x:c>
      <x:c r="AB85" s="30" t="str">
        <x:v>Call Log + DNI در DWH؛ Offline_Purchase به CAPI/EC (TST-09)</x:v>
      </x:c>
      <x:c r="AC85" s="30" t="str">
        <x:v>نیازمند تکمیل و تأیید مالک</x:v>
      </x:c>
      <x:c r="AD85" s="30" t="str">
        <x:v>نیازمند تکمیل و تأیید مالک</x:v>
      </x:c>
      <x:c r="AE85" s="30" t="str">
        <x:v>Call Log + DNI در DWH؛ Offline_Purchase به CAPI/EC (TST-09)</x:v>
      </x:c>
      <x:c r="AF85" s="30" t="str"/>
      <x:c r="AG85" s="30" t="str"/>
      <x:c r="AH85" s="30" t="str"/>
    </x:row>
    <x:row r="86">
      <x:c r="A86" s="17" t="inlineStr">
        <x:is>
          <x:t xml:space="preserve">TK-085</x:t>
        </x:is>
      </x:c>
      <x:c r="B86" s="4" t="inlineStr">
        <x:is>
          <x:t xml:space="preserve">Webhook بلادرنگ موجودی WMS به دیتابیس و ادز</x:t>
        </x:is>
      </x:c>
      <x:c r="C86" s="4" t="inlineStr">
        <x:is>
          <x:t xml:space="preserve">WMS Real-Time Inventory Webhook to DWH &amp; Ads</x:t>
        </x:is>
      </x:c>
      <x:c r="D86" s="4" t="inlineStr">
        <x:is>
          <x:t xml:space="preserve">Integration</x:t>
        </x:is>
      </x:c>
      <x:c r="E86" s="4" t="inlineStr">
        <x:is>
          <x:t xml:space="preserve">GAP-ج, P-15</x:t>
        </x:is>
      </x:c>
      <x:c r="F86" s="17" t="inlineStr">
        <x:is>
          <x:t xml:space="preserve">W3</x:t>
        </x:is>
      </x:c>
      <x:c r="G86" s="4" t="inlineStr">
        <x:is>
          <x:t xml:space="preserve">S2</x:t>
        </x:is>
      </x:c>
      <x:c r="H86" s="17" t="inlineStr">
        <x:is>
          <x:t xml:space="preserve">High</x:t>
        </x:is>
      </x:c>
      <x:c r="I86" s="4" t="inlineStr">
        <x:is>
          <x:t xml:space="preserve">Warehouse/Materials Manager</x:t>
        </x:is>
      </x:c>
      <x:c r="J86" s="17" t="n">
        <x:v>4</x:v>
      </x:c>
      <x:c r="K86" s="17" t="n">
        <x:v>4</x:v>
      </x:c>
      <x:c r="L86" s="18" t="n">
        <x:f>J86*2-K86</x:f>
        <x:v>4</x:v>
      </x:c>
      <x:c r="M86" s="4" t="inlineStr">
        <x:is>
          <x:t xml:space="preserve">TK-008, CRED-07</x:t>
        </x:is>
      </x:c>
      <x:c r="N86" s="4" t="inlineStr">
        <x:is>
          <x:t xml:space="preserve">موجودی SKU در DWH با تأخیر &lt;۵ دقیقه (TST-28)</x:t>
        </x:is>
      </x:c>
      <x:c r="O86" s="17" t="inlineStr">
        <x:is>
          <x:t xml:space="preserve">Proposed</x:t>
        </x:is>
      </x:c>
      <x:c r="P86" s="4" t="inlineStr">
        <x:is>
          <x:t xml:space="preserve">شکاف ۳ج سند ۱۲</x:t>
        </x:is>
      </x:c>
      <x:c r="Q86" s="30" t="str">
        <x:v>TK-085</x:v>
      </x:c>
      <x:c r="R86" s="30" t="str"/>
      <x:c r="S86" s="30" t="str">
        <x:v>Integration</x:v>
      </x:c>
      <x:c r="T86" s="30" t="str">
        <x:v>GAP-ج, P-15</x:v>
      </x:c>
      <x:c r="U86" s="30" t="str">
        <x:v>Webhook بلادرنگ موجودی WMS به دیتابیس و ادز</x:v>
      </x:c>
      <x:c r="V86" s="30" t="str">
        <x:v>Pending dependency review</x:v>
      </x:c>
      <x:c r="W86" s="30" t="str">
        <x:v>نیازمند تکمیل و تأیید مالک</x:v>
      </x:c>
      <x:c r="X86" s="30" t="str">
        <x:v>نیازمند تکمیل و تأیید مالک</x:v>
      </x:c>
      <x:c r="Y86" s="30" t="str">
        <x:v>Warehouse/Materials Manager</x:v>
      </x:c>
      <x:c r="Z86" s="30" t="n">
        <x:v>7</x:v>
      </x:c>
      <x:c r="AA86" s="30" t="n">
        <x:v>85</x:v>
      </x:c>
      <x:c r="AB86" s="30" t="str">
        <x:v>موجودی SKU در DWH با تأخیر &lt;۵ دقیقه (TST-28)</x:v>
      </x:c>
      <x:c r="AC86" s="30" t="str">
        <x:v>نیازمند تکمیل و تأیید مالک</x:v>
      </x:c>
      <x:c r="AD86" s="30" t="str">
        <x:v>نیازمند تکمیل و تأیید مالک</x:v>
      </x:c>
      <x:c r="AE86" s="30" t="str">
        <x:v>موجودی SKU در DWH با تأخیر &lt;۵ دقیقه (TST-28)</x:v>
      </x:c>
      <x:c r="AF86" s="30" t="str"/>
      <x:c r="AG86" s="30" t="str"/>
      <x:c r="AH86" s="30" t="str"/>
    </x:row>
    <x:row r="87">
      <x:c r="A87" s="19" t="inlineStr">
        <x:is>
          <x:t xml:space="preserve">TK-086</x:t>
        </x:is>
      </x:c>
      <x:c r="B87" s="6" t="inlineStr">
        <x:is>
          <x:t xml:space="preserve">همگام‌سازی هفتگی COGS و نرخ حاشیه از مالی</x:t>
        </x:is>
      </x:c>
      <x:c r="C87" s="6" t="inlineStr">
        <x:is>
          <x:t xml:space="preserve">Weekly COGS &amp; Margin Sync from Finance</x:t>
        </x:is>
      </x:c>
      <x:c r="D87" s="6" t="inlineStr">
        <x:is>
          <x:t xml:space="preserve">Integration</x:t>
        </x:is>
      </x:c>
      <x:c r="E87" s="6" t="inlineStr">
        <x:is>
          <x:t xml:space="preserve">SLA مالی</x:t>
        </x:is>
      </x:c>
      <x:c r="F87" s="19" t="inlineStr">
        <x:is>
          <x:t xml:space="preserve">W3</x:t>
        </x:is>
      </x:c>
      <x:c r="G87" s="6" t="inlineStr">
        <x:is>
          <x:t xml:space="preserve">S2</x:t>
        </x:is>
      </x:c>
      <x:c r="H87" s="19" t="inlineStr">
        <x:is>
          <x:t xml:space="preserve">Critical</x:t>
        </x:is>
      </x:c>
      <x:c r="I87" s="6" t="inlineStr">
        <x:is>
          <x:t xml:space="preserve">Finance Manager</x:t>
        </x:is>
      </x:c>
      <x:c r="J87" s="19" t="n">
        <x:v>5</x:v>
      </x:c>
      <x:c r="K87" s="19" t="n">
        <x:v>2</x:v>
      </x:c>
      <x:c r="L87" s="18" t="n">
        <x:f>J87*2-K87</x:f>
        <x:v>8</x:v>
      </x:c>
      <x:c r="M87" s="6" t="inlineStr">
        <x:is>
          <x:t xml:space="preserve">TK-009, CRED-06</x:t>
        </x:is>
      </x:c>
      <x:c r="N87" s="6" t="inlineStr">
        <x:is>
          <x:t xml:space="preserve">COGS هر SKU در DWH تا شنبه هر هفته؛ Mismatch=0</x:t>
        </x:is>
      </x:c>
      <x:c r="O87" s="19" t="inlineStr">
        <x:is>
          <x:t xml:space="preserve">Proposed</x:t>
        </x:is>
      </x:c>
      <x:c r="P87" s="6" t="inlineStr">
        <x:is>
          <x:t xml:space="preserve">قرارداد داده مارکتینگ-مالی</x:t>
        </x:is>
      </x:c>
      <x:c r="Q87" s="30" t="str">
        <x:v>TK-086</x:v>
      </x:c>
      <x:c r="R87" s="30" t="str"/>
      <x:c r="S87" s="30" t="str">
        <x:v>Integration</x:v>
      </x:c>
      <x:c r="T87" s="30" t="str">
        <x:v>SLA مالی</x:v>
      </x:c>
      <x:c r="U87" s="30" t="str">
        <x:v>همگام‌سازی هفتگی COGS و نرخ حاشیه از مالی</x:v>
      </x:c>
      <x:c r="V87" s="30" t="str">
        <x:v>Pending dependency review</x:v>
      </x:c>
      <x:c r="W87" s="30" t="str">
        <x:v>نیازمند تکمیل و تأیید مالک</x:v>
      </x:c>
      <x:c r="X87" s="30" t="str">
        <x:v>نیازمند تکمیل و تأیید مالک</x:v>
      </x:c>
      <x:c r="Y87" s="30" t="str">
        <x:v>Finance Manager</x:v>
      </x:c>
      <x:c r="Z87" s="30" t="n">
        <x:v>7</x:v>
      </x:c>
      <x:c r="AA87" s="30" t="n">
        <x:v>86</x:v>
      </x:c>
      <x:c r="AB87" s="30" t="str">
        <x:v>COGS هر SKU در DWH تا شنبه هر هفته؛ Mismatch=0</x:v>
      </x:c>
      <x:c r="AC87" s="30" t="str">
        <x:v>نیازمند تکمیل و تأیید مالک</x:v>
      </x:c>
      <x:c r="AD87" s="30" t="str">
        <x:v>نیازمند تکمیل و تأیید مالک</x:v>
      </x:c>
      <x:c r="AE87" s="30" t="str">
        <x:v>COGS هر SKU در DWH تا شنبه هر هفته؛ Mismatch=0</x:v>
      </x:c>
      <x:c r="AF87" s="30" t="str"/>
      <x:c r="AG87" s="30" t="str"/>
      <x:c r="AH87" s="30" t="str"/>
    </x:row>
    <x:row r="88">
      <x:c r="A88" s="17" t="inlineStr">
        <x:is>
          <x:t xml:space="preserve">TK-087</x:t>
        </x:is>
      </x:c>
      <x:c r="B88" s="4" t="inlineStr">
        <x:is>
          <x:t xml:space="preserve">فرایند مرجوعی و ثبت اسناد عودت (SLA 24h)</x:t>
        </x:is>
      </x:c>
      <x:c r="C88" s="4" t="inlineStr">
        <x:is>
          <x:t xml:space="preserve">Refund Process &amp; Return Documentation (24h SLA)</x:t>
        </x:is>
      </x:c>
      <x:c r="D88" s="4" t="inlineStr">
        <x:is>
          <x:t xml:space="preserve">Process</x:t>
        </x:is>
      </x:c>
      <x:c r="E88" s="4" t="inlineStr">
        <x:is>
          <x:t xml:space="preserve">EVT-14, SLA WMS</x:t>
        </x:is>
      </x:c>
      <x:c r="F88" s="17" t="inlineStr">
        <x:is>
          <x:t xml:space="preserve">W3</x:t>
        </x:is>
      </x:c>
      <x:c r="G88" s="4" t="inlineStr">
        <x:is>
          <x:t xml:space="preserve">S2</x:t>
        </x:is>
      </x:c>
      <x:c r="H88" s="17" t="inlineStr">
        <x:is>
          <x:t xml:space="preserve">High</x:t>
        </x:is>
      </x:c>
      <x:c r="I88" s="4" t="inlineStr">
        <x:is>
          <x:t xml:space="preserve">Warehouse/Materials Manager</x:t>
        </x:is>
      </x:c>
      <x:c r="J88" s="17" t="n">
        <x:v>4</x:v>
      </x:c>
      <x:c r="K88" s="17" t="n">
        <x:v>2</x:v>
      </x:c>
      <x:c r="L88" s="18" t="n">
        <x:f>J88*2-K88</x:f>
        <x:v>6</x:v>
      </x:c>
      <x:c r="M88" s="4" t="inlineStr">
        <x:is>
          <x:t xml:space="preserve">TK-054</x:t>
        </x:is>
      </x:c>
      <x:c r="N88" s="4" t="inlineStr">
        <x:is>
          <x:t xml:space="preserve">مرجوعی‌ها حداکثر ۲۴ ساعت ثبت و به DWH می‌رسند</x:t>
        </x:is>
      </x:c>
      <x:c r="O88" s="17" t="inlineStr">
        <x:is>
          <x:t xml:space="preserve">Proposed</x:t>
        </x:is>
      </x:c>
      <x:c r="P88" s="4" t="inlineStr">
        <x:is>
          <x:t xml:space="preserve">قرارداد WMS-مارکتینگ</x:t>
        </x:is>
      </x:c>
      <x:c r="Q88" s="30" t="str">
        <x:v>TK-087</x:v>
      </x:c>
      <x:c r="R88" s="30" t="str"/>
      <x:c r="S88" s="30" t="str">
        <x:v>Process</x:v>
      </x:c>
      <x:c r="T88" s="30" t="str">
        <x:v>EVT-14, SLA WMS</x:v>
      </x:c>
      <x:c r="U88" s="30" t="str">
        <x:v>فرایند مرجوعی و ثبت اسناد عودت (SLA 24h)</x:v>
      </x:c>
      <x:c r="V88" s="30" t="str">
        <x:v>Pending dependency review</x:v>
      </x:c>
      <x:c r="W88" s="30" t="str">
        <x:v>نیازمند تکمیل و تأیید مالک</x:v>
      </x:c>
      <x:c r="X88" s="30" t="str">
        <x:v>نیازمند تکمیل و تأیید مالک</x:v>
      </x:c>
      <x:c r="Y88" s="30" t="str">
        <x:v>Warehouse/Materials Manager</x:v>
      </x:c>
      <x:c r="Z88" s="30" t="n">
        <x:v>7</x:v>
      </x:c>
      <x:c r="AA88" s="30" t="n">
        <x:v>87</x:v>
      </x:c>
      <x:c r="AB88" s="30" t="str">
        <x:v>مرجوعی‌ها حداکثر ۲۴ ساعت ثبت و به DWH می‌رسند</x:v>
      </x:c>
      <x:c r="AC88" s="30" t="str">
        <x:v>نیازمند تکمیل و تأیید مالک</x:v>
      </x:c>
      <x:c r="AD88" s="30" t="str">
        <x:v>نیازمند تکمیل و تأیید مالک</x:v>
      </x:c>
      <x:c r="AE88" s="30" t="str">
        <x:v>مرجوعی‌ها حداکثر ۲۴ ساعت ثبت و به DWH می‌رسند</x:v>
      </x:c>
      <x:c r="AF88" s="30" t="str">
        <x:v>EVT-14, SLA WMS</x:v>
      </x:c>
      <x:c r="AG88" s="30" t="str"/>
      <x:c r="AH88" s="30" t="str"/>
    </x:row>
    <x:row r="89">
      <x:c r="A89" s="19" t="inlineStr">
        <x:is>
          <x:t xml:space="preserve">TK-088</x:t>
        </x:is>
      </x:c>
      <x:c r="B89" s="6" t="inlineStr">
        <x:is>
          <x:t xml:space="preserve">بک‌فیل داده تاریخی (حداقل ۹۰ روز)</x:t>
        </x:is>
      </x:c>
      <x:c r="C89" s="6" t="inlineStr">
        <x:is>
          <x:t xml:space="preserve">Historical Data Backfill (min 90 Days)</x:t>
        </x:is>
      </x:c>
      <x:c r="D89" s="6" t="inlineStr">
        <x:is>
          <x:t xml:space="preserve">Data</x:t>
        </x:is>
      </x:c>
      <x:c r="E89" s="6" t="inlineStr">
        <x:is>
          <x:t xml:space="preserve">DWH</x:t>
        </x:is>
      </x:c>
      <x:c r="F89" s="19" t="inlineStr">
        <x:is>
          <x:t xml:space="preserve">W3</x:t>
        </x:is>
      </x:c>
      <x:c r="G89" s="6" t="inlineStr">
        <x:is>
          <x:t xml:space="preserve">S2</x:t>
        </x:is>
      </x:c>
      <x:c r="H89" s="19" t="inlineStr">
        <x:is>
          <x:t xml:space="preserve">High</x:t>
        </x:is>
      </x:c>
      <x:c r="I89" s="6" t="inlineStr">
        <x:is>
          <x:t xml:space="preserve">Senior Data Engineer</x:t>
        </x:is>
      </x:c>
      <x:c r="J89" s="19" t="n">
        <x:v>4</x:v>
      </x:c>
      <x:c r="K89" s="19" t="n">
        <x:v>4</x:v>
      </x:c>
      <x:c r="L89" s="18" t="n">
        <x:f>J89*2-K89</x:f>
        <x:v>4</x:v>
      </x:c>
      <x:c r="M89" s="6" t="inlineStr">
        <x:is>
          <x:t xml:space="preserve">TK-008..053</x:t>
        </x:is>
      </x:c>
      <x:c r="N89" s="6" t="inlineStr">
        <x:is>
          <x:t xml:space="preserve">۹۰+ روز تاریخچه GA4 و فاکتورهای مالی با همخوانی &gt;۹۵٪ (TST-23)</x:t>
        </x:is>
      </x:c>
      <x:c r="O89" s="19" t="inlineStr">
        <x:is>
          <x:t xml:space="preserve">Proposed</x:t>
        </x:is>
      </x:c>
      <x:c r="P89" s="6" t="inlineStr">
        <x:is>
          <x:t xml:space="preserve">مبنای مدل‌های W6</x:t>
        </x:is>
      </x:c>
      <x:c r="Q89" s="30" t="str">
        <x:v>TK-088</x:v>
      </x:c>
      <x:c r="R89" s="30" t="str"/>
      <x:c r="S89" s="30" t="str">
        <x:v>Data</x:v>
      </x:c>
      <x:c r="T89" s="30" t="str">
        <x:v>DWH</x:v>
      </x:c>
      <x:c r="U89" s="30" t="str">
        <x:v>بک‌فیل داده تاریخی (حداقل ۹۰ روز)</x:v>
      </x:c>
      <x:c r="V89" s="30" t="str">
        <x:v>Pending dependency review</x:v>
      </x:c>
      <x:c r="W89" s="30" t="str">
        <x:v>نیازمند تکمیل و تأیید مالک</x:v>
      </x:c>
      <x:c r="X89" s="30" t="str">
        <x:v>نیازمند تکمیل و تأیید مالک</x:v>
      </x:c>
      <x:c r="Y89" s="30" t="str">
        <x:v>Senior Data Engineer</x:v>
      </x:c>
      <x:c r="Z89" s="30" t="n">
        <x:v>7</x:v>
      </x:c>
      <x:c r="AA89" s="30" t="n">
        <x:v>88</x:v>
      </x:c>
      <x:c r="AB89" s="30" t="str">
        <x:v>۹۰+ روز تاریخچه GA4 و فاکتورهای مالی با همخوانی &gt;۹۵٪ (TST-23)</x:v>
      </x:c>
      <x:c r="AC89" s="30" t="str">
        <x:v>نیازمند تکمیل و تأیید مالک</x:v>
      </x:c>
      <x:c r="AD89" s="30" t="str">
        <x:v>نیازمند تکمیل و تأیید مالک</x:v>
      </x:c>
      <x:c r="AE89" s="30" t="str">
        <x:v>۹۰+ روز تاریخچه GA4 و فاکتورهای مالی با همخوانی &gt;۹۵٪ (TST-23)</x:v>
      </x:c>
      <x:c r="AF89" s="30" t="str"/>
      <x:c r="AG89" s="30" t="str"/>
      <x:c r="AH89" s="30" t="str"/>
    </x:row>
    <x:row r="90">
      <x:c r="A90" s="17" t="inlineStr">
        <x:is>
          <x:t xml:space="preserve">TK-089</x:t>
        </x:is>
      </x:c>
      <x:c r="B90" s="4" t="inlineStr">
        <x:is>
          <x:t xml:space="preserve">ساخت لایه متریک — متریک‌های خام (MET-01..18)</x:t>
        </x:is>
      </x:c>
      <x:c r="C90" s="4" t="inlineStr">
        <x:is>
          <x:t xml:space="preserve">Build Metric Layer — Raw Metrics (MET-01..18)</x:t>
        </x:is>
      </x:c>
      <x:c r="D90" s="4" t="inlineStr">
        <x:is>
          <x:t xml:space="preserve">Metric Layer</x:t>
        </x:is>
      </x:c>
      <x:c r="E90" s="4" t="inlineStr">
        <x:is>
          <x:t xml:space="preserve">MET-01..18</x:t>
        </x:is>
      </x:c>
      <x:c r="F90" s="17" t="inlineStr">
        <x:is>
          <x:t xml:space="preserve">W4</x:t>
        </x:is>
      </x:c>
      <x:c r="G90" s="4" t="inlineStr">
        <x:is>
          <x:t xml:space="preserve">S2</x:t>
        </x:is>
      </x:c>
      <x:c r="H90" s="17" t="inlineStr">
        <x:is>
          <x:t xml:space="preserve">Critical</x:t>
        </x:is>
      </x:c>
      <x:c r="I90" s="4" t="inlineStr">
        <x:is>
          <x:t xml:space="preserve">Senior Data Engineer</x:t>
        </x:is>
      </x:c>
      <x:c r="J90" s="17" t="n">
        <x:v>5</x:v>
      </x:c>
      <x:c r="K90" s="17" t="n">
        <x:v>3</x:v>
      </x:c>
      <x:c r="L90" s="18" t="n">
        <x:f>J90*2-K90</x:f>
        <x:v>7</x:v>
      </x:c>
      <x:c r="M90" s="4" t="inlineStr">
        <x:is>
          <x:t xml:space="preserve">TK-040</x:t>
        </x:is>
      </x:c>
      <x:c r="N90" s="4" t="inlineStr">
        <x:is>
          <x:t xml:space="preserve">۱۸ متریک خام در dbt با تست و مستند</x:t>
        </x:is>
      </x:c>
      <x:c r="O90" s="17" t="inlineStr">
        <x:is>
          <x:t xml:space="preserve">Proposed</x:t>
        </x:is>
      </x:c>
      <x:c r="P90" s="4" t="inlineStr">
        <x:is>
          <x:t xml:space="preserve">دسته raw/behavioral</x:t>
        </x:is>
      </x:c>
      <x:c r="Q90" s="30" t="str">
        <x:v>TK-089</x:v>
      </x:c>
      <x:c r="R90" s="30" t="str"/>
      <x:c r="S90" s="30" t="str">
        <x:v>Metric Layer</x:v>
      </x:c>
      <x:c r="T90" s="30" t="str">
        <x:v>MET-01..18</x:v>
      </x:c>
      <x:c r="U90" s="30" t="str">
        <x:v>ساخت لایه متریک — متریک‌های خام (MET-01..18)</x:v>
      </x:c>
      <x:c r="V90" s="30" t="str">
        <x:v>Pending dependency review</x:v>
      </x:c>
      <x:c r="W90" s="30" t="str">
        <x:v>نیازمند تکمیل و تأیید مالک</x:v>
      </x:c>
      <x:c r="X90" s="30" t="str">
        <x:v>نیازمند تکمیل و تأیید مالک</x:v>
      </x:c>
      <x:c r="Y90" s="30" t="str">
        <x:v>Senior Data Engineer</x:v>
      </x:c>
      <x:c r="Z90" s="30" t="n">
        <x:v>7</x:v>
      </x:c>
      <x:c r="AA90" s="30" t="n">
        <x:v>89</x:v>
      </x:c>
      <x:c r="AB90" s="30" t="str">
        <x:v>۱۸ متریک خام در dbt با تست و مستند</x:v>
      </x:c>
      <x:c r="AC90" s="30" t="str">
        <x:v>نیازمند تکمیل و تأیید مالک</x:v>
      </x:c>
      <x:c r="AD90" s="30" t="str">
        <x:v>نیازمند تکمیل و تأیید مالک</x:v>
      </x:c>
      <x:c r="AE90" s="30" t="str">
        <x:v>۱۸ متریک خام در dbt با تست و مستند</x:v>
      </x:c>
      <x:c r="AF90" s="30" t="str"/>
      <x:c r="AG90" s="30" t="str"/>
      <x:c r="AH90" s="30" t="str"/>
    </x:row>
    <x:row r="91">
      <x:c r="A91" s="19" t="inlineStr">
        <x:is>
          <x:t xml:space="preserve">TK-090</x:t>
        </x:is>
      </x:c>
      <x:c r="B91" s="6" t="inlineStr">
        <x:is>
          <x:t xml:space="preserve">ساخت لایه متریک — متریک‌های مشتقه و مالی (MET-19..37)</x:t>
        </x:is>
      </x:c>
      <x:c r="C91" s="6" t="inlineStr">
        <x:is>
          <x:t xml:space="preserve">Build Metric Layer — Derived &amp; Financial Metrics (MET-19..37)</x:t>
        </x:is>
      </x:c>
      <x:c r="D91" s="6" t="inlineStr">
        <x:is>
          <x:t xml:space="preserve">Metric Layer</x:t>
        </x:is>
      </x:c>
      <x:c r="E91" s="6" t="inlineStr">
        <x:is>
          <x:t xml:space="preserve">MET-19..37</x:t>
        </x:is>
      </x:c>
      <x:c r="F91" s="19" t="inlineStr">
        <x:is>
          <x:t xml:space="preserve">W4</x:t>
        </x:is>
      </x:c>
      <x:c r="G91" s="6" t="inlineStr">
        <x:is>
          <x:t xml:space="preserve">S2</x:t>
        </x:is>
      </x:c>
      <x:c r="H91" s="19" t="inlineStr">
        <x:is>
          <x:t xml:space="preserve">Critical</x:t>
        </x:is>
      </x:c>
      <x:c r="I91" s="6" t="inlineStr">
        <x:is>
          <x:t xml:space="preserve">Senior Data Engineer</x:t>
        </x:is>
      </x:c>
      <x:c r="J91" s="19" t="n">
        <x:v>5</x:v>
      </x:c>
      <x:c r="K91" s="19" t="n">
        <x:v>4</x:v>
      </x:c>
      <x:c r="L91" s="18" t="n">
        <x:f>J91*2-K91</x:f>
        <x:v>6</x:v>
      </x:c>
      <x:c r="M91" s="6" t="inlineStr">
        <x:is>
          <x:t xml:space="preserve">TK-040, TK-086</x:t>
        </x:is>
      </x:c>
      <x:c r="N91" s="6" t="inlineStr">
        <x:is>
          <x:t xml:space="preserve">۱۹ متریک مشتقه/مالی با COGS و مغایرت صفر با مالی</x:t>
        </x:is>
      </x:c>
      <x:c r="O91" s="19" t="inlineStr">
        <x:is>
          <x:t xml:space="preserve">Proposed</x:t>
        </x:is>
      </x:c>
      <x:c r="P91" s="6" t="inlineStr">
        <x:is>
          <x:t xml:space="preserve">دسته derived/financial</x:t>
        </x:is>
      </x:c>
      <x:c r="Q91" s="30" t="str">
        <x:v>TK-090</x:v>
      </x:c>
      <x:c r="R91" s="30" t="str"/>
      <x:c r="S91" s="30" t="str">
        <x:v>Metric Layer</x:v>
      </x:c>
      <x:c r="T91" s="30" t="str">
        <x:v>MET-19..37</x:v>
      </x:c>
      <x:c r="U91" s="30" t="str">
        <x:v>ساخت لایه متریک — متریک‌های مشتقه و مالی (MET-19..37)</x:v>
      </x:c>
      <x:c r="V91" s="30" t="str">
        <x:v>Pending dependency review</x:v>
      </x:c>
      <x:c r="W91" s="30" t="str">
        <x:v>نیازمند تکمیل و تأیید مالک</x:v>
      </x:c>
      <x:c r="X91" s="30" t="str">
        <x:v>نیازمند تکمیل و تأیید مالک</x:v>
      </x:c>
      <x:c r="Y91" s="30" t="str">
        <x:v>Senior Data Engineer</x:v>
      </x:c>
      <x:c r="Z91" s="30" t="n">
        <x:v>7</x:v>
      </x:c>
      <x:c r="AA91" s="30" t="n">
        <x:v>90</x:v>
      </x:c>
      <x:c r="AB91" s="30" t="str">
        <x:v>۱۹ متریک مشتقه/مالی با COGS و مغایرت صفر با مالی</x:v>
      </x:c>
      <x:c r="AC91" s="30" t="str">
        <x:v>نیازمند تکمیل و تأیید مالک</x:v>
      </x:c>
      <x:c r="AD91" s="30" t="str">
        <x:v>نیازمند تکمیل و تأیید مالک</x:v>
      </x:c>
      <x:c r="AE91" s="30" t="str">
        <x:v>۱۹ متریک مشتقه/مالی با COGS و مغایرت صفر با مالی</x:v>
      </x:c>
      <x:c r="AF91" s="30" t="str"/>
      <x:c r="AG91" s="30" t="str"/>
      <x:c r="AH91" s="30" t="str"/>
    </x:row>
    <x:row r="92">
      <x:c r="A92" s="17" t="inlineStr">
        <x:is>
          <x:t xml:space="preserve">TK-091</x:t>
        </x:is>
      </x:c>
      <x:c r="B92" s="4" t="inlineStr">
        <x:is>
          <x:t xml:space="preserve">مستندسازی و ثبت متریک‌ها در Semantic Layer</x:t>
        </x:is>
      </x:c>
      <x:c r="C92" s="4" t="inlineStr">
        <x:is>
          <x:t xml:space="preserve">Document &amp; Register Metrics in Semantic Layer</x:t>
        </x:is>
      </x:c>
      <x:c r="D92" s="4" t="inlineStr">
        <x:is>
          <x:t xml:space="preserve">Metric Layer</x:t>
        </x:is>
      </x:c>
      <x:c r="E92" s="4" t="inlineStr">
        <x:is>
          <x:t xml:space="preserve">37 MET</x:t>
        </x:is>
      </x:c>
      <x:c r="F92" s="17" t="inlineStr">
        <x:is>
          <x:t xml:space="preserve">W4</x:t>
        </x:is>
      </x:c>
      <x:c r="G92" s="4" t="inlineStr">
        <x:is>
          <x:t xml:space="preserve">S2</x:t>
        </x:is>
      </x:c>
      <x:c r="H92" s="17" t="inlineStr">
        <x:is>
          <x:t xml:space="preserve">High</x:t>
        </x:is>
      </x:c>
      <x:c r="I92" s="4" t="inlineStr">
        <x:is>
          <x:t xml:space="preserve">BI Lead</x:t>
        </x:is>
      </x:c>
      <x:c r="J92" s="17" t="n">
        <x:v>4</x:v>
      </x:c>
      <x:c r="K92" s="17" t="n">
        <x:v>2</x:v>
      </x:c>
      <x:c r="L92" s="18" t="n">
        <x:f>J92*2-K92</x:f>
        <x:v>6</x:v>
      </x:c>
      <x:c r="M92" s="4" t="inlineStr">
        <x:is>
          <x:t xml:space="preserve">TK-089, TK-090</x:t>
        </x:is>
      </x:c>
      <x:c r="N92" s="4" t="inlineStr">
        <x:is>
          <x:t xml:space="preserve">هر ۳۷ متریک با فرمول، grain و منبع در Semantic Layer ثبت</x:t>
        </x:is>
      </x:c>
      <x:c r="O92" s="17" t="inlineStr">
        <x:is>
          <x:t xml:space="preserve">Proposed</x:t>
        </x:is>
      </x:c>
      <x:c r="P92" s="4" t="inlineStr">
        <x:is>
          <x:t xml:space="preserve">یک تعریف واحد</x:t>
        </x:is>
      </x:c>
      <x:c r="Q92" s="30" t="str">
        <x:v>TK-091</x:v>
      </x:c>
      <x:c r="R92" s="30" t="str"/>
      <x:c r="S92" s="30" t="str">
        <x:v>Metric Layer</x:v>
      </x:c>
      <x:c r="T92" s="30" t="str">
        <x:v>37 MET</x:v>
      </x:c>
      <x:c r="U92" s="30" t="str">
        <x:v>مستندسازی و ثبت متریک‌ها در Semantic Layer</x:v>
      </x:c>
      <x:c r="V92" s="30" t="str">
        <x:v>Pending dependency review</x:v>
      </x:c>
      <x:c r="W92" s="30" t="str">
        <x:v>نیازمند تکمیل و تأیید مالک</x:v>
      </x:c>
      <x:c r="X92" s="30" t="str">
        <x:v>نیازمند تکمیل و تأیید مالک</x:v>
      </x:c>
      <x:c r="Y92" s="30" t="str">
        <x:v>BI Lead</x:v>
      </x:c>
      <x:c r="Z92" s="30" t="n">
        <x:v>7</x:v>
      </x:c>
      <x:c r="AA92" s="30" t="n">
        <x:v>91</x:v>
      </x:c>
      <x:c r="AB92" s="30" t="str">
        <x:v>هر ۳۷ متریک با فرمول، grain و منبع در Semantic Layer ثبت</x:v>
      </x:c>
      <x:c r="AC92" s="30" t="str">
        <x:v>نیازمند تکمیل و تأیید مالک</x:v>
      </x:c>
      <x:c r="AD92" s="30" t="str">
        <x:v>نیازمند تکمیل و تأیید مالک</x:v>
      </x:c>
      <x:c r="AE92" s="30" t="str">
        <x:v>هر ۳۷ متریک با فرمول، grain و منبع در Semantic Layer ثبت</x:v>
      </x:c>
      <x:c r="AF92" s="30" t="str"/>
      <x:c r="AG92" s="30" t="str"/>
      <x:c r="AH92" s="30" t="str"/>
    </x:row>
    <x:row r="93">
      <x:c r="A93" s="19" t="inlineStr">
        <x:is>
          <x:t xml:space="preserve">TK-092</x:t>
        </x:is>
      </x:c>
      <x:c r="B93" s="6" t="inlineStr">
        <x:is>
          <x:t xml:space="preserve">پیاده‌سازی KPI: Impr (Impressions)</x:t>
        </x:is>
      </x:c>
      <x:c r="C93" s="6" t="inlineStr">
        <x:is>
          <x:t xml:space="preserve">Implement KPI: Impressions</x:t>
        </x:is>
      </x:c>
      <x:c r="D93" s="6" t="inlineStr">
        <x:is>
          <x:t xml:space="preserve">KPI</x:t>
        </x:is>
      </x:c>
      <x:c r="E93" s="6" t="inlineStr">
        <x:is>
          <x:t xml:space="preserve">KPI-01</x:t>
        </x:is>
      </x:c>
      <x:c r="F93" s="19" t="inlineStr">
        <x:is>
          <x:t xml:space="preserve">W4</x:t>
        </x:is>
      </x:c>
      <x:c r="G93" s="6" t="inlineStr">
        <x:is>
          <x:t xml:space="preserve">S2</x:t>
        </x:is>
      </x:c>
      <x:c r="H93" s="19" t="inlineStr">
        <x:is>
          <x:t xml:space="preserve">High</x:t>
        </x:is>
      </x:c>
      <x:c r="I93" s="6" t="inlineStr">
        <x:is>
          <x:t xml:space="preserve">Media Buyer</x:t>
        </x:is>
      </x:c>
      <x:c r="J93" s="19" t="n">
        <x:v>4</x:v>
      </x:c>
      <x:c r="K93" s="19" t="n">
        <x:v>2</x:v>
      </x:c>
      <x:c r="L93" s="18" t="n">
        <x:f>J93*2-K93</x:f>
        <x:v>6</x:v>
      </x:c>
      <x:c r="M93" s="6" t="inlineStr">
        <x:is>
          <x:t xml:space="preserve">TK-089..091</x:t>
        </x:is>
      </x:c>
      <x:c r="N93" s="6" t="inlineStr">
        <x:is>
          <x:t xml:space="preserve">فرمول «SUM(Ad Views Rendered)» در Semantic Layer + تطبیق با پنل منبع؛ تارگت: رشد هفتگی ۵-۱۰٪ در کمپین‌های آگاهی</x:t>
        </x:is>
      </x:c>
      <x:c r="O93" s="19" t="inlineStr">
        <x:is>
          <x:t xml:space="preserve">Proposed</x:t>
        </x:is>
      </x:c>
      <x:c r="P93" s="6" t="inlineStr">
        <x:is>
          <x:t xml:space="preserve">مدیا و تبلیغات</x:t>
        </x:is>
      </x:c>
      <x:c r="Q93" s="30" t="str">
        <x:v>TK-092</x:v>
      </x:c>
      <x:c r="R93" s="30" t="str"/>
      <x:c r="S93" s="30" t="str">
        <x:v>KPI</x:v>
      </x:c>
      <x:c r="T93" s="30" t="str">
        <x:v>KPI-01</x:v>
      </x:c>
      <x:c r="U93" s="30" t="str">
        <x:v>پیاده‌سازی KPI: Impr (Impressions)</x:v>
      </x:c>
      <x:c r="V93" s="30" t="str">
        <x:v>Pending dependency review</x:v>
      </x:c>
      <x:c r="W93" s="30" t="str">
        <x:v>نیازمند تکمیل و تأیید مالک</x:v>
      </x:c>
      <x:c r="X93" s="30" t="str">
        <x:v>نیازمند تکمیل و تأیید مالک</x:v>
      </x:c>
      <x:c r="Y93" s="30" t="str">
        <x:v>Media Buyer</x:v>
      </x:c>
      <x:c r="Z93" s="30" t="n">
        <x:v>7</x:v>
      </x:c>
      <x:c r="AA93" s="30" t="n">
        <x:v>92</x:v>
      </x:c>
      <x:c r="AB93" s="30" t="str">
        <x:v>فرمول «SUM(Ad Views Rendered)» در Semantic Layer + تطبیق با پنل منبع؛ تارگت: رشد هفتگی ۵-۱۰٪ در کمپین‌های آگاهی</x:v>
      </x:c>
      <x:c r="AC93" s="30" t="str">
        <x:v>نیازمند تکمیل و تأیید مالک</x:v>
      </x:c>
      <x:c r="AD93" s="30" t="str">
        <x:v>نیازمند تکمیل و تأیید مالک</x:v>
      </x:c>
      <x:c r="AE93" s="30" t="str">
        <x:v>فرمول «SUM(Ad Views Rendered)» در Semantic Layer + تطبیق با پنل منبع؛ تارگت: رشد هفتگی ۵-۱۰٪ در کمپین‌های آگاهی</x:v>
      </x:c>
      <x:c r="AF93" s="30" t="str"/>
      <x:c r="AG93" s="30" t="str">
        <x:v>KPI-01</x:v>
      </x:c>
      <x:c r="AH93" s="30" t="str"/>
    </x:row>
    <x:row r="94">
      <x:c r="A94" s="17" t="inlineStr">
        <x:is>
          <x:t xml:space="preserve">TK-093</x:t>
        </x:is>
      </x:c>
      <x:c r="B94" s="4" t="inlineStr">
        <x:is>
          <x:t xml:space="preserve">پیاده‌سازی KPI: Reach (Reach)</x:t>
        </x:is>
      </x:c>
      <x:c r="C94" s="4" t="inlineStr">
        <x:is>
          <x:t xml:space="preserve">Implement KPI: Reach</x:t>
        </x:is>
      </x:c>
      <x:c r="D94" s="4" t="inlineStr">
        <x:is>
          <x:t xml:space="preserve">KPI</x:t>
        </x:is>
      </x:c>
      <x:c r="E94" s="4" t="inlineStr">
        <x:is>
          <x:t xml:space="preserve">KPI-02</x:t>
        </x:is>
      </x:c>
      <x:c r="F94" s="17" t="inlineStr">
        <x:is>
          <x:t xml:space="preserve">W4</x:t>
        </x:is>
      </x:c>
      <x:c r="G94" s="4" t="inlineStr">
        <x:is>
          <x:t xml:space="preserve">S2</x:t>
        </x:is>
      </x:c>
      <x:c r="H94" s="17" t="inlineStr">
        <x:is>
          <x:t xml:space="preserve">Medium</x:t>
        </x:is>
      </x:c>
      <x:c r="I94" s="4" t="inlineStr">
        <x:is>
          <x:t xml:space="preserve">Media Buyer</x:t>
        </x:is>
      </x:c>
      <x:c r="J94" s="17" t="n">
        <x:v>3</x:v>
      </x:c>
      <x:c r="K94" s="17" t="n">
        <x:v>2</x:v>
      </x:c>
      <x:c r="L94" s="18" t="n">
        <x:f>J94*2-K94</x:f>
        <x:v>4</x:v>
      </x:c>
      <x:c r="M94" s="4" t="inlineStr">
        <x:is>
          <x:t xml:space="preserve">TK-089..091</x:t>
        </x:is>
      </x:c>
      <x:c r="N94" s="4" t="inlineStr">
        <x:is>
          <x:t xml:space="preserve">فرمول «COUNT(Unique Users Exposed)» در Semantic Layer + تطبیق با پنل منبع؛ تارگت: دستیابی به ۶۰٪ جامعه فعال در استان‌های ت</x:t>
        </x:is>
      </x:c>
      <x:c r="O94" s="17" t="inlineStr">
        <x:is>
          <x:t xml:space="preserve">Proposed</x:t>
        </x:is>
      </x:c>
      <x:c r="P94" s="4" t="inlineStr">
        <x:is>
          <x:t xml:space="preserve">مدیا و تبلیغات</x:t>
        </x:is>
      </x:c>
      <x:c r="Q94" s="30" t="str">
        <x:v>TK-093</x:v>
      </x:c>
      <x:c r="R94" s="30" t="str"/>
      <x:c r="S94" s="30" t="str">
        <x:v>KPI</x:v>
      </x:c>
      <x:c r="T94" s="30" t="str">
        <x:v>KPI-02</x:v>
      </x:c>
      <x:c r="U94" s="30" t="str">
        <x:v>پیاده‌سازی KPI: Reach (Reach)</x:v>
      </x:c>
      <x:c r="V94" s="30" t="str">
        <x:v>Pending dependency review</x:v>
      </x:c>
      <x:c r="W94" s="30" t="str">
        <x:v>نیازمند تکمیل و تأیید مالک</x:v>
      </x:c>
      <x:c r="X94" s="30" t="str">
        <x:v>نیازمند تکمیل و تأیید مالک</x:v>
      </x:c>
      <x:c r="Y94" s="30" t="str">
        <x:v>Media Buyer</x:v>
      </x:c>
      <x:c r="Z94" s="30" t="n">
        <x:v>7</x:v>
      </x:c>
      <x:c r="AA94" s="30" t="n">
        <x:v>93</x:v>
      </x:c>
      <x:c r="AB94" s="30" t="str">
        <x:v>فرمول «COUNT(Unique Users Exposed)» در Semantic Layer + تطبیق با پنل منبع؛ تارگت: دستیابی به ۶۰٪ جامعه فعال در استان‌های ت</x:v>
      </x:c>
      <x:c r="AC94" s="30" t="str">
        <x:v>نیازمند تکمیل و تأیید مالک</x:v>
      </x:c>
      <x:c r="AD94" s="30" t="str">
        <x:v>نیازمند تکمیل و تأیید مالک</x:v>
      </x:c>
      <x:c r="AE94" s="30" t="str">
        <x:v>فرمول «COUNT(Unique Users Exposed)» در Semantic Layer + تطبیق با پنل منبع؛ تارگت: دستیابی به ۶۰٪ جامعه فعال در استان‌های ت</x:v>
      </x:c>
      <x:c r="AF94" s="30" t="str"/>
      <x:c r="AG94" s="30" t="str">
        <x:v>KPI-02</x:v>
      </x:c>
      <x:c r="AH94" s="30" t="str"/>
    </x:row>
    <x:row r="95">
      <x:c r="A95" s="19" t="inlineStr">
        <x:is>
          <x:t xml:space="preserve">TK-094</x:t>
        </x:is>
      </x:c>
      <x:c r="B95" s="6" t="inlineStr">
        <x:is>
          <x:t xml:space="preserve">پیاده‌سازی KPI: Freq (Frequency)</x:t>
        </x:is>
      </x:c>
      <x:c r="C95" s="6" t="inlineStr">
        <x:is>
          <x:t xml:space="preserve">Implement KPI: Frequency</x:t>
        </x:is>
      </x:c>
      <x:c r="D95" s="6" t="inlineStr">
        <x:is>
          <x:t xml:space="preserve">KPI</x:t>
        </x:is>
      </x:c>
      <x:c r="E95" s="6" t="inlineStr">
        <x:is>
          <x:t xml:space="preserve">KPI-03</x:t>
        </x:is>
      </x:c>
      <x:c r="F95" s="19" t="inlineStr">
        <x:is>
          <x:t xml:space="preserve">W4</x:t>
        </x:is>
      </x:c>
      <x:c r="G95" s="6" t="inlineStr">
        <x:is>
          <x:t xml:space="preserve">S2</x:t>
        </x:is>
      </x:c>
      <x:c r="H95" s="19" t="inlineStr">
        <x:is>
          <x:t xml:space="preserve">High</x:t>
        </x:is>
      </x:c>
      <x:c r="I95" s="6" t="inlineStr">
        <x:is>
          <x:t xml:space="preserve">Media Buyer</x:t>
        </x:is>
      </x:c>
      <x:c r="J95" s="19" t="n">
        <x:v>4</x:v>
      </x:c>
      <x:c r="K95" s="19" t="n">
        <x:v>2</x:v>
      </x:c>
      <x:c r="L95" s="18" t="n">
        <x:f>J95*2-K95</x:f>
        <x:v>6</x:v>
      </x:c>
      <x:c r="M95" s="6" t="inlineStr">
        <x:is>
          <x:t xml:space="preserve">TK-089..091</x:t>
        </x:is>
      </x:c>
      <x:c r="N95" s="6" t="inlineStr">
        <x:is>
          <x:t xml:space="preserve">فرمول «Impressions / Reach» در Semantic Layer + تطبیق با پنل منبع؛ تارگت: ۲.۲ تا ۳.۵ در ۷ روز برای ریتارگتینگ</x:t>
        </x:is>
      </x:c>
      <x:c r="O95" s="19" t="inlineStr">
        <x:is>
          <x:t xml:space="preserve">Proposed</x:t>
        </x:is>
      </x:c>
      <x:c r="P95" s="6" t="inlineStr">
        <x:is>
          <x:t xml:space="preserve">مدیا و تبلیغات</x:t>
        </x:is>
      </x:c>
      <x:c r="Q95" s="30" t="str">
        <x:v>TK-094</x:v>
      </x:c>
      <x:c r="R95" s="30" t="str"/>
      <x:c r="S95" s="30" t="str">
        <x:v>KPI</x:v>
      </x:c>
      <x:c r="T95" s="30" t="str">
        <x:v>KPI-03</x:v>
      </x:c>
      <x:c r="U95" s="30" t="str">
        <x:v>پیاده‌سازی KPI: Freq (Frequency)</x:v>
      </x:c>
      <x:c r="V95" s="30" t="str">
        <x:v>Pending dependency review</x:v>
      </x:c>
      <x:c r="W95" s="30" t="str">
        <x:v>نیازمند تکمیل و تأیید مالک</x:v>
      </x:c>
      <x:c r="X95" s="30" t="str">
        <x:v>نیازمند تکمیل و تأیید مالک</x:v>
      </x:c>
      <x:c r="Y95" s="30" t="str">
        <x:v>Media Buyer</x:v>
      </x:c>
      <x:c r="Z95" s="30" t="n">
        <x:v>7</x:v>
      </x:c>
      <x:c r="AA95" s="30" t="n">
        <x:v>94</x:v>
      </x:c>
      <x:c r="AB95" s="30" t="str">
        <x:v>فرمول «Impressions / Reach» در Semantic Layer + تطبیق با پنل منبع؛ تارگت: ۲.۲ تا ۳.۵ در ۷ روز برای ریتارگتینگ</x:v>
      </x:c>
      <x:c r="AC95" s="30" t="str">
        <x:v>نیازمند تکمیل و تأیید مالک</x:v>
      </x:c>
      <x:c r="AD95" s="30" t="str">
        <x:v>نیازمند تکمیل و تأیید مالک</x:v>
      </x:c>
      <x:c r="AE95" s="30" t="str">
        <x:v>فرمول «Impressions / Reach» در Semantic Layer + تطبیق با پنل منبع؛ تارگت: ۲.۲ تا ۳.۵ در ۷ روز برای ریتارگتینگ</x:v>
      </x:c>
      <x:c r="AF95" s="30" t="str"/>
      <x:c r="AG95" s="30" t="str">
        <x:v>KPI-03</x:v>
      </x:c>
      <x:c r="AH95" s="30" t="str"/>
    </x:row>
    <x:row r="96">
      <x:c r="A96" s="17" t="inlineStr">
        <x:is>
          <x:t xml:space="preserve">TK-095</x:t>
        </x:is>
      </x:c>
      <x:c r="B96" s="4" t="inlineStr">
        <x:is>
          <x:t xml:space="preserve">پیاده‌سازی KPI: Clicks (Total Clicks)</x:t>
        </x:is>
      </x:c>
      <x:c r="C96" s="4" t="inlineStr">
        <x:is>
          <x:t xml:space="preserve">Implement KPI: Total Clicks</x:t>
        </x:is>
      </x:c>
      <x:c r="D96" s="4" t="inlineStr">
        <x:is>
          <x:t xml:space="preserve">KPI</x:t>
        </x:is>
      </x:c>
      <x:c r="E96" s="4" t="inlineStr">
        <x:is>
          <x:t xml:space="preserve">KPI-04</x:t>
        </x:is>
      </x:c>
      <x:c r="F96" s="17" t="inlineStr">
        <x:is>
          <x:t xml:space="preserve">W4</x:t>
        </x:is>
      </x:c>
      <x:c r="G96" s="4" t="inlineStr">
        <x:is>
          <x:t xml:space="preserve">S2</x:t>
        </x:is>
      </x:c>
      <x:c r="H96" s="17" t="inlineStr">
        <x:is>
          <x:t xml:space="preserve">Medium</x:t>
        </x:is>
      </x:c>
      <x:c r="I96" s="4" t="inlineStr">
        <x:is>
          <x:t xml:space="preserve">Media Buyer</x:t>
        </x:is>
      </x:c>
      <x:c r="J96" s="17" t="n">
        <x:v>3</x:v>
      </x:c>
      <x:c r="K96" s="17" t="n">
        <x:v>2</x:v>
      </x:c>
      <x:c r="L96" s="18" t="n">
        <x:f>J96*2-K96</x:f>
        <x:v>4</x:v>
      </x:c>
      <x:c r="M96" s="4" t="inlineStr">
        <x:is>
          <x:t xml:space="preserve">TK-089..091</x:t>
        </x:is>
      </x:c>
      <x:c r="N96" s="4" t="inlineStr">
        <x:is>
          <x:t xml:space="preserve">فرمول «SUM(All Registered Click Actions)» در Semantic Layer + تطبیق با پنل منبع؛ تارگت: پایش روند موازی با هزینه</x:t>
        </x:is>
      </x:c>
      <x:c r="O96" s="17" t="inlineStr">
        <x:is>
          <x:t xml:space="preserve">Proposed</x:t>
        </x:is>
      </x:c>
      <x:c r="P96" s="4" t="inlineStr">
        <x:is>
          <x:t xml:space="preserve">مدیا و تبلیغات</x:t>
        </x:is>
      </x:c>
      <x:c r="Q96" s="30" t="str">
        <x:v>TK-095</x:v>
      </x:c>
      <x:c r="R96" s="30" t="str"/>
      <x:c r="S96" s="30" t="str">
        <x:v>KPI</x:v>
      </x:c>
      <x:c r="T96" s="30" t="str">
        <x:v>KPI-04</x:v>
      </x:c>
      <x:c r="U96" s="30" t="str">
        <x:v>پیاده‌سازی KPI: Clicks (Total Clicks)</x:v>
      </x:c>
      <x:c r="V96" s="30" t="str">
        <x:v>Pending dependency review</x:v>
      </x:c>
      <x:c r="W96" s="30" t="str">
        <x:v>نیازمند تکمیل و تأیید مالک</x:v>
      </x:c>
      <x:c r="X96" s="30" t="str">
        <x:v>نیازمند تکمیل و تأیید مالک</x:v>
      </x:c>
      <x:c r="Y96" s="30" t="str">
        <x:v>Media Buyer</x:v>
      </x:c>
      <x:c r="Z96" s="30" t="n">
        <x:v>7</x:v>
      </x:c>
      <x:c r="AA96" s="30" t="n">
        <x:v>95</x:v>
      </x:c>
      <x:c r="AB96" s="30" t="str">
        <x:v>فرمول «SUM(All Registered Click Actions)» در Semantic Layer + تطبیق با پنل منبع؛ تارگت: پایش روند موازی با هزینه</x:v>
      </x:c>
      <x:c r="AC96" s="30" t="str">
        <x:v>نیازمند تکمیل و تأیید مالک</x:v>
      </x:c>
      <x:c r="AD96" s="30" t="str">
        <x:v>نیازمند تکمیل و تأیید مالک</x:v>
      </x:c>
      <x:c r="AE96" s="30" t="str">
        <x:v>فرمول «SUM(All Registered Click Actions)» در Semantic Layer + تطبیق با پنل منبع؛ تارگت: پایش روند موازی با هزینه</x:v>
      </x:c>
      <x:c r="AF96" s="30" t="str"/>
      <x:c r="AG96" s="30" t="str">
        <x:v>KPI-04</x:v>
      </x:c>
      <x:c r="AH96" s="30" t="str"/>
    </x:row>
    <x:row r="97">
      <x:c r="A97" s="19" t="inlineStr">
        <x:is>
          <x:t xml:space="preserve">TK-096</x:t>
        </x:is>
      </x:c>
      <x:c r="B97" s="6" t="inlineStr">
        <x:is>
          <x:t xml:space="preserve">پیاده‌سازی KPI: Outbound Clicks (Link Clicks)</x:t>
        </x:is>
      </x:c>
      <x:c r="C97" s="6" t="inlineStr">
        <x:is>
          <x:t xml:space="preserve">Implement KPI: Link Clicks</x:t>
        </x:is>
      </x:c>
      <x:c r="D97" s="6" t="inlineStr">
        <x:is>
          <x:t xml:space="preserve">KPI</x:t>
        </x:is>
      </x:c>
      <x:c r="E97" s="6" t="inlineStr">
        <x:is>
          <x:t xml:space="preserve">KPI-05</x:t>
        </x:is>
      </x:c>
      <x:c r="F97" s="19" t="inlineStr">
        <x:is>
          <x:t xml:space="preserve">W4</x:t>
        </x:is>
      </x:c>
      <x:c r="G97" s="6" t="inlineStr">
        <x:is>
          <x:t xml:space="preserve">S2</x:t>
        </x:is>
      </x:c>
      <x:c r="H97" s="19" t="inlineStr">
        <x:is>
          <x:t xml:space="preserve">High</x:t>
        </x:is>
      </x:c>
      <x:c r="I97" s="6" t="inlineStr">
        <x:is>
          <x:t xml:space="preserve">Media Buyer</x:t>
        </x:is>
      </x:c>
      <x:c r="J97" s="19" t="n">
        <x:v>4</x:v>
      </x:c>
      <x:c r="K97" s="19" t="n">
        <x:v>2</x:v>
      </x:c>
      <x:c r="L97" s="18" t="n">
        <x:f>J97*2-K97</x:f>
        <x:v>6</x:v>
      </x:c>
      <x:c r="M97" s="6" t="inlineStr">
        <x:is>
          <x:t xml:space="preserve">TK-089..091</x:t>
        </x:is>
      </x:c>
      <x:c r="N97" s="6" t="inlineStr">
        <x:is>
          <x:t xml:space="preserve">فرمول «SUM(Clicks on Destination URL)» در Semantic Layer + تطبیق با پنل منبع؛ تارگت: حداقل ۷۵٪ کل کلیک‌های ترافیکی Link Click</x:t>
        </x:is>
      </x:c>
      <x:c r="O97" s="19" t="inlineStr">
        <x:is>
          <x:t xml:space="preserve">Proposed</x:t>
        </x:is>
      </x:c>
      <x:c r="P97" s="6" t="inlineStr">
        <x:is>
          <x:t xml:space="preserve">مدیا و تبلیغات</x:t>
        </x:is>
      </x:c>
      <x:c r="Q97" s="30" t="str">
        <x:v>TK-096</x:v>
      </x:c>
      <x:c r="R97" s="30" t="str"/>
      <x:c r="S97" s="30" t="str">
        <x:v>KPI</x:v>
      </x:c>
      <x:c r="T97" s="30" t="str">
        <x:v>KPI-05</x:v>
      </x:c>
      <x:c r="U97" s="30" t="str">
        <x:v>پیاده‌سازی KPI: Outbound Clicks (Link Clicks)</x:v>
      </x:c>
      <x:c r="V97" s="30" t="str">
        <x:v>Pending dependency review</x:v>
      </x:c>
      <x:c r="W97" s="30" t="str">
        <x:v>نیازمند تکمیل و تأیید مالک</x:v>
      </x:c>
      <x:c r="X97" s="30" t="str">
        <x:v>نیازمند تکمیل و تأیید مالک</x:v>
      </x:c>
      <x:c r="Y97" s="30" t="str">
        <x:v>Media Buyer</x:v>
      </x:c>
      <x:c r="Z97" s="30" t="n">
        <x:v>7</x:v>
      </x:c>
      <x:c r="AA97" s="30" t="n">
        <x:v>96</x:v>
      </x:c>
      <x:c r="AB97" s="30" t="str">
        <x:v>فرمول «SUM(Clicks on Destination URL)» در Semantic Layer + تطبیق با پنل منبع؛ تارگت: حداقل ۷۵٪ کل کلیک‌های ترافیکی Link Click</x:v>
      </x:c>
      <x:c r="AC97" s="30" t="str">
        <x:v>نیازمند تکمیل و تأیید مالک</x:v>
      </x:c>
      <x:c r="AD97" s="30" t="str">
        <x:v>نیازمند تکمیل و تأیید مالک</x:v>
      </x:c>
      <x:c r="AE97" s="30" t="str">
        <x:v>فرمول «SUM(Clicks on Destination URL)» در Semantic Layer + تطبیق با پنل منبع؛ تارگت: حداقل ۷۵٪ کل کلیک‌های ترافیکی Link Click</x:v>
      </x:c>
      <x:c r="AF97" s="30" t="str"/>
      <x:c r="AG97" s="30" t="str">
        <x:v>KPI-05</x:v>
      </x:c>
      <x:c r="AH97" s="30" t="str"/>
    </x:row>
    <x:row r="98">
      <x:c r="A98" s="17" t="inlineStr">
        <x:is>
          <x:t xml:space="preserve">TK-097</x:t>
        </x:is>
      </x:c>
      <x:c r="B98" s="4" t="inlineStr">
        <x:is>
          <x:t xml:space="preserve">پیاده‌سازی KPI: CTR (Click-Through Rate)</x:t>
        </x:is>
      </x:c>
      <x:c r="C98" s="4" t="inlineStr">
        <x:is>
          <x:t xml:space="preserve">Implement KPI: Click-Through Rate</x:t>
        </x:is>
      </x:c>
      <x:c r="D98" s="4" t="inlineStr">
        <x:is>
          <x:t xml:space="preserve">KPI</x:t>
        </x:is>
      </x:c>
      <x:c r="E98" s="4" t="inlineStr">
        <x:is>
          <x:t xml:space="preserve">KPI-06</x:t>
        </x:is>
      </x:c>
      <x:c r="F98" s="17" t="inlineStr">
        <x:is>
          <x:t xml:space="preserve">W4</x:t>
        </x:is>
      </x:c>
      <x:c r="G98" s="4" t="inlineStr">
        <x:is>
          <x:t xml:space="preserve">S2</x:t>
        </x:is>
      </x:c>
      <x:c r="H98" s="17" t="inlineStr">
        <x:is>
          <x:t xml:space="preserve">Critical</x:t>
        </x:is>
      </x:c>
      <x:c r="I98" s="4" t="inlineStr">
        <x:is>
          <x:t xml:space="preserve">Media Buyer</x:t>
        </x:is>
      </x:c>
      <x:c r="J98" s="17" t="n">
        <x:v>5</x:v>
      </x:c>
      <x:c r="K98" s="17" t="n">
        <x:v>2</x:v>
      </x:c>
      <x:c r="L98" s="18" t="n">
        <x:f>J98*2-K98</x:f>
        <x:v>8</x:v>
      </x:c>
      <x:c r="M98" s="4" t="inlineStr">
        <x:is>
          <x:t xml:space="preserve">TK-089..091</x:t>
        </x:is>
      </x:c>
      <x:c r="N98" s="4" t="inlineStr">
        <x:is>
          <x:t xml:space="preserve">فرمول «(Total Clicks / Impressions) × 100» در Semantic Layer + تطبیق با پنل منبع؛ تارگت: گوگل سرچ &gt; 4.5٪ | اینستاگرام &gt; 1.2٪</x:t>
        </x:is>
      </x:c>
      <x:c r="O98" s="17" t="inlineStr">
        <x:is>
          <x:t xml:space="preserve">Proposed</x:t>
        </x:is>
      </x:c>
      <x:c r="P98" s="4" t="inlineStr">
        <x:is>
          <x:t xml:space="preserve">مدیا و تبلیغات</x:t>
        </x:is>
      </x:c>
      <x:c r="Q98" s="30" t="str">
        <x:v>TK-097</x:v>
      </x:c>
      <x:c r="R98" s="30" t="str"/>
      <x:c r="S98" s="30" t="str">
        <x:v>KPI</x:v>
      </x:c>
      <x:c r="T98" s="30" t="str">
        <x:v>KPI-06</x:v>
      </x:c>
      <x:c r="U98" s="30" t="str">
        <x:v>پیاده‌سازی KPI: CTR (Click-Through Rate)</x:v>
      </x:c>
      <x:c r="V98" s="30" t="str">
        <x:v>Pending dependency review</x:v>
      </x:c>
      <x:c r="W98" s="30" t="str">
        <x:v>نیازمند تکمیل و تأیید مالک</x:v>
      </x:c>
      <x:c r="X98" s="30" t="str">
        <x:v>نیازمند تکمیل و تأیید مالک</x:v>
      </x:c>
      <x:c r="Y98" s="30" t="str">
        <x:v>Media Buyer</x:v>
      </x:c>
      <x:c r="Z98" s="30" t="n">
        <x:v>7</x:v>
      </x:c>
      <x:c r="AA98" s="30" t="n">
        <x:v>97</x:v>
      </x:c>
      <x:c r="AB98" s="30" t="str">
        <x:v>فرمول «(Total Clicks / Impressions) × 100» در Semantic Layer + تطبیق با پنل منبع؛ تارگت: گوگل سرچ &gt; 4.5٪ | اینستاگرام &gt; 1.2٪</x:v>
      </x:c>
      <x:c r="AC98" s="30" t="str">
        <x:v>نیازمند تکمیل و تأیید مالک</x:v>
      </x:c>
      <x:c r="AD98" s="30" t="str">
        <x:v>نیازمند تکمیل و تأیید مالک</x:v>
      </x:c>
      <x:c r="AE98" s="30" t="str">
        <x:v>فرمول «(Total Clicks / Impressions) × 100» در Semantic Layer + تطبیق با پنل منبع؛ تارگت: گوگل سرچ &gt; 4.5٪ | اینستاگرام &gt; 1.2٪</x:v>
      </x:c>
      <x:c r="AF98" s="30" t="str"/>
      <x:c r="AG98" s="30" t="str">
        <x:v>KPI-06</x:v>
      </x:c>
      <x:c r="AH98" s="30" t="str"/>
    </x:row>
    <x:row r="99">
      <x:c r="A99" s="19" t="inlineStr">
        <x:is>
          <x:t xml:space="preserve">TK-098</x:t>
        </x:is>
      </x:c>
      <x:c r="B99" s="6" t="inlineStr">
        <x:is>
          <x:t xml:space="preserve">پیاده‌سازی KPI: uCTR (Unique CTR)</x:t>
        </x:is>
      </x:c>
      <x:c r="C99" s="6" t="inlineStr">
        <x:is>
          <x:t xml:space="preserve">Implement KPI: Unique CTR</x:t>
        </x:is>
      </x:c>
      <x:c r="D99" s="6" t="inlineStr">
        <x:is>
          <x:t xml:space="preserve">KPI</x:t>
        </x:is>
      </x:c>
      <x:c r="E99" s="6" t="inlineStr">
        <x:is>
          <x:t xml:space="preserve">KPI-07</x:t>
        </x:is>
      </x:c>
      <x:c r="F99" s="19" t="inlineStr">
        <x:is>
          <x:t xml:space="preserve">W4</x:t>
        </x:is>
      </x:c>
      <x:c r="G99" s="6" t="inlineStr">
        <x:is>
          <x:t xml:space="preserve">S2</x:t>
        </x:is>
      </x:c>
      <x:c r="H99" s="19" t="inlineStr">
        <x:is>
          <x:t xml:space="preserve">Medium</x:t>
        </x:is>
      </x:c>
      <x:c r="I99" s="6" t="inlineStr">
        <x:is>
          <x:t xml:space="preserve">Media Buyer</x:t>
        </x:is>
      </x:c>
      <x:c r="J99" s="19" t="n">
        <x:v>3</x:v>
      </x:c>
      <x:c r="K99" s="19" t="n">
        <x:v>2</x:v>
      </x:c>
      <x:c r="L99" s="18" t="n">
        <x:f>J99*2-K99</x:f>
        <x:v>4</x:v>
      </x:c>
      <x:c r="M99" s="6" t="inlineStr">
        <x:is>
          <x:t xml:space="preserve">TK-089..091</x:t>
        </x:is>
      </x:c>
      <x:c r="N99" s="6" t="inlineStr">
        <x:is>
          <x:t xml:space="preserve">فرمول «(Unique Clicks / Reach) × 100» در Semantic Layer + تطبیق با پنل منبع؛ تارگت: بالای ۰.۹٪ در اینستاگرام</x:t>
        </x:is>
      </x:c>
      <x:c r="O99" s="19" t="inlineStr">
        <x:is>
          <x:t xml:space="preserve">Proposed</x:t>
        </x:is>
      </x:c>
      <x:c r="P99" s="6" t="inlineStr">
        <x:is>
          <x:t xml:space="preserve">مدیا و تبلیغات</x:t>
        </x:is>
      </x:c>
      <x:c r="Q99" s="30" t="str">
        <x:v>TK-098</x:v>
      </x:c>
      <x:c r="R99" s="30" t="str"/>
      <x:c r="S99" s="30" t="str">
        <x:v>KPI</x:v>
      </x:c>
      <x:c r="T99" s="30" t="str">
        <x:v>KPI-07</x:v>
      </x:c>
      <x:c r="U99" s="30" t="str">
        <x:v>پیاده‌سازی KPI: uCTR (Unique CTR)</x:v>
      </x:c>
      <x:c r="V99" s="30" t="str">
        <x:v>Pending dependency review</x:v>
      </x:c>
      <x:c r="W99" s="30" t="str">
        <x:v>نیازمند تکمیل و تأیید مالک</x:v>
      </x:c>
      <x:c r="X99" s="30" t="str">
        <x:v>نیازمند تکمیل و تأیید مالک</x:v>
      </x:c>
      <x:c r="Y99" s="30" t="str">
        <x:v>Media Buyer</x:v>
      </x:c>
      <x:c r="Z99" s="30" t="n">
        <x:v>7</x:v>
      </x:c>
      <x:c r="AA99" s="30" t="n">
        <x:v>98</x:v>
      </x:c>
      <x:c r="AB99" s="30" t="str">
        <x:v>فرمول «(Unique Clicks / Reach) × 100» در Semantic Layer + تطبیق با پنل منبع؛ تارگت: بالای ۰.۹٪ در اینستاگرام</x:v>
      </x:c>
      <x:c r="AC99" s="30" t="str">
        <x:v>نیازمند تکمیل و تأیید مالک</x:v>
      </x:c>
      <x:c r="AD99" s="30" t="str">
        <x:v>نیازمند تکمیل و تأیید مالک</x:v>
      </x:c>
      <x:c r="AE99" s="30" t="str">
        <x:v>فرمول «(Unique Clicks / Reach) × 100» در Semantic Layer + تطبیق با پنل منبع؛ تارگت: بالای ۰.۹٪ در اینستاگرام</x:v>
      </x:c>
      <x:c r="AF99" s="30" t="str"/>
      <x:c r="AG99" s="30" t="str">
        <x:v>KPI-07</x:v>
      </x:c>
      <x:c r="AH99" s="30" t="str"/>
    </x:row>
    <x:row r="100">
      <x:c r="A100" s="17" t="inlineStr">
        <x:is>
          <x:t xml:space="preserve">TK-099</x:t>
        </x:is>
      </x:c>
      <x:c r="B100" s="4" t="inlineStr">
        <x:is>
          <x:t xml:space="preserve">پیاده‌سازی KPI: CPC (Cost Per Click)</x:t>
        </x:is>
      </x:c>
      <x:c r="C100" s="4" t="inlineStr">
        <x:is>
          <x:t xml:space="preserve">Implement KPI: Cost Per Click</x:t>
        </x:is>
      </x:c>
      <x:c r="D100" s="4" t="inlineStr">
        <x:is>
          <x:t xml:space="preserve">KPI</x:t>
        </x:is>
      </x:c>
      <x:c r="E100" s="4" t="inlineStr">
        <x:is>
          <x:t xml:space="preserve">KPI-08</x:t>
        </x:is>
      </x:c>
      <x:c r="F100" s="17" t="inlineStr">
        <x:is>
          <x:t xml:space="preserve">W4</x:t>
        </x:is>
      </x:c>
      <x:c r="G100" s="4" t="inlineStr">
        <x:is>
          <x:t xml:space="preserve">S2</x:t>
        </x:is>
      </x:c>
      <x:c r="H100" s="17" t="inlineStr">
        <x:is>
          <x:t xml:space="preserve">Critical</x:t>
        </x:is>
      </x:c>
      <x:c r="I100" s="4" t="inlineStr">
        <x:is>
          <x:t xml:space="preserve">Media Buyer</x:t>
        </x:is>
      </x:c>
      <x:c r="J100" s="17" t="n">
        <x:v>5</x:v>
      </x:c>
      <x:c r="K100" s="17" t="n">
        <x:v>2</x:v>
      </x:c>
      <x:c r="L100" s="18" t="n">
        <x:f>J100*2-K100</x:f>
        <x:v>8</x:v>
      </x:c>
      <x:c r="M100" s="4" t="inlineStr">
        <x:is>
          <x:t xml:space="preserve">TK-089..091</x:t>
        </x:is>
      </x:c>
      <x:c r="N100" s="4" t="inlineStr">
        <x:is>
          <x:t xml:space="preserve">فرمول «Total Spend / Total Clicks» در Semantic Layer + تطبیق با پنل منبع؛ تارگت: تجهیزات سرچ &lt; 25,000 ریال | مواد &lt; 12,00</x:t>
        </x:is>
      </x:c>
      <x:c r="O100" s="17" t="inlineStr">
        <x:is>
          <x:t xml:space="preserve">Proposed</x:t>
        </x:is>
      </x:c>
      <x:c r="P100" s="4" t="inlineStr">
        <x:is>
          <x:t xml:space="preserve">مدیا و تبلیغات</x:t>
        </x:is>
      </x:c>
      <x:c r="Q100" s="30" t="str">
        <x:v>TK-099</x:v>
      </x:c>
      <x:c r="R100" s="30" t="str"/>
      <x:c r="S100" s="30" t="str">
        <x:v>KPI</x:v>
      </x:c>
      <x:c r="T100" s="30" t="str">
        <x:v>KPI-08</x:v>
      </x:c>
      <x:c r="U100" s="30" t="str">
        <x:v>پیاده‌سازی KPI: CPC (Cost Per Click)</x:v>
      </x:c>
      <x:c r="V100" s="30" t="str">
        <x:v>Pending dependency review</x:v>
      </x:c>
      <x:c r="W100" s="30" t="str">
        <x:v>نیازمند تکمیل و تأیید مالک</x:v>
      </x:c>
      <x:c r="X100" s="30" t="str">
        <x:v>نیازمند تکمیل و تأیید مالک</x:v>
      </x:c>
      <x:c r="Y100" s="30" t="str">
        <x:v>Media Buyer</x:v>
      </x:c>
      <x:c r="Z100" s="30" t="n">
        <x:v>7</x:v>
      </x:c>
      <x:c r="AA100" s="30" t="n">
        <x:v>99</x:v>
      </x:c>
      <x:c r="AB100" s="30" t="str">
        <x:v>فرمول «Total Spend / Total Clicks» در Semantic Layer + تطبیق با پنل منبع؛ تارگت: تجهیزات سرچ &lt; 25,000 ریال | مواد &lt; 12,00</x:v>
      </x:c>
      <x:c r="AC100" s="30" t="str">
        <x:v>نیازمند تکمیل و تأیید مالک</x:v>
      </x:c>
      <x:c r="AD100" s="30" t="str">
        <x:v>نیازمند تکمیل و تأیید مالک</x:v>
      </x:c>
      <x:c r="AE100" s="30" t="str">
        <x:v>فرمول «Total Spend / Total Clicks» در Semantic Layer + تطبیق با پنل منبع؛ تارگت: تجهیزات سرچ &lt; 25,000 ریال | مواد &lt; 12,00</x:v>
      </x:c>
      <x:c r="AF100" s="30" t="str"/>
      <x:c r="AG100" s="30" t="str">
        <x:v>KPI-08</x:v>
      </x:c>
      <x:c r="AH100" s="30" t="str"/>
    </x:row>
    <x:row r="101">
      <x:c r="A101" s="19" t="inlineStr">
        <x:is>
          <x:t xml:space="preserve">TK-100</x:t>
        </x:is>
      </x:c>
      <x:c r="B101" s="6" t="inlineStr">
        <x:is>
          <x:t xml:space="preserve">پیاده‌سازی KPI: CPM (Cost Per Mille)</x:t>
        </x:is>
      </x:c>
      <x:c r="C101" s="6" t="inlineStr">
        <x:is>
          <x:t xml:space="preserve">Implement KPI: Cost Per Mille</x:t>
        </x:is>
      </x:c>
      <x:c r="D101" s="6" t="inlineStr">
        <x:is>
          <x:t xml:space="preserve">KPI</x:t>
        </x:is>
      </x:c>
      <x:c r="E101" s="6" t="inlineStr">
        <x:is>
          <x:t xml:space="preserve">KPI-09</x:t>
        </x:is>
      </x:c>
      <x:c r="F101" s="19" t="inlineStr">
        <x:is>
          <x:t xml:space="preserve">W4</x:t>
        </x:is>
      </x:c>
      <x:c r="G101" s="6" t="inlineStr">
        <x:is>
          <x:t xml:space="preserve">S2</x:t>
        </x:is>
      </x:c>
      <x:c r="H101" s="19" t="inlineStr">
        <x:is>
          <x:t xml:space="preserve">Medium</x:t>
        </x:is>
      </x:c>
      <x:c r="I101" s="6" t="inlineStr">
        <x:is>
          <x:t xml:space="preserve">Media Buyer</x:t>
        </x:is>
      </x:c>
      <x:c r="J101" s="19" t="n">
        <x:v>3</x:v>
      </x:c>
      <x:c r="K101" s="19" t="n">
        <x:v>2</x:v>
      </x:c>
      <x:c r="L101" s="18" t="n">
        <x:f>J101*2-K101</x:f>
        <x:v>4</x:v>
      </x:c>
      <x:c r="M101" s="6" t="inlineStr">
        <x:is>
          <x:t xml:space="preserve">TK-089..091</x:t>
        </x:is>
      </x:c>
      <x:c r="N101" s="6" t="inlineStr">
        <x:is>
          <x:t xml:space="preserve">فرمول «(Total Spend / Impressions) × 1000» در Semantic Layer + تطبیق با پنل منبع؛ تارگت: متا دندان‌پزشکی: ۳.۵ تا ۶.۵ دلار</x:t>
        </x:is>
      </x:c>
      <x:c r="O101" s="19" t="inlineStr">
        <x:is>
          <x:t xml:space="preserve">Proposed</x:t>
        </x:is>
      </x:c>
      <x:c r="P101" s="6" t="inlineStr">
        <x:is>
          <x:t xml:space="preserve">مدیا و تبلیغات</x:t>
        </x:is>
      </x:c>
      <x:c r="Q101" s="30" t="str">
        <x:v>TK-100</x:v>
      </x:c>
      <x:c r="R101" s="30" t="str"/>
      <x:c r="S101" s="30" t="str">
        <x:v>KPI</x:v>
      </x:c>
      <x:c r="T101" s="30" t="str">
        <x:v>KPI-09</x:v>
      </x:c>
      <x:c r="U101" s="30" t="str">
        <x:v>پیاده‌سازی KPI: CPM (Cost Per Mille)</x:v>
      </x:c>
      <x:c r="V101" s="30" t="str">
        <x:v>Pending dependency review</x:v>
      </x:c>
      <x:c r="W101" s="30" t="str">
        <x:v>نیازمند تکمیل و تأیید مالک</x:v>
      </x:c>
      <x:c r="X101" s="30" t="str">
        <x:v>نیازمند تکمیل و تأیید مالک</x:v>
      </x:c>
      <x:c r="Y101" s="30" t="str">
        <x:v>Media Buyer</x:v>
      </x:c>
      <x:c r="Z101" s="30" t="n">
        <x:v>7</x:v>
      </x:c>
      <x:c r="AA101" s="30" t="n">
        <x:v>100</x:v>
      </x:c>
      <x:c r="AB101" s="30" t="str">
        <x:v>فرمول «(Total Spend / Impressions) × 1000» در Semantic Layer + تطبیق با پنل منبع؛ تارگت: متا دندان‌پزشکی: ۳.۵ تا ۶.۵ دلار</x:v>
      </x:c>
      <x:c r="AC101" s="30" t="str">
        <x:v>نیازمند تکمیل و تأیید مالک</x:v>
      </x:c>
      <x:c r="AD101" s="30" t="str">
        <x:v>نیازمند تکمیل و تأیید مالک</x:v>
      </x:c>
      <x:c r="AE101" s="30" t="str">
        <x:v>فرمول «(Total Spend / Impressions) × 1000» در Semantic Layer + تطبیق با پنل منبع؛ تارگت: متا دندان‌پزشکی: ۳.۵ تا ۶.۵ دلار</x:v>
      </x:c>
      <x:c r="AF101" s="30" t="str"/>
      <x:c r="AG101" s="30" t="str">
        <x:v>KPI-09</x:v>
      </x:c>
      <x:c r="AH101" s="30" t="str"/>
    </x:row>
    <x:row r="102">
      <x:c r="A102" s="17" t="inlineStr">
        <x:is>
          <x:t xml:space="preserve">TK-101</x:t>
        </x:is>
      </x:c>
      <x:c r="B102" s="4" t="inlineStr">
        <x:is>
          <x:t xml:space="preserve">پیاده‌سازی KPI: CPLPV (Cost per Landing Page View)</x:t>
        </x:is>
      </x:c>
      <x:c r="C102" s="4" t="inlineStr">
        <x:is>
          <x:t xml:space="preserve">Implement KPI: Cost per Landing Page View</x:t>
        </x:is>
      </x:c>
      <x:c r="D102" s="4" t="inlineStr">
        <x:is>
          <x:t xml:space="preserve">KPI</x:t>
        </x:is>
      </x:c>
      <x:c r="E102" s="4" t="inlineStr">
        <x:is>
          <x:t xml:space="preserve">KPI-10</x:t>
        </x:is>
      </x:c>
      <x:c r="F102" s="17" t="inlineStr">
        <x:is>
          <x:t xml:space="preserve">W4</x:t>
        </x:is>
      </x:c>
      <x:c r="G102" s="4" t="inlineStr">
        <x:is>
          <x:t xml:space="preserve">S2</x:t>
        </x:is>
      </x:c>
      <x:c r="H102" s="17" t="inlineStr">
        <x:is>
          <x:t xml:space="preserve">High</x:t>
        </x:is>
      </x:c>
      <x:c r="I102" s="4" t="inlineStr">
        <x:is>
          <x:t xml:space="preserve">Media Buyer</x:t>
        </x:is>
      </x:c>
      <x:c r="J102" s="17" t="n">
        <x:v>4</x:v>
      </x:c>
      <x:c r="K102" s="17" t="n">
        <x:v>2</x:v>
      </x:c>
      <x:c r="L102" s="18" t="n">
        <x:f>J102*2-K102</x:f>
        <x:v>6</x:v>
      </x:c>
      <x:c r="M102" s="4" t="inlineStr">
        <x:is>
          <x:t xml:space="preserve">TK-089..091</x:t>
        </x:is>
      </x:c>
      <x:c r="N102" s="4" t="inlineStr">
        <x:is>
          <x:t xml:space="preserve">فرمول «Total Spend / Landing Page Views» در Semantic Layer + تطبیق با پنل منبع؛ تارگت: حداکثر ۱.۲۵ برابر CPC لینک</x:t>
        </x:is>
      </x:c>
      <x:c r="O102" s="17" t="inlineStr">
        <x:is>
          <x:t xml:space="preserve">Proposed</x:t>
        </x:is>
      </x:c>
      <x:c r="P102" s="4" t="inlineStr">
        <x:is>
          <x:t xml:space="preserve">مدیا و تبلیغات</x:t>
        </x:is>
      </x:c>
      <x:c r="Q102" s="30" t="str">
        <x:v>TK-101</x:v>
      </x:c>
      <x:c r="R102" s="30" t="str"/>
      <x:c r="S102" s="30" t="str">
        <x:v>KPI</x:v>
      </x:c>
      <x:c r="T102" s="30" t="str">
        <x:v>KPI-10</x:v>
      </x:c>
      <x:c r="U102" s="30" t="str">
        <x:v>پیاده‌سازی KPI: CPLPV (Cost per Landing Page View)</x:v>
      </x:c>
      <x:c r="V102" s="30" t="str">
        <x:v>Pending dependency review</x:v>
      </x:c>
      <x:c r="W102" s="30" t="str">
        <x:v>نیازمند تکمیل و تأیید مالک</x:v>
      </x:c>
      <x:c r="X102" s="30" t="str">
        <x:v>نیازمند تکمیل و تأیید مالک</x:v>
      </x:c>
      <x:c r="Y102" s="30" t="str">
        <x:v>Media Buyer</x:v>
      </x:c>
      <x:c r="Z102" s="30" t="n">
        <x:v>7</x:v>
      </x:c>
      <x:c r="AA102" s="30" t="n">
        <x:v>101</x:v>
      </x:c>
      <x:c r="AB102" s="30" t="str">
        <x:v>فرمول «Total Spend / Landing Page Views» در Semantic Layer + تطبیق با پنل منبع؛ تارگت: حداکثر ۱.۲۵ برابر CPC لینک</x:v>
      </x:c>
      <x:c r="AC102" s="30" t="str">
        <x:v>نیازمند تکمیل و تأیید مالک</x:v>
      </x:c>
      <x:c r="AD102" s="30" t="str">
        <x:v>نیازمند تکمیل و تأیید مالک</x:v>
      </x:c>
      <x:c r="AE102" s="30" t="str">
        <x:v>فرمول «Total Spend / Landing Page Views» در Semantic Layer + تطبیق با پنل منبع؛ تارگت: حداکثر ۱.۲۵ برابر CPC لینک</x:v>
      </x:c>
      <x:c r="AF102" s="30" t="str"/>
      <x:c r="AG102" s="30" t="str">
        <x:v>KPI-10</x:v>
      </x:c>
      <x:c r="AH102" s="30" t="str"/>
    </x:row>
    <x:row r="103">
      <x:c r="A103" s="19" t="inlineStr">
        <x:is>
          <x:t xml:space="preserve">TK-102</x:t>
        </x:is>
      </x:c>
      <x:c r="B103" s="6" t="inlineStr">
        <x:is>
          <x:t xml:space="preserve">پیاده‌سازی KPI: ER (Engagement Rate)</x:t>
        </x:is>
      </x:c>
      <x:c r="C103" s="6" t="inlineStr">
        <x:is>
          <x:t xml:space="preserve">Implement KPI: Engagement Rate</x:t>
        </x:is>
      </x:c>
      <x:c r="D103" s="6" t="inlineStr">
        <x:is>
          <x:t xml:space="preserve">KPI</x:t>
        </x:is>
      </x:c>
      <x:c r="E103" s="6" t="inlineStr">
        <x:is>
          <x:t xml:space="preserve">KPI-11</x:t>
        </x:is>
      </x:c>
      <x:c r="F103" s="19" t="inlineStr">
        <x:is>
          <x:t xml:space="preserve">W4</x:t>
        </x:is>
      </x:c>
      <x:c r="G103" s="6" t="inlineStr">
        <x:is>
          <x:t xml:space="preserve">S2</x:t>
        </x:is>
      </x:c>
      <x:c r="H103" s="19" t="inlineStr">
        <x:is>
          <x:t xml:space="preserve">Medium</x:t>
        </x:is>
      </x:c>
      <x:c r="I103" s="6" t="inlineStr">
        <x:is>
          <x:t xml:space="preserve">Media Buyer</x:t>
        </x:is>
      </x:c>
      <x:c r="J103" s="19" t="n">
        <x:v>3</x:v>
      </x:c>
      <x:c r="K103" s="19" t="n">
        <x:v>2</x:v>
      </x:c>
      <x:c r="L103" s="18" t="n">
        <x:f>J103*2-K103</x:f>
        <x:v>4</x:v>
      </x:c>
      <x:c r="M103" s="6" t="inlineStr">
        <x:is>
          <x:t xml:space="preserve">TK-089..091</x:t>
        </x:is>
      </x:c>
      <x:c r="N103" s="6" t="inlineStr">
        <x:is>
          <x:t xml:space="preserve">فرمول «(Total Engagements / Impressions) × 100» در Semantic Layer + تطبیق با پنل منبع؛ تارگت: بالای ۲.۸٪ در اینستاگرام تخصصی</x:t>
        </x:is>
      </x:c>
      <x:c r="O103" s="19" t="inlineStr">
        <x:is>
          <x:t xml:space="preserve">Proposed</x:t>
        </x:is>
      </x:c>
      <x:c r="P103" s="6" t="inlineStr">
        <x:is>
          <x:t xml:space="preserve">مدیا و تبلیغات</x:t>
        </x:is>
      </x:c>
      <x:c r="Q103" s="30" t="str">
        <x:v>TK-102</x:v>
      </x:c>
      <x:c r="R103" s="30" t="str"/>
      <x:c r="S103" s="30" t="str">
        <x:v>KPI</x:v>
      </x:c>
      <x:c r="T103" s="30" t="str">
        <x:v>KPI-11</x:v>
      </x:c>
      <x:c r="U103" s="30" t="str">
        <x:v>پیاده‌سازی KPI: ER (Engagement Rate)</x:v>
      </x:c>
      <x:c r="V103" s="30" t="str">
        <x:v>Pending dependency review</x:v>
      </x:c>
      <x:c r="W103" s="30" t="str">
        <x:v>نیازمند تکمیل و تأیید مالک</x:v>
      </x:c>
      <x:c r="X103" s="30" t="str">
        <x:v>نیازمند تکمیل و تأیید مالک</x:v>
      </x:c>
      <x:c r="Y103" s="30" t="str">
        <x:v>Media Buyer</x:v>
      </x:c>
      <x:c r="Z103" s="30" t="n">
        <x:v>7</x:v>
      </x:c>
      <x:c r="AA103" s="30" t="n">
        <x:v>102</x:v>
      </x:c>
      <x:c r="AB103" s="30" t="str">
        <x:v>فرمول «(Total Engagements / Impressions) × 100» در Semantic Layer + تطبیق با پنل منبع؛ تارگت: بالای ۲.۸٪ در اینستاگرام تخصصی</x:v>
      </x:c>
      <x:c r="AC103" s="30" t="str">
        <x:v>نیازمند تکمیل و تأیید مالک</x:v>
      </x:c>
      <x:c r="AD103" s="30" t="str">
        <x:v>نیازمند تکمیل و تأیید مالک</x:v>
      </x:c>
      <x:c r="AE103" s="30" t="str">
        <x:v>فرمول «(Total Engagements / Impressions) × 100» در Semantic Layer + تطبیق با پنل منبع؛ تارگت: بالای ۲.۸٪ در اینستاگرام تخصصی</x:v>
      </x:c>
      <x:c r="AF103" s="30" t="str"/>
      <x:c r="AG103" s="30" t="str">
        <x:v>KPI-11</x:v>
      </x:c>
      <x:c r="AH103" s="30" t="str"/>
    </x:row>
    <x:row r="104">
      <x:c r="A104" s="17" t="inlineStr">
        <x:is>
          <x:t xml:space="preserve">TK-103</x:t>
        </x:is>
      </x:c>
      <x:c r="B104" s="4" t="inlineStr">
        <x:is>
          <x:t xml:space="preserve">پیاده‌سازی KPI: VVR (Video View Rate)</x:t>
        </x:is>
      </x:c>
      <x:c r="C104" s="4" t="inlineStr">
        <x:is>
          <x:t xml:space="preserve">Implement KPI: Video View Rate</x:t>
        </x:is>
      </x:c>
      <x:c r="D104" s="4" t="inlineStr">
        <x:is>
          <x:t xml:space="preserve">KPI</x:t>
        </x:is>
      </x:c>
      <x:c r="E104" s="4" t="inlineStr">
        <x:is>
          <x:t xml:space="preserve">KPI-12</x:t>
        </x:is>
      </x:c>
      <x:c r="F104" s="17" t="inlineStr">
        <x:is>
          <x:t xml:space="preserve">W4</x:t>
        </x:is>
      </x:c>
      <x:c r="G104" s="4" t="inlineStr">
        <x:is>
          <x:t xml:space="preserve">S2</x:t>
        </x:is>
      </x:c>
      <x:c r="H104" s="17" t="inlineStr">
        <x:is>
          <x:t xml:space="preserve">High</x:t>
        </x:is>
      </x:c>
      <x:c r="I104" s="4" t="inlineStr">
        <x:is>
          <x:t xml:space="preserve">Media Buyer</x:t>
        </x:is>
      </x:c>
      <x:c r="J104" s="17" t="n">
        <x:v>4</x:v>
      </x:c>
      <x:c r="K104" s="17" t="n">
        <x:v>2</x:v>
      </x:c>
      <x:c r="L104" s="18" t="n">
        <x:f>J104*2-K104</x:f>
        <x:v>6</x:v>
      </x:c>
      <x:c r="M104" s="4" t="inlineStr">
        <x:is>
          <x:t xml:space="preserve">TK-089..091</x:t>
        </x:is>
      </x:c>
      <x:c r="N104" s="4" t="inlineStr">
        <x:is>
          <x:t xml:space="preserve">فرمول «(Video Views ≥3s / Video Impressions) × 100» در Semantic Layer + تطبیق با پنل منبع؛ تارگت: &gt; 30٪ در ریلز/استوری</x:t>
        </x:is>
      </x:c>
      <x:c r="O104" s="17" t="inlineStr">
        <x:is>
          <x:t xml:space="preserve">Proposed</x:t>
        </x:is>
      </x:c>
      <x:c r="P104" s="4" t="inlineStr">
        <x:is>
          <x:t xml:space="preserve">مدیا و تبلیغات</x:t>
        </x:is>
      </x:c>
      <x:c r="Q104" s="30" t="str">
        <x:v>TK-103</x:v>
      </x:c>
      <x:c r="R104" s="30" t="str"/>
      <x:c r="S104" s="30" t="str">
        <x:v>KPI</x:v>
      </x:c>
      <x:c r="T104" s="30" t="str">
        <x:v>KPI-12</x:v>
      </x:c>
      <x:c r="U104" s="30" t="str">
        <x:v>پیاده‌سازی KPI: VVR (Video View Rate)</x:v>
      </x:c>
      <x:c r="V104" s="30" t="str">
        <x:v>Pending dependency review</x:v>
      </x:c>
      <x:c r="W104" s="30" t="str">
        <x:v>نیازمند تکمیل و تأیید مالک</x:v>
      </x:c>
      <x:c r="X104" s="30" t="str">
        <x:v>نیازمند تکمیل و تأیید مالک</x:v>
      </x:c>
      <x:c r="Y104" s="30" t="str">
        <x:v>Media Buyer</x:v>
      </x:c>
      <x:c r="Z104" s="30" t="n">
        <x:v>7</x:v>
      </x:c>
      <x:c r="AA104" s="30" t="n">
        <x:v>103</x:v>
      </x:c>
      <x:c r="AB104" s="30" t="str">
        <x:v>فرمول «(Video Views ≥3s / Video Impressions) × 100» در Semantic Layer + تطبیق با پنل منبع؛ تارگت: &gt; 30٪ در ریلز/استوری</x:v>
      </x:c>
      <x:c r="AC104" s="30" t="str">
        <x:v>نیازمند تکمیل و تأیید مالک</x:v>
      </x:c>
      <x:c r="AD104" s="30" t="str">
        <x:v>نیازمند تکمیل و تأیید مالک</x:v>
      </x:c>
      <x:c r="AE104" s="30" t="str">
        <x:v>فرمول «(Video Views ≥3s / Video Impressions) × 100» در Semantic Layer + تطبیق با پنل منبع؛ تارگت: &gt; 30٪ در ریلز/استوری</x:v>
      </x:c>
      <x:c r="AF104" s="30" t="str"/>
      <x:c r="AG104" s="30" t="str">
        <x:v>KPI-12</x:v>
      </x:c>
      <x:c r="AH104" s="30" t="str"/>
    </x:row>
    <x:row r="105">
      <x:c r="A105" s="19" t="inlineStr">
        <x:is>
          <x:t xml:space="preserve">TK-104</x:t>
        </x:is>
      </x:c>
      <x:c r="B105" s="6" t="inlineStr">
        <x:is>
          <x:t xml:space="preserve">پیاده‌سازی KPI: ThruPlay% (ThruPlay Rate)</x:t>
        </x:is>
      </x:c>
      <x:c r="C105" s="6" t="inlineStr">
        <x:is>
          <x:t xml:space="preserve">Implement KPI: ThruPlay Rate</x:t>
        </x:is>
      </x:c>
      <x:c r="D105" s="6" t="inlineStr">
        <x:is>
          <x:t xml:space="preserve">KPI</x:t>
        </x:is>
      </x:c>
      <x:c r="E105" s="6" t="inlineStr">
        <x:is>
          <x:t xml:space="preserve">KPI-13</x:t>
        </x:is>
      </x:c>
      <x:c r="F105" s="19" t="inlineStr">
        <x:is>
          <x:t xml:space="preserve">W4</x:t>
        </x:is>
      </x:c>
      <x:c r="G105" s="6" t="inlineStr">
        <x:is>
          <x:t xml:space="preserve">S2</x:t>
        </x:is>
      </x:c>
      <x:c r="H105" s="19" t="inlineStr">
        <x:is>
          <x:t xml:space="preserve">Medium</x:t>
        </x:is>
      </x:c>
      <x:c r="I105" s="6" t="inlineStr">
        <x:is>
          <x:t xml:space="preserve">Media Buyer</x:t>
        </x:is>
      </x:c>
      <x:c r="J105" s="19" t="n">
        <x:v>3</x:v>
      </x:c>
      <x:c r="K105" s="19" t="n">
        <x:v>2</x:v>
      </x:c>
      <x:c r="L105" s="18" t="n">
        <x:f>J105*2-K105</x:f>
        <x:v>4</x:v>
      </x:c>
      <x:c r="M105" s="6" t="inlineStr">
        <x:is>
          <x:t xml:space="preserve">TK-089..091</x:t>
        </x:is>
      </x:c>
      <x:c r="N105" s="6" t="inlineStr">
        <x:is>
          <x:t xml:space="preserve">فرمول «(ThruPlays / 3s Views) × 100» در Semantic Layer + تطبیق با پنل منبع؛ تارگت: &gt; 25٪ برای ۳۰ ثانیه‌ها</x:t>
        </x:is>
      </x:c>
      <x:c r="O105" s="19" t="inlineStr">
        <x:is>
          <x:t xml:space="preserve">Proposed</x:t>
        </x:is>
      </x:c>
      <x:c r="P105" s="6" t="inlineStr">
        <x:is>
          <x:t xml:space="preserve">مدیا و تبلیغات</x:t>
        </x:is>
      </x:c>
      <x:c r="Q105" s="30" t="str">
        <x:v>TK-104</x:v>
      </x:c>
      <x:c r="R105" s="30" t="str"/>
      <x:c r="S105" s="30" t="str">
        <x:v>KPI</x:v>
      </x:c>
      <x:c r="T105" s="30" t="str">
        <x:v>KPI-13</x:v>
      </x:c>
      <x:c r="U105" s="30" t="str">
        <x:v>پیاده‌سازی KPI: ThruPlay% (ThruPlay Rate)</x:v>
      </x:c>
      <x:c r="V105" s="30" t="str">
        <x:v>Pending dependency review</x:v>
      </x:c>
      <x:c r="W105" s="30" t="str">
        <x:v>نیازمند تکمیل و تأیید مالک</x:v>
      </x:c>
      <x:c r="X105" s="30" t="str">
        <x:v>نیازمند تکمیل و تأیید مالک</x:v>
      </x:c>
      <x:c r="Y105" s="30" t="str">
        <x:v>Media Buyer</x:v>
      </x:c>
      <x:c r="Z105" s="30" t="n">
        <x:v>7</x:v>
      </x:c>
      <x:c r="AA105" s="30" t="n">
        <x:v>104</x:v>
      </x:c>
      <x:c r="AB105" s="30" t="str">
        <x:v>فرمول «(ThruPlays / 3s Views) × 100» در Semantic Layer + تطبیق با پنل منبع؛ تارگت: &gt; 25٪ برای ۳۰ ثانیه‌ها</x:v>
      </x:c>
      <x:c r="AC105" s="30" t="str">
        <x:v>نیازمند تکمیل و تأیید مالک</x:v>
      </x:c>
      <x:c r="AD105" s="30" t="str">
        <x:v>نیازمند تکمیل و تأیید مالک</x:v>
      </x:c>
      <x:c r="AE105" s="30" t="str">
        <x:v>فرمول «(ThruPlays / 3s Views) × 100» در Semantic Layer + تطبیق با پنل منبع؛ تارگت: &gt; 25٪ برای ۳۰ ثانیه‌ها</x:v>
      </x:c>
      <x:c r="AF105" s="30" t="str"/>
      <x:c r="AG105" s="30" t="str">
        <x:v>KPI-13</x:v>
      </x:c>
      <x:c r="AH105" s="30" t="str"/>
    </x:row>
    <x:row r="106">
      <x:c r="A106" s="17" t="inlineStr">
        <x:is>
          <x:t xml:space="preserve">TK-105</x:t>
        </x:is>
      </x:c>
      <x:c r="B106" s="4" t="inlineStr">
        <x:is>
          <x:t xml:space="preserve">پیاده‌سازی KPI: CPV (Cost Per Video View)</x:t>
        </x:is>
      </x:c>
      <x:c r="C106" s="4" t="inlineStr">
        <x:is>
          <x:t xml:space="preserve">Implement KPI: Cost Per Video View</x:t>
        </x:is>
      </x:c>
      <x:c r="D106" s="4" t="inlineStr">
        <x:is>
          <x:t xml:space="preserve">KPI</x:t>
        </x:is>
      </x:c>
      <x:c r="E106" s="4" t="inlineStr">
        <x:is>
          <x:t xml:space="preserve">KPI-14</x:t>
        </x:is>
      </x:c>
      <x:c r="F106" s="17" t="inlineStr">
        <x:is>
          <x:t xml:space="preserve">W4</x:t>
        </x:is>
      </x:c>
      <x:c r="G106" s="4" t="inlineStr">
        <x:is>
          <x:t xml:space="preserve">S2</x:t>
        </x:is>
      </x:c>
      <x:c r="H106" s="17" t="inlineStr">
        <x:is>
          <x:t xml:space="preserve">Medium</x:t>
        </x:is>
      </x:c>
      <x:c r="I106" s="4" t="inlineStr">
        <x:is>
          <x:t xml:space="preserve">Media Buyer</x:t>
        </x:is>
      </x:c>
      <x:c r="J106" s="17" t="n">
        <x:v>3</x:v>
      </x:c>
      <x:c r="K106" s="17" t="n">
        <x:v>2</x:v>
      </x:c>
      <x:c r="L106" s="18" t="n">
        <x:f>J106*2-K106</x:f>
        <x:v>4</x:v>
      </x:c>
      <x:c r="M106" s="4" t="inlineStr">
        <x:is>
          <x:t xml:space="preserve">TK-089..091</x:t>
        </x:is>
      </x:c>
      <x:c r="N106" s="4" t="inlineStr">
        <x:is>
          <x:t xml:space="preserve">فرمول «Total Video Spend / Total Valid Views» در Semantic Layer + تطبیق با پنل منبع؛ تارگت: ThruPlay CPV &lt; 0.04 دلار</x:t>
        </x:is>
      </x:c>
      <x:c r="O106" s="17" t="inlineStr">
        <x:is>
          <x:t xml:space="preserve">Proposed</x:t>
        </x:is>
      </x:c>
      <x:c r="P106" s="4" t="inlineStr">
        <x:is>
          <x:t xml:space="preserve">مدیا و تبلیغات</x:t>
        </x:is>
      </x:c>
      <x:c r="Q106" s="30" t="str">
        <x:v>TK-105</x:v>
      </x:c>
      <x:c r="R106" s="30" t="str"/>
      <x:c r="S106" s="30" t="str">
        <x:v>KPI</x:v>
      </x:c>
      <x:c r="T106" s="30" t="str">
        <x:v>KPI-14</x:v>
      </x:c>
      <x:c r="U106" s="30" t="str">
        <x:v>پیاده‌سازی KPI: CPV (Cost Per Video View)</x:v>
      </x:c>
      <x:c r="V106" s="30" t="str">
        <x:v>Pending dependency review</x:v>
      </x:c>
      <x:c r="W106" s="30" t="str">
        <x:v>نیازمند تکمیل و تأیید مالک</x:v>
      </x:c>
      <x:c r="X106" s="30" t="str">
        <x:v>نیازمند تکمیل و تأیید مالک</x:v>
      </x:c>
      <x:c r="Y106" s="30" t="str">
        <x:v>Media Buyer</x:v>
      </x:c>
      <x:c r="Z106" s="30" t="n">
        <x:v>7</x:v>
      </x:c>
      <x:c r="AA106" s="30" t="n">
        <x:v>105</x:v>
      </x:c>
      <x:c r="AB106" s="30" t="str">
        <x:v>فرمول «Total Video Spend / Total Valid Views» در Semantic Layer + تطبیق با پنل منبع؛ تارگت: ThruPlay CPV &lt; 0.04 دلار</x:v>
      </x:c>
      <x:c r="AC106" s="30" t="str">
        <x:v>نیازمند تکمیل و تأیید مالک</x:v>
      </x:c>
      <x:c r="AD106" s="30" t="str">
        <x:v>نیازمند تکمیل و تأیید مالک</x:v>
      </x:c>
      <x:c r="AE106" s="30" t="str">
        <x:v>فرمول «Total Video Spend / Total Valid Views» در Semantic Layer + تطبیق با پنل منبع؛ تارگت: ThruPlay CPV &lt; 0.04 دلار</x:v>
      </x:c>
      <x:c r="AF106" s="30" t="str"/>
      <x:c r="AG106" s="30" t="str">
        <x:v>KPI-14</x:v>
      </x:c>
      <x:c r="AH106" s="30" t="str"/>
    </x:row>
    <x:row r="107">
      <x:c r="A107" s="19" t="inlineStr">
        <x:is>
          <x:t xml:space="preserve">TK-106</x:t>
        </x:is>
      </x:c>
      <x:c r="B107" s="6" t="inlineStr">
        <x:is>
          <x:t xml:space="preserve">پیاده‌سازی KPI: Leads (Total Leads)</x:t>
        </x:is>
      </x:c>
      <x:c r="C107" s="6" t="inlineStr">
        <x:is>
          <x:t xml:space="preserve">Implement KPI: Total Leads</x:t>
        </x:is>
      </x:c>
      <x:c r="D107" s="6" t="inlineStr">
        <x:is>
          <x:t xml:space="preserve">KPI</x:t>
        </x:is>
      </x:c>
      <x:c r="E107" s="6" t="inlineStr">
        <x:is>
          <x:t xml:space="preserve">KPI-15</x:t>
        </x:is>
      </x:c>
      <x:c r="F107" s="19" t="inlineStr">
        <x:is>
          <x:t xml:space="preserve">W4</x:t>
        </x:is>
      </x:c>
      <x:c r="G107" s="6" t="inlineStr">
        <x:is>
          <x:t xml:space="preserve">S2</x:t>
        </x:is>
      </x:c>
      <x:c r="H107" s="19" t="inlineStr">
        <x:is>
          <x:t xml:space="preserve">Critical</x:t>
        </x:is>
      </x:c>
      <x:c r="I107" s="6" t="inlineStr">
        <x:is>
          <x:t xml:space="preserve">CRM Manager</x:t>
        </x:is>
      </x:c>
      <x:c r="J107" s="19" t="n">
        <x:v>5</x:v>
      </x:c>
      <x:c r="K107" s="19" t="n">
        <x:v>2</x:v>
      </x:c>
      <x:c r="L107" s="18" t="n">
        <x:f>J107*2-K107</x:f>
        <x:v>8</x:v>
      </x:c>
      <x:c r="M107" s="6" t="inlineStr">
        <x:is>
          <x:t xml:space="preserve">TK-089..091</x:t>
        </x:is>
      </x:c>
      <x:c r="N107" s="6" t="inlineStr">
        <x:is>
          <x:t xml:space="preserve">فرمول «SUM(Lead Form Submissions + Inbound Inquiries)» در Semantic Layer + تطبیق با پنل منبع؛ تارگت: حداقل ۲۵۰ لید ماهانه تجهیزات سرمایه‌ای</x:t>
        </x:is>
      </x:c>
      <x:c r="O107" s="19" t="inlineStr">
        <x:is>
          <x:t xml:space="preserve">Proposed</x:t>
        </x:is>
      </x:c>
      <x:c r="P107" s="6" t="inlineStr">
        <x:is>
          <x:t xml:space="preserve">لید و پایپ‌لاین B2B</x:t>
        </x:is>
      </x:c>
      <x:c r="Q107" s="30" t="str">
        <x:v>TK-106</x:v>
      </x:c>
      <x:c r="R107" s="30" t="str"/>
      <x:c r="S107" s="30" t="str">
        <x:v>KPI</x:v>
      </x:c>
      <x:c r="T107" s="30" t="str">
        <x:v>KPI-15</x:v>
      </x:c>
      <x:c r="U107" s="30" t="str">
        <x:v>پیاده‌سازی KPI: Leads (Total Leads)</x:v>
      </x:c>
      <x:c r="V107" s="30" t="str">
        <x:v>Pending dependency review</x:v>
      </x:c>
      <x:c r="W107" s="30" t="str">
        <x:v>نیازمند تکمیل و تأیید مالک</x:v>
      </x:c>
      <x:c r="X107" s="30" t="str">
        <x:v>نیازمند تکمیل و تأیید مالک</x:v>
      </x:c>
      <x:c r="Y107" s="30" t="str">
        <x:v>CRM Manager</x:v>
      </x:c>
      <x:c r="Z107" s="30" t="n">
        <x:v>7</x:v>
      </x:c>
      <x:c r="AA107" s="30" t="n">
        <x:v>106</x:v>
      </x:c>
      <x:c r="AB107" s="30" t="str">
        <x:v>فرمول «SUM(Lead Form Submissions + Inbound Inquiries)» در Semantic Layer + تطبیق با پنل منبع؛ تارگت: حداقل ۲۵۰ لید ماهانه تجهیزات سرمایه‌ای</x:v>
      </x:c>
      <x:c r="AC107" s="30" t="str">
        <x:v>نیازمند تکمیل و تأیید مالک</x:v>
      </x:c>
      <x:c r="AD107" s="30" t="str">
        <x:v>نیازمند تکمیل و تأیید مالک</x:v>
      </x:c>
      <x:c r="AE107" s="30" t="str">
        <x:v>فرمول «SUM(Lead Form Submissions + Inbound Inquiries)» در Semantic Layer + تطبیق با پنل منبع؛ تارگت: حداقل ۲۵۰ لید ماهانه تجهیزات سرمایه‌ای</x:v>
      </x:c>
      <x:c r="AF107" s="30" t="str"/>
      <x:c r="AG107" s="30" t="str">
        <x:v>KPI-15</x:v>
      </x:c>
      <x:c r="AH107" s="30" t="str"/>
    </x:row>
    <x:row r="108">
      <x:c r="A108" s="17" t="inlineStr">
        <x:is>
          <x:t xml:space="preserve">TK-107</x:t>
        </x:is>
      </x:c>
      <x:c r="B108" s="4" t="inlineStr">
        <x:is>
          <x:t xml:space="preserve">پیاده‌سازی KPI: CPL (Cost Per Lead)</x:t>
        </x:is>
      </x:c>
      <x:c r="C108" s="4" t="inlineStr">
        <x:is>
          <x:t xml:space="preserve">Implement KPI: Cost Per Lead</x:t>
        </x:is>
      </x:c>
      <x:c r="D108" s="4" t="inlineStr">
        <x:is>
          <x:t xml:space="preserve">KPI</x:t>
        </x:is>
      </x:c>
      <x:c r="E108" s="4" t="inlineStr">
        <x:is>
          <x:t xml:space="preserve">KPI-16</x:t>
        </x:is>
      </x:c>
      <x:c r="F108" s="17" t="inlineStr">
        <x:is>
          <x:t xml:space="preserve">W4</x:t>
        </x:is>
      </x:c>
      <x:c r="G108" s="4" t="inlineStr">
        <x:is>
          <x:t xml:space="preserve">S2</x:t>
        </x:is>
      </x:c>
      <x:c r="H108" s="17" t="inlineStr">
        <x:is>
          <x:t xml:space="preserve">Critical</x:t>
        </x:is>
      </x:c>
      <x:c r="I108" s="4" t="inlineStr">
        <x:is>
          <x:t xml:space="preserve">CRM Manager</x:t>
        </x:is>
      </x:c>
      <x:c r="J108" s="17" t="n">
        <x:v>5</x:v>
      </x:c>
      <x:c r="K108" s="17" t="n">
        <x:v>2</x:v>
      </x:c>
      <x:c r="L108" s="18" t="n">
        <x:f>J108*2-K108</x:f>
        <x:v>8</x:v>
      </x:c>
      <x:c r="M108" s="4" t="inlineStr">
        <x:is>
          <x:t xml:space="preserve">TK-089..091</x:t>
        </x:is>
      </x:c>
      <x:c r="N108" s="4" t="inlineStr">
        <x:is>
          <x:t xml:space="preserve">فرمول «Spend on Lead Campaigns / Generated Leads» در Semantic Layer + تطبیق با پنل منبع؛ تارگت: &lt; 1,200,000 ریال (لید وب‌سایت)</x:t>
        </x:is>
      </x:c>
      <x:c r="O108" s="17" t="inlineStr">
        <x:is>
          <x:t xml:space="preserve">Proposed</x:t>
        </x:is>
      </x:c>
      <x:c r="P108" s="4" t="inlineStr">
        <x:is>
          <x:t xml:space="preserve">لید و پایپ‌لاین B2B</x:t>
        </x:is>
      </x:c>
      <x:c r="Q108" s="30" t="str">
        <x:v>TK-107</x:v>
      </x:c>
      <x:c r="R108" s="30" t="str"/>
      <x:c r="S108" s="30" t="str">
        <x:v>KPI</x:v>
      </x:c>
      <x:c r="T108" s="30" t="str">
        <x:v>KPI-16</x:v>
      </x:c>
      <x:c r="U108" s="30" t="str">
        <x:v>پیاده‌سازی KPI: CPL (Cost Per Lead)</x:v>
      </x:c>
      <x:c r="V108" s="30" t="str">
        <x:v>Pending dependency review</x:v>
      </x:c>
      <x:c r="W108" s="30" t="str">
        <x:v>نیازمند تکمیل و تأیید مالک</x:v>
      </x:c>
      <x:c r="X108" s="30" t="str">
        <x:v>نیازمند تکمیل و تأیید مالک</x:v>
      </x:c>
      <x:c r="Y108" s="30" t="str">
        <x:v>CRM Manager</x:v>
      </x:c>
      <x:c r="Z108" s="30" t="n">
        <x:v>7</x:v>
      </x:c>
      <x:c r="AA108" s="30" t="n">
        <x:v>107</x:v>
      </x:c>
      <x:c r="AB108" s="30" t="str">
        <x:v>فرمول «Spend on Lead Campaigns / Generated Leads» در Semantic Layer + تطبیق با پنل منبع؛ تارگت: &lt; 1,200,000 ریال (لید وب‌سایت)</x:v>
      </x:c>
      <x:c r="AC108" s="30" t="str">
        <x:v>نیازمند تکمیل و تأیید مالک</x:v>
      </x:c>
      <x:c r="AD108" s="30" t="str">
        <x:v>نیازمند تکمیل و تأیید مالک</x:v>
      </x:c>
      <x:c r="AE108" s="30" t="str">
        <x:v>فرمول «Spend on Lead Campaigns / Generated Leads» در Semantic Layer + تطبیق با پنل منبع؛ تارگت: &lt; 1,200,000 ریال (لید وب‌سایت)</x:v>
      </x:c>
      <x:c r="AF108" s="30" t="str"/>
      <x:c r="AG108" s="30" t="str">
        <x:v>KPI-16</x:v>
      </x:c>
      <x:c r="AH108" s="30" t="str"/>
    </x:row>
    <x:row r="109">
      <x:c r="A109" s="19" t="inlineStr">
        <x:is>
          <x:t xml:space="preserve">TK-108</x:t>
        </x:is>
      </x:c>
      <x:c r="B109" s="6" t="inlineStr">
        <x:is>
          <x:t xml:space="preserve">پیاده‌سازی KPI: MQL (Marketing Qualified Leads)</x:t>
        </x:is>
      </x:c>
      <x:c r="C109" s="6" t="inlineStr">
        <x:is>
          <x:t xml:space="preserve">Implement KPI: Marketing Qualified Leads</x:t>
        </x:is>
      </x:c>
      <x:c r="D109" s="6" t="inlineStr">
        <x:is>
          <x:t xml:space="preserve">KPI</x:t>
        </x:is>
      </x:c>
      <x:c r="E109" s="6" t="inlineStr">
        <x:is>
          <x:t xml:space="preserve">KPI-17</x:t>
        </x:is>
      </x:c>
      <x:c r="F109" s="19" t="inlineStr">
        <x:is>
          <x:t xml:space="preserve">W4</x:t>
        </x:is>
      </x:c>
      <x:c r="G109" s="6" t="inlineStr">
        <x:is>
          <x:t xml:space="preserve">S2</x:t>
        </x:is>
      </x:c>
      <x:c r="H109" s="19" t="inlineStr">
        <x:is>
          <x:t xml:space="preserve">Critical</x:t>
        </x:is>
      </x:c>
      <x:c r="I109" s="6" t="inlineStr">
        <x:is>
          <x:t xml:space="preserve">CRM Manager</x:t>
        </x:is>
      </x:c>
      <x:c r="J109" s="19" t="n">
        <x:v>5</x:v>
      </x:c>
      <x:c r="K109" s="19" t="n">
        <x:v>2</x:v>
      </x:c>
      <x:c r="L109" s="18" t="n">
        <x:f>J109*2-K109</x:f>
        <x:v>8</x:v>
      </x:c>
      <x:c r="M109" s="6" t="inlineStr">
        <x:is>
          <x:t xml:space="preserve">TK-089..091</x:t>
        </x:is>
      </x:c>
      <x:c r="N109" s="6" t="inlineStr">
        <x:is>
          <x:t xml:space="preserve">فرمول «SUM(Leads Meeting Criteria)» در Semantic Layer + تطبیق با پنل منبع؛ تارگت: تبدیل ۶۵٪ لیدهای وب به MQL</x:t>
        </x:is>
      </x:c>
      <x:c r="O109" s="19" t="inlineStr">
        <x:is>
          <x:t xml:space="preserve">Proposed</x:t>
        </x:is>
      </x:c>
      <x:c r="P109" s="6" t="inlineStr">
        <x:is>
          <x:t xml:space="preserve">لید و پایپ‌لاین B2B</x:t>
        </x:is>
      </x:c>
      <x:c r="Q109" s="30" t="str">
        <x:v>TK-108</x:v>
      </x:c>
      <x:c r="R109" s="30" t="str"/>
      <x:c r="S109" s="30" t="str">
        <x:v>KPI</x:v>
      </x:c>
      <x:c r="T109" s="30" t="str">
        <x:v>KPI-17</x:v>
      </x:c>
      <x:c r="U109" s="30" t="str">
        <x:v>پیاده‌سازی KPI: MQL (Marketing Qualified Leads)</x:v>
      </x:c>
      <x:c r="V109" s="30" t="str">
        <x:v>Pending dependency review</x:v>
      </x:c>
      <x:c r="W109" s="30" t="str">
        <x:v>نیازمند تکمیل و تأیید مالک</x:v>
      </x:c>
      <x:c r="X109" s="30" t="str">
        <x:v>نیازمند تکمیل و تأیید مالک</x:v>
      </x:c>
      <x:c r="Y109" s="30" t="str">
        <x:v>CRM Manager</x:v>
      </x:c>
      <x:c r="Z109" s="30" t="n">
        <x:v>7</x:v>
      </x:c>
      <x:c r="AA109" s="30" t="n">
        <x:v>108</x:v>
      </x:c>
      <x:c r="AB109" s="30" t="str">
        <x:v>فرمول «SUM(Leads Meeting Criteria)» در Semantic Layer + تطبیق با پنل منبع؛ تارگت: تبدیل ۶۵٪ لیدهای وب به MQL</x:v>
      </x:c>
      <x:c r="AC109" s="30" t="str">
        <x:v>نیازمند تکمیل و تأیید مالک</x:v>
      </x:c>
      <x:c r="AD109" s="30" t="str">
        <x:v>نیازمند تکمیل و تأیید مالک</x:v>
      </x:c>
      <x:c r="AE109" s="30" t="str">
        <x:v>فرمول «SUM(Leads Meeting Criteria)» در Semantic Layer + تطبیق با پنل منبع؛ تارگت: تبدیل ۶۵٪ لیدهای وب به MQL</x:v>
      </x:c>
      <x:c r="AF109" s="30" t="str"/>
      <x:c r="AG109" s="30" t="str">
        <x:v>KPI-17</x:v>
      </x:c>
      <x:c r="AH109" s="30" t="str"/>
    </x:row>
    <x:row r="110">
      <x:c r="A110" s="17" t="inlineStr">
        <x:is>
          <x:t xml:space="preserve">TK-109</x:t>
        </x:is>
      </x:c>
      <x:c r="B110" s="4" t="inlineStr">
        <x:is>
          <x:t xml:space="preserve">پیاده‌سازی KPI: SQL (Sales Qualified Leads)</x:t>
        </x:is>
      </x:c>
      <x:c r="C110" s="4" t="inlineStr">
        <x:is>
          <x:t xml:space="preserve">Implement KPI: Sales Qualified Leads</x:t>
        </x:is>
      </x:c>
      <x:c r="D110" s="4" t="inlineStr">
        <x:is>
          <x:t xml:space="preserve">KPI</x:t>
        </x:is>
      </x:c>
      <x:c r="E110" s="4" t="inlineStr">
        <x:is>
          <x:t xml:space="preserve">KPI-18</x:t>
        </x:is>
      </x:c>
      <x:c r="F110" s="17" t="inlineStr">
        <x:is>
          <x:t xml:space="preserve">W4</x:t>
        </x:is>
      </x:c>
      <x:c r="G110" s="4" t="inlineStr">
        <x:is>
          <x:t xml:space="preserve">S2</x:t>
        </x:is>
      </x:c>
      <x:c r="H110" s="17" t="inlineStr">
        <x:is>
          <x:t xml:space="preserve">Critical</x:t>
        </x:is>
      </x:c>
      <x:c r="I110" s="4" t="inlineStr">
        <x:is>
          <x:t xml:space="preserve">CRM Manager</x:t>
        </x:is>
      </x:c>
      <x:c r="J110" s="17" t="n">
        <x:v>5</x:v>
      </x:c>
      <x:c r="K110" s="17" t="n">
        <x:v>2</x:v>
      </x:c>
      <x:c r="L110" s="18" t="n">
        <x:f>J110*2-K110</x:f>
        <x:v>8</x:v>
      </x:c>
      <x:c r="M110" s="4" t="inlineStr">
        <x:is>
          <x:t xml:space="preserve">TK-089..091</x:t>
        </x:is>
      </x:c>
      <x:c r="N110" s="4" t="inlineStr">
        <x:is>
          <x:t xml:space="preserve">فرمول «SUM(MQLs Validated by Sales)» در Semantic Layer + تطبیق با پنل منبع؛ تارگت: تبدیل ۳۵٪ MQL به SQL</x:t>
        </x:is>
      </x:c>
      <x:c r="O110" s="17" t="inlineStr">
        <x:is>
          <x:t xml:space="preserve">Proposed</x:t>
        </x:is>
      </x:c>
      <x:c r="P110" s="4" t="inlineStr">
        <x:is>
          <x:t xml:space="preserve">لید و پایپ‌لاین B2B</x:t>
        </x:is>
      </x:c>
      <x:c r="Q110" s="30" t="str">
        <x:v>TK-109</x:v>
      </x:c>
      <x:c r="R110" s="30" t="str"/>
      <x:c r="S110" s="30" t="str">
        <x:v>KPI</x:v>
      </x:c>
      <x:c r="T110" s="30" t="str">
        <x:v>KPI-18</x:v>
      </x:c>
      <x:c r="U110" s="30" t="str">
        <x:v>پیاده‌سازی KPI: SQL (Sales Qualified Leads)</x:v>
      </x:c>
      <x:c r="V110" s="30" t="str">
        <x:v>Pending dependency review</x:v>
      </x:c>
      <x:c r="W110" s="30" t="str">
        <x:v>نیازمند تکمیل و تأیید مالک</x:v>
      </x:c>
      <x:c r="X110" s="30" t="str">
        <x:v>نیازمند تکمیل و تأیید مالک</x:v>
      </x:c>
      <x:c r="Y110" s="30" t="str">
        <x:v>CRM Manager</x:v>
      </x:c>
      <x:c r="Z110" s="30" t="n">
        <x:v>7</x:v>
      </x:c>
      <x:c r="AA110" s="30" t="n">
        <x:v>109</x:v>
      </x:c>
      <x:c r="AB110" s="30" t="str">
        <x:v>فرمول «SUM(MQLs Validated by Sales)» در Semantic Layer + تطبیق با پنل منبع؛ تارگت: تبدیل ۳۵٪ MQL به SQL</x:v>
      </x:c>
      <x:c r="AC110" s="30" t="str">
        <x:v>نیازمند تکمیل و تأیید مالک</x:v>
      </x:c>
      <x:c r="AD110" s="30" t="str">
        <x:v>نیازمند تکمیل و تأیید مالک</x:v>
      </x:c>
      <x:c r="AE110" s="30" t="str">
        <x:v>فرمول «SUM(MQLs Validated by Sales)» در Semantic Layer + تطبیق با پنل منبع؛ تارگت: تبدیل ۳۵٪ MQL به SQL</x:v>
      </x:c>
      <x:c r="AF110" s="30" t="str"/>
      <x:c r="AG110" s="30" t="str">
        <x:v>KPI-18</x:v>
      </x:c>
      <x:c r="AH110" s="30" t="str"/>
    </x:row>
    <x:row r="111">
      <x:c r="A111" s="19" t="inlineStr">
        <x:is>
          <x:t xml:space="preserve">TK-110</x:t>
        </x:is>
      </x:c>
      <x:c r="B111" s="6" t="inlineStr">
        <x:is>
          <x:t xml:space="preserve">پیاده‌سازی KPI: CPQL (Cost per Qualified Lead)</x:t>
        </x:is>
      </x:c>
      <x:c r="C111" s="6" t="inlineStr">
        <x:is>
          <x:t xml:space="preserve">Implement KPI: Cost per Qualified Lead</x:t>
        </x:is>
      </x:c>
      <x:c r="D111" s="6" t="inlineStr">
        <x:is>
          <x:t xml:space="preserve">KPI</x:t>
        </x:is>
      </x:c>
      <x:c r="E111" s="6" t="inlineStr">
        <x:is>
          <x:t xml:space="preserve">KPI-19</x:t>
        </x:is>
      </x:c>
      <x:c r="F111" s="19" t="inlineStr">
        <x:is>
          <x:t xml:space="preserve">W4</x:t>
        </x:is>
      </x:c>
      <x:c r="G111" s="6" t="inlineStr">
        <x:is>
          <x:t xml:space="preserve">S2</x:t>
        </x:is>
      </x:c>
      <x:c r="H111" s="19" t="inlineStr">
        <x:is>
          <x:t xml:space="preserve">Critical</x:t>
        </x:is>
      </x:c>
      <x:c r="I111" s="6" t="inlineStr">
        <x:is>
          <x:t xml:space="preserve">CRM Manager</x:t>
        </x:is>
      </x:c>
      <x:c r="J111" s="19" t="n">
        <x:v>5</x:v>
      </x:c>
      <x:c r="K111" s="19" t="n">
        <x:v>2</x:v>
      </x:c>
      <x:c r="L111" s="18" t="n">
        <x:f>J111*2-K111</x:f>
        <x:v>8</x:v>
      </x:c>
      <x:c r="M111" s="6" t="inlineStr">
        <x:is>
          <x:t xml:space="preserve">TK-089..091</x:t>
        </x:is>
      </x:c>
      <x:c r="N111" s="6" t="inlineStr">
        <x:is>
          <x:t xml:space="preserve">فرمول «Total Acquisition Spend / Validated SQLs» در Semantic Layer + تطبیق با پنل منبع؛ تارگت: &lt; 3,500,000 ریال (SQL واقعی)</x:t>
        </x:is>
      </x:c>
      <x:c r="O111" s="19" t="inlineStr">
        <x:is>
          <x:t xml:space="preserve">Proposed</x:t>
        </x:is>
      </x:c>
      <x:c r="P111" s="6" t="inlineStr">
        <x:is>
          <x:t xml:space="preserve">لید و پایپ‌لاین B2B</x:t>
        </x:is>
      </x:c>
      <x:c r="Q111" s="30" t="str">
        <x:v>TK-110</x:v>
      </x:c>
      <x:c r="R111" s="30" t="str"/>
      <x:c r="S111" s="30" t="str">
        <x:v>KPI</x:v>
      </x:c>
      <x:c r="T111" s="30" t="str">
        <x:v>KPI-19</x:v>
      </x:c>
      <x:c r="U111" s="30" t="str">
        <x:v>پیاده‌سازی KPI: CPQL (Cost per Qualified Lead)</x:v>
      </x:c>
      <x:c r="V111" s="30" t="str">
        <x:v>Pending dependency review</x:v>
      </x:c>
      <x:c r="W111" s="30" t="str">
        <x:v>نیازمند تکمیل و تأیید مالک</x:v>
      </x:c>
      <x:c r="X111" s="30" t="str">
        <x:v>نیازمند تکمیل و تأیید مالک</x:v>
      </x:c>
      <x:c r="Y111" s="30" t="str">
        <x:v>CRM Manager</x:v>
      </x:c>
      <x:c r="Z111" s="30" t="n">
        <x:v>7</x:v>
      </x:c>
      <x:c r="AA111" s="30" t="n">
        <x:v>110</x:v>
      </x:c>
      <x:c r="AB111" s="30" t="str">
        <x:v>فرمول «Total Acquisition Spend / Validated SQLs» در Semantic Layer + تطبیق با پنل منبع؛ تارگت: &lt; 3,500,000 ریال (SQL واقعی)</x:v>
      </x:c>
      <x:c r="AC111" s="30" t="str">
        <x:v>نیازمند تکمیل و تأیید مالک</x:v>
      </x:c>
      <x:c r="AD111" s="30" t="str">
        <x:v>نیازمند تکمیل و تأیید مالک</x:v>
      </x:c>
      <x:c r="AE111" s="30" t="str">
        <x:v>فرمول «Total Acquisition Spend / Validated SQLs» در Semantic Layer + تطبیق با پنل منبع؛ تارگت: &lt; 3,500,000 ریال (SQL واقعی)</x:v>
      </x:c>
      <x:c r="AF111" s="30" t="str"/>
      <x:c r="AG111" s="30" t="str">
        <x:v>KPI-19</x:v>
      </x:c>
      <x:c r="AH111" s="30" t="str"/>
    </x:row>
    <x:row r="112">
      <x:c r="A112" s="17" t="inlineStr">
        <x:is>
          <x:t xml:space="preserve">TK-111</x:t>
        </x:is>
      </x:c>
      <x:c r="B112" s="4" t="inlineStr">
        <x:is>
          <x:t xml:space="preserve">پیاده‌سازی KPI: CAC (Customer Acquisition Cost)</x:t>
        </x:is>
      </x:c>
      <x:c r="C112" s="4" t="inlineStr">
        <x:is>
          <x:t xml:space="preserve">Implement KPI: Customer Acquisition Cost</x:t>
        </x:is>
      </x:c>
      <x:c r="D112" s="4" t="inlineStr">
        <x:is>
          <x:t xml:space="preserve">KPI</x:t>
        </x:is>
      </x:c>
      <x:c r="E112" s="4" t="inlineStr">
        <x:is>
          <x:t xml:space="preserve">KPI-20</x:t>
        </x:is>
      </x:c>
      <x:c r="F112" s="17" t="inlineStr">
        <x:is>
          <x:t xml:space="preserve">W4</x:t>
        </x:is>
      </x:c>
      <x:c r="G112" s="4" t="inlineStr">
        <x:is>
          <x:t xml:space="preserve">S2</x:t>
        </x:is>
      </x:c>
      <x:c r="H112" s="17" t="inlineStr">
        <x:is>
          <x:t xml:space="preserve">Critical</x:t>
        </x:is>
      </x:c>
      <x:c r="I112" s="4" t="inlineStr">
        <x:is>
          <x:t xml:space="preserve">CRM Manager</x:t>
        </x:is>
      </x:c>
      <x:c r="J112" s="17" t="n">
        <x:v>5</x:v>
      </x:c>
      <x:c r="K112" s="17" t="n">
        <x:v>2</x:v>
      </x:c>
      <x:c r="L112" s="18" t="n">
        <x:f>J112*2-K112</x:f>
        <x:v>8</x:v>
      </x:c>
      <x:c r="M112" s="4" t="inlineStr">
        <x:is>
          <x:t xml:space="preserve">TK-089..091</x:t>
        </x:is>
      </x:c>
      <x:c r="N112" s="4" t="inlineStr">
        <x:is>
          <x:t xml:space="preserve">فرمول «Total Paid Marketing Spend / New Paying Customers» در Semantic Layer + تطبیق با پنل منبع؛ تارگت: مواد &lt; 8,000,000 | تجهیزات &lt; 45,000,000 </x:t>
        </x:is>
      </x:c>
      <x:c r="O112" s="17" t="inlineStr">
        <x:is>
          <x:t xml:space="preserve">Proposed</x:t>
        </x:is>
      </x:c>
      <x:c r="P112" s="4" t="inlineStr">
        <x:is>
          <x:t xml:space="preserve">لید و پایپ‌لاین B2B</x:t>
        </x:is>
      </x:c>
      <x:c r="Q112" s="30" t="str">
        <x:v>TK-111</x:v>
      </x:c>
      <x:c r="R112" s="30" t="str"/>
      <x:c r="S112" s="30" t="str">
        <x:v>KPI</x:v>
      </x:c>
      <x:c r="T112" s="30" t="str">
        <x:v>KPI-20</x:v>
      </x:c>
      <x:c r="U112" s="30" t="str">
        <x:v>پیاده‌سازی KPI: CAC (Customer Acquisition Cost)</x:v>
      </x:c>
      <x:c r="V112" s="30" t="str">
        <x:v>Pending dependency review</x:v>
      </x:c>
      <x:c r="W112" s="30" t="str">
        <x:v>نیازمند تکمیل و تأیید مالک</x:v>
      </x:c>
      <x:c r="X112" s="30" t="str">
        <x:v>نیازمند تکمیل و تأیید مالک</x:v>
      </x:c>
      <x:c r="Y112" s="30" t="str">
        <x:v>CRM Manager</x:v>
      </x:c>
      <x:c r="Z112" s="30" t="n">
        <x:v>7</x:v>
      </x:c>
      <x:c r="AA112" s="30" t="n">
        <x:v>111</x:v>
      </x:c>
      <x:c r="AB112" s="30" t="str">
        <x:v>فرمول «Total Paid Marketing Spend / New Paying Customers» در Semantic Layer + تطبیق با پنل منبع؛ تارگت: مواد &lt; 8,000,000 | تجهیزات &lt; 45,000,000 </x:v>
      </x:c>
      <x:c r="AC112" s="30" t="str">
        <x:v>نیازمند تکمیل و تأیید مالک</x:v>
      </x:c>
      <x:c r="AD112" s="30" t="str">
        <x:v>نیازمند تکمیل و تأیید مالک</x:v>
      </x:c>
      <x:c r="AE112" s="30" t="str">
        <x:v>فرمول «Total Paid Marketing Spend / New Paying Customers» در Semantic Layer + تطبیق با پنل منبع؛ تارگت: مواد &lt; 8,000,000 | تجهیزات &lt; 45,000,000 </x:v>
      </x:c>
      <x:c r="AF112" s="30" t="str"/>
      <x:c r="AG112" s="30" t="str">
        <x:v>KPI-20</x:v>
      </x:c>
      <x:c r="AH112" s="30" t="str"/>
    </x:row>
    <x:row r="113">
      <x:c r="A113" s="19" t="inlineStr">
        <x:is>
          <x:t xml:space="preserve">TK-112</x:t>
        </x:is>
      </x:c>
      <x:c r="B113" s="6" t="inlineStr">
        <x:is>
          <x:t xml:space="preserve">پیاده‌سازی KPI: LPVR (Landing Page View Rate)</x:t>
        </x:is>
      </x:c>
      <x:c r="C113" s="6" t="inlineStr">
        <x:is>
          <x:t xml:space="preserve">Implement KPI: Landing Page View Rate</x:t>
        </x:is>
      </x:c>
      <x:c r="D113" s="6" t="inlineStr">
        <x:is>
          <x:t xml:space="preserve">KPI</x:t>
        </x:is>
      </x:c>
      <x:c r="E113" s="6" t="inlineStr">
        <x:is>
          <x:t xml:space="preserve">KPI-21</x:t>
        </x:is>
      </x:c>
      <x:c r="F113" s="19" t="inlineStr">
        <x:is>
          <x:t xml:space="preserve">W4</x:t>
        </x:is>
      </x:c>
      <x:c r="G113" s="6" t="inlineStr">
        <x:is>
          <x:t xml:space="preserve">S2</x:t>
        </x:is>
      </x:c>
      <x:c r="H113" s="19" t="inlineStr">
        <x:is>
          <x:t xml:space="preserve">Critical</x:t>
        </x:is>
      </x:c>
      <x:c r="I113" s="6" t="inlineStr">
        <x:is>
          <x:t xml:space="preserve">CRO Specialist</x:t>
        </x:is>
      </x:c>
      <x:c r="J113" s="19" t="n">
        <x:v>5</x:v>
      </x:c>
      <x:c r="K113" s="19" t="n">
        <x:v>2</x:v>
      </x:c>
      <x:c r="L113" s="18" t="n">
        <x:f>J113*2-K113</x:f>
        <x:v>8</x:v>
      </x:c>
      <x:c r="M113" s="6" t="inlineStr">
        <x:is>
          <x:t xml:space="preserve">TK-089..091</x:t>
        </x:is>
      </x:c>
      <x:c r="N113" s="6" t="inlineStr">
        <x:is>
          <x:t xml:space="preserve">فرمول «(Landing Page Views / Link Clicks) × 100» در Semantic Layer + تطبیق با پنل منبع؛ تارگت: &gt; 85٪ در اینترنت پایدار ایران</x:t>
        </x:is>
      </x:c>
      <x:c r="O113" s="19" t="inlineStr">
        <x:is>
          <x:t xml:space="preserve">Proposed</x:t>
        </x:is>
      </x:c>
      <x:c r="P113" s="6" t="inlineStr">
        <x:is>
          <x:t xml:space="preserve">سایت و قیف CRO</x:t>
        </x:is>
      </x:c>
      <x:c r="Q113" s="30" t="str">
        <x:v>TK-112</x:v>
      </x:c>
      <x:c r="R113" s="30" t="str"/>
      <x:c r="S113" s="30" t="str">
        <x:v>KPI</x:v>
      </x:c>
      <x:c r="T113" s="30" t="str">
        <x:v>KPI-21</x:v>
      </x:c>
      <x:c r="U113" s="30" t="str">
        <x:v>پیاده‌سازی KPI: LPVR (Landing Page View Rate)</x:v>
      </x:c>
      <x:c r="V113" s="30" t="str">
        <x:v>Pending dependency review</x:v>
      </x:c>
      <x:c r="W113" s="30" t="str">
        <x:v>نیازمند تکمیل و تأیید مالک</x:v>
      </x:c>
      <x:c r="X113" s="30" t="str">
        <x:v>نیازمند تکمیل و تأیید مالک</x:v>
      </x:c>
      <x:c r="Y113" s="30" t="str">
        <x:v>CRO Specialist</x:v>
      </x:c>
      <x:c r="Z113" s="30" t="n">
        <x:v>7</x:v>
      </x:c>
      <x:c r="AA113" s="30" t="n">
        <x:v>112</x:v>
      </x:c>
      <x:c r="AB113" s="30" t="str">
        <x:v>فرمول «(Landing Page Views / Link Clicks) × 100» در Semantic Layer + تطبیق با پنل منبع؛ تارگت: &gt; 85٪ در اینترنت پایدار ایران</x:v>
      </x:c>
      <x:c r="AC113" s="30" t="str">
        <x:v>نیازمند تکمیل و تأیید مالک</x:v>
      </x:c>
      <x:c r="AD113" s="30" t="str">
        <x:v>نیازمند تکمیل و تأیید مالک</x:v>
      </x:c>
      <x:c r="AE113" s="30" t="str">
        <x:v>فرمول «(Landing Page Views / Link Clicks) × 100» در Semantic Layer + تطبیق با پنل منبع؛ تارگت: &gt; 85٪ در اینترنت پایدار ایران</x:v>
      </x:c>
      <x:c r="AF113" s="30" t="str"/>
      <x:c r="AG113" s="30" t="str">
        <x:v>KPI-21</x:v>
      </x:c>
      <x:c r="AH113" s="30" t="str"/>
    </x:row>
    <x:row r="114">
      <x:c r="A114" s="17" t="inlineStr">
        <x:is>
          <x:t xml:space="preserve">TK-113</x:t>
        </x:is>
      </x:c>
      <x:c r="B114" s="4" t="inlineStr">
        <x:is>
          <x:t xml:space="preserve">پیاده‌سازی KPI: Bounce% (GA4 Bounce Rate)</x:t>
        </x:is>
      </x:c>
      <x:c r="C114" s="4" t="inlineStr">
        <x:is>
          <x:t xml:space="preserve">Implement KPI: GA4 Bounce Rate</x:t>
        </x:is>
      </x:c>
      <x:c r="D114" s="4" t="inlineStr">
        <x:is>
          <x:t xml:space="preserve">KPI</x:t>
        </x:is>
      </x:c>
      <x:c r="E114" s="4" t="inlineStr">
        <x:is>
          <x:t xml:space="preserve">KPI-22</x:t>
        </x:is>
      </x:c>
      <x:c r="F114" s="17" t="inlineStr">
        <x:is>
          <x:t xml:space="preserve">W4</x:t>
        </x:is>
      </x:c>
      <x:c r="G114" s="4" t="inlineStr">
        <x:is>
          <x:t xml:space="preserve">S2</x:t>
        </x:is>
      </x:c>
      <x:c r="H114" s="17" t="inlineStr">
        <x:is>
          <x:t xml:space="preserve">High</x:t>
        </x:is>
      </x:c>
      <x:c r="I114" s="4" t="inlineStr">
        <x:is>
          <x:t xml:space="preserve">CRO Specialist</x:t>
        </x:is>
      </x:c>
      <x:c r="J114" s="17" t="n">
        <x:v>4</x:v>
      </x:c>
      <x:c r="K114" s="17" t="n">
        <x:v>2</x:v>
      </x:c>
      <x:c r="L114" s="18" t="n">
        <x:f>J114*2-K114</x:f>
        <x:v>6</x:v>
      </x:c>
      <x:c r="M114" s="4" t="inlineStr">
        <x:is>
          <x:t xml:space="preserve">TK-089..091</x:t>
        </x:is>
      </x:c>
      <x:c r="N114" s="4" t="inlineStr">
        <x:is>
          <x:t xml:space="preserve">فرمول «(Non-Engaged Sessions / Total Sessions) × 100» در Semantic Layer + تطبیق با پنل منبع؛ تارگت: لندینگ ادز &lt; 45٪ | بلاگ &lt; 65٪</x:t>
        </x:is>
      </x:c>
      <x:c r="O114" s="17" t="inlineStr">
        <x:is>
          <x:t xml:space="preserve">Proposed</x:t>
        </x:is>
      </x:c>
      <x:c r="P114" s="4" t="inlineStr">
        <x:is>
          <x:t xml:space="preserve">سایت و قیف CRO</x:t>
        </x:is>
      </x:c>
      <x:c r="Q114" s="30" t="str">
        <x:v>TK-113</x:v>
      </x:c>
      <x:c r="R114" s="30" t="str"/>
      <x:c r="S114" s="30" t="str">
        <x:v>KPI</x:v>
      </x:c>
      <x:c r="T114" s="30" t="str">
        <x:v>KPI-22</x:v>
      </x:c>
      <x:c r="U114" s="30" t="str">
        <x:v>پیاده‌سازی KPI: Bounce% (GA4 Bounce Rate)</x:v>
      </x:c>
      <x:c r="V114" s="30" t="str">
        <x:v>Pending dependency review</x:v>
      </x:c>
      <x:c r="W114" s="30" t="str">
        <x:v>نیازمند تکمیل و تأیید مالک</x:v>
      </x:c>
      <x:c r="X114" s="30" t="str">
        <x:v>نیازمند تکمیل و تأیید مالک</x:v>
      </x:c>
      <x:c r="Y114" s="30" t="str">
        <x:v>CRO Specialist</x:v>
      </x:c>
      <x:c r="Z114" s="30" t="n">
        <x:v>7</x:v>
      </x:c>
      <x:c r="AA114" s="30" t="n">
        <x:v>113</x:v>
      </x:c>
      <x:c r="AB114" s="30" t="str">
        <x:v>فرمول «(Non-Engaged Sessions / Total Sessions) × 100» در Semantic Layer + تطبیق با پنل منبع؛ تارگت: لندینگ ادز &lt; 45٪ | بلاگ &lt; 65٪</x:v>
      </x:c>
      <x:c r="AC114" s="30" t="str">
        <x:v>نیازمند تکمیل و تأیید مالک</x:v>
      </x:c>
      <x:c r="AD114" s="30" t="str">
        <x:v>نیازمند تکمیل و تأیید مالک</x:v>
      </x:c>
      <x:c r="AE114" s="30" t="str">
        <x:v>فرمول «(Non-Engaged Sessions / Total Sessions) × 100» در Semantic Layer + تطبیق با پنل منبع؛ تارگت: لندینگ ادز &lt; 45٪ | بلاگ &lt; 65٪</x:v>
      </x:c>
      <x:c r="AF114" s="30" t="str"/>
      <x:c r="AG114" s="30" t="str">
        <x:v>KPI-22</x:v>
      </x:c>
      <x:c r="AH114" s="30" t="str"/>
    </x:row>
    <x:row r="115">
      <x:c r="A115" s="19" t="inlineStr">
        <x:is>
          <x:t xml:space="preserve">TK-114</x:t>
        </x:is>
      </x:c>
      <x:c r="B115" s="6" t="inlineStr">
        <x:is>
          <x:t xml:space="preserve">پیاده‌سازی KPI: Scroll% (Average Scroll Depth)</x:t>
        </x:is>
      </x:c>
      <x:c r="C115" s="6" t="inlineStr">
        <x:is>
          <x:t xml:space="preserve">Implement KPI: Average Scroll Depth</x:t>
        </x:is>
      </x:c>
      <x:c r="D115" s="6" t="inlineStr">
        <x:is>
          <x:t xml:space="preserve">KPI</x:t>
        </x:is>
      </x:c>
      <x:c r="E115" s="6" t="inlineStr">
        <x:is>
          <x:t xml:space="preserve">KPI-23</x:t>
        </x:is>
      </x:c>
      <x:c r="F115" s="19" t="inlineStr">
        <x:is>
          <x:t xml:space="preserve">W4</x:t>
        </x:is>
      </x:c>
      <x:c r="G115" s="6" t="inlineStr">
        <x:is>
          <x:t xml:space="preserve">S2</x:t>
        </x:is>
      </x:c>
      <x:c r="H115" s="19" t="inlineStr">
        <x:is>
          <x:t xml:space="preserve">Medium</x:t>
        </x:is>
      </x:c>
      <x:c r="I115" s="6" t="inlineStr">
        <x:is>
          <x:t xml:space="preserve">CRO Specialist</x:t>
        </x:is>
      </x:c>
      <x:c r="J115" s="19" t="n">
        <x:v>3</x:v>
      </x:c>
      <x:c r="K115" s="19" t="n">
        <x:v>2</x:v>
      </x:c>
      <x:c r="L115" s="18" t="n">
        <x:f>J115*2-K115</x:f>
        <x:v>4</x:v>
      </x:c>
      <x:c r="M115" s="6" t="inlineStr">
        <x:is>
          <x:t xml:space="preserve">TK-089..091</x:t>
        </x:is>
      </x:c>
      <x:c r="N115" s="6" t="inlineStr">
        <x:is>
          <x:t xml:space="preserve">فرمول «AVG(Max Scroll Threshold per Session)» در Semantic Layer + تطبیق با پنل منبع؛ تارگت: میانگین &gt; 60٪ صفحات تجهیزات</x:t>
        </x:is>
      </x:c>
      <x:c r="O115" s="19" t="inlineStr">
        <x:is>
          <x:t xml:space="preserve">Proposed</x:t>
        </x:is>
      </x:c>
      <x:c r="P115" s="6" t="inlineStr">
        <x:is>
          <x:t xml:space="preserve">سایت و قیف CRO</x:t>
        </x:is>
      </x:c>
      <x:c r="Q115" s="30" t="str">
        <x:v>TK-114</x:v>
      </x:c>
      <x:c r="R115" s="30" t="str"/>
      <x:c r="S115" s="30" t="str">
        <x:v>KPI</x:v>
      </x:c>
      <x:c r="T115" s="30" t="str">
        <x:v>KPI-23</x:v>
      </x:c>
      <x:c r="U115" s="30" t="str">
        <x:v>پیاده‌سازی KPI: Scroll% (Average Scroll Depth)</x:v>
      </x:c>
      <x:c r="V115" s="30" t="str">
        <x:v>Pending dependency review</x:v>
      </x:c>
      <x:c r="W115" s="30" t="str">
        <x:v>نیازمند تکمیل و تأیید مالک</x:v>
      </x:c>
      <x:c r="X115" s="30" t="str">
        <x:v>نیازمند تکمیل و تأیید مالک</x:v>
      </x:c>
      <x:c r="Y115" s="30" t="str">
        <x:v>CRO Specialist</x:v>
      </x:c>
      <x:c r="Z115" s="30" t="n">
        <x:v>7</x:v>
      </x:c>
      <x:c r="AA115" s="30" t="n">
        <x:v>114</x:v>
      </x:c>
      <x:c r="AB115" s="30" t="str">
        <x:v>فرمول «AVG(Max Scroll Threshold per Session)» در Semantic Layer + تطبیق با پنل منبع؛ تارگت: میانگین &gt; 60٪ صفحات تجهیزات</x:v>
      </x:c>
      <x:c r="AC115" s="30" t="str">
        <x:v>نیازمند تکمیل و تأیید مالک</x:v>
      </x:c>
      <x:c r="AD115" s="30" t="str">
        <x:v>نیازمند تکمیل و تأیید مالک</x:v>
      </x:c>
      <x:c r="AE115" s="30" t="str">
        <x:v>فرمول «AVG(Max Scroll Threshold per Session)» در Semantic Layer + تطبیق با پنل منبع؛ تارگت: میانگین &gt; 60٪ صفحات تجهیزات</x:v>
      </x:c>
      <x:c r="AF115" s="30" t="str"/>
      <x:c r="AG115" s="30" t="str">
        <x:v>KPI-23</x:v>
      </x:c>
      <x:c r="AH115" s="30" t="str"/>
    </x:row>
    <x:row r="116">
      <x:c r="A116" s="17" t="inlineStr">
        <x:is>
          <x:t xml:space="preserve">TK-115</x:t>
        </x:is>
      </x:c>
      <x:c r="B116" s="4" t="inlineStr">
        <x:is>
          <x:t xml:space="preserve">پیاده‌سازی KPI: ATCR (Add-to-Cart Rate)</x:t>
        </x:is>
      </x:c>
      <x:c r="C116" s="4" t="inlineStr">
        <x:is>
          <x:t xml:space="preserve">Implement KPI: Add-to-Cart Rate</x:t>
        </x:is>
      </x:c>
      <x:c r="D116" s="4" t="inlineStr">
        <x:is>
          <x:t xml:space="preserve">KPI</x:t>
        </x:is>
      </x:c>
      <x:c r="E116" s="4" t="inlineStr">
        <x:is>
          <x:t xml:space="preserve">KPI-24</x:t>
        </x:is>
      </x:c>
      <x:c r="F116" s="17" t="inlineStr">
        <x:is>
          <x:t xml:space="preserve">W4</x:t>
        </x:is>
      </x:c>
      <x:c r="G116" s="4" t="inlineStr">
        <x:is>
          <x:t xml:space="preserve">S2</x:t>
        </x:is>
      </x:c>
      <x:c r="H116" s="17" t="inlineStr">
        <x:is>
          <x:t xml:space="preserve">Critical</x:t>
        </x:is>
      </x:c>
      <x:c r="I116" s="4" t="inlineStr">
        <x:is>
          <x:t xml:space="preserve">CRO Specialist</x:t>
        </x:is>
      </x:c>
      <x:c r="J116" s="17" t="n">
        <x:v>5</x:v>
      </x:c>
      <x:c r="K116" s="17" t="n">
        <x:v>2</x:v>
      </x:c>
      <x:c r="L116" s="18" t="n">
        <x:f>J116*2-K116</x:f>
        <x:v>8</x:v>
      </x:c>
      <x:c r="M116" s="4" t="inlineStr">
        <x:is>
          <x:t xml:space="preserve">TK-089..091</x:t>
        </x:is>
      </x:c>
      <x:c r="N116" s="4" t="inlineStr">
        <x:is>
          <x:t xml:space="preserve">فرمول «(Sessions w/ Add to Cart / Sessions w/ PDP) × 100» در Semantic Layer + تطبیق با پنل منبع؛ تارگت: مواد: ۸-۱۲٪</x:t>
        </x:is>
      </x:c>
      <x:c r="O116" s="17" t="inlineStr">
        <x:is>
          <x:t xml:space="preserve">Proposed</x:t>
        </x:is>
      </x:c>
      <x:c r="P116" s="4" t="inlineStr">
        <x:is>
          <x:t xml:space="preserve">سایت و قیف CRO</x:t>
        </x:is>
      </x:c>
      <x:c r="Q116" s="30" t="str">
        <x:v>TK-115</x:v>
      </x:c>
      <x:c r="R116" s="30" t="str"/>
      <x:c r="S116" s="30" t="str">
        <x:v>KPI</x:v>
      </x:c>
      <x:c r="T116" s="30" t="str">
        <x:v>KPI-24</x:v>
      </x:c>
      <x:c r="U116" s="30" t="str">
        <x:v>پیاده‌سازی KPI: ATCR (Add-to-Cart Rate)</x:v>
      </x:c>
      <x:c r="V116" s="30" t="str">
        <x:v>Pending dependency review</x:v>
      </x:c>
      <x:c r="W116" s="30" t="str">
        <x:v>نیازمند تکمیل و تأیید مالک</x:v>
      </x:c>
      <x:c r="X116" s="30" t="str">
        <x:v>نیازمند تکمیل و تأیید مالک</x:v>
      </x:c>
      <x:c r="Y116" s="30" t="str">
        <x:v>CRO Specialist</x:v>
      </x:c>
      <x:c r="Z116" s="30" t="n">
        <x:v>7</x:v>
      </x:c>
      <x:c r="AA116" s="30" t="n">
        <x:v>115</x:v>
      </x:c>
      <x:c r="AB116" s="30" t="str">
        <x:v>فرمول «(Sessions w/ Add to Cart / Sessions w/ PDP) × 100» در Semantic Layer + تطبیق با پنل منبع؛ تارگت: مواد: ۸-۱۲٪</x:v>
      </x:c>
      <x:c r="AC116" s="30" t="str">
        <x:v>نیازمند تکمیل و تأیید مالک</x:v>
      </x:c>
      <x:c r="AD116" s="30" t="str">
        <x:v>نیازمند تکمیل و تأیید مالک</x:v>
      </x:c>
      <x:c r="AE116" s="30" t="str">
        <x:v>فرمول «(Sessions w/ Add to Cart / Sessions w/ PDP) × 100» در Semantic Layer + تطبیق با پنل منبع؛ تارگت: مواد: ۸-۱۲٪</x:v>
      </x:c>
      <x:c r="AF116" s="30" t="str"/>
      <x:c r="AG116" s="30" t="str">
        <x:v>KPI-24</x:v>
      </x:c>
      <x:c r="AH116" s="30" t="str"/>
    </x:row>
    <x:row r="117">
      <x:c r="A117" s="19" t="inlineStr">
        <x:is>
          <x:t xml:space="preserve">TK-116</x:t>
        </x:is>
      </x:c>
      <x:c r="B117" s="6" t="inlineStr">
        <x:is>
          <x:t xml:space="preserve">پیاده‌سازی KPI: CAR (Cart Abandonment Rate)</x:t>
        </x:is>
      </x:c>
      <x:c r="C117" s="6" t="inlineStr">
        <x:is>
          <x:t xml:space="preserve">Implement KPI: Cart Abandonment Rate</x:t>
        </x:is>
      </x:c>
      <x:c r="D117" s="6" t="inlineStr">
        <x:is>
          <x:t xml:space="preserve">KPI</x:t>
        </x:is>
      </x:c>
      <x:c r="E117" s="6" t="inlineStr">
        <x:is>
          <x:t xml:space="preserve">KPI-25</x:t>
        </x:is>
      </x:c>
      <x:c r="F117" s="19" t="inlineStr">
        <x:is>
          <x:t xml:space="preserve">W4</x:t>
        </x:is>
      </x:c>
      <x:c r="G117" s="6" t="inlineStr">
        <x:is>
          <x:t xml:space="preserve">S2</x:t>
        </x:is>
      </x:c>
      <x:c r="H117" s="19" t="inlineStr">
        <x:is>
          <x:t xml:space="preserve">Critical</x:t>
        </x:is>
      </x:c>
      <x:c r="I117" s="6" t="inlineStr">
        <x:is>
          <x:t xml:space="preserve">CRO Specialist</x:t>
        </x:is>
      </x:c>
      <x:c r="J117" s="19" t="n">
        <x:v>5</x:v>
      </x:c>
      <x:c r="K117" s="19" t="n">
        <x:v>2</x:v>
      </x:c>
      <x:c r="L117" s="18" t="n">
        <x:f>J117*2-K117</x:f>
        <x:v>8</x:v>
      </x:c>
      <x:c r="M117" s="6" t="inlineStr">
        <x:is>
          <x:t xml:space="preserve">TK-089..091</x:t>
        </x:is>
      </x:c>
      <x:c r="N117" s="6" t="inlineStr">
        <x:is>
          <x:t xml:space="preserve">فرمول «(1 − Completed Purchases / ATC Sessions) × 100» در Semantic Layer + تطبیق با پنل منبع؛ تارگت: &lt; 68٪ در فروشگاه تخصصی</x:t>
        </x:is>
      </x:c>
      <x:c r="O117" s="19" t="inlineStr">
        <x:is>
          <x:t xml:space="preserve">Proposed</x:t>
        </x:is>
      </x:c>
      <x:c r="P117" s="6" t="inlineStr">
        <x:is>
          <x:t xml:space="preserve">سایت و قیف CRO</x:t>
        </x:is>
      </x:c>
      <x:c r="Q117" s="30" t="str">
        <x:v>TK-116</x:v>
      </x:c>
      <x:c r="R117" s="30" t="str"/>
      <x:c r="S117" s="30" t="str">
        <x:v>KPI</x:v>
      </x:c>
      <x:c r="T117" s="30" t="str">
        <x:v>KPI-25</x:v>
      </x:c>
      <x:c r="U117" s="30" t="str">
        <x:v>پیاده‌سازی KPI: CAR (Cart Abandonment Rate)</x:v>
      </x:c>
      <x:c r="V117" s="30" t="str">
        <x:v>Pending dependency review</x:v>
      </x:c>
      <x:c r="W117" s="30" t="str">
        <x:v>نیازمند تکمیل و تأیید مالک</x:v>
      </x:c>
      <x:c r="X117" s="30" t="str">
        <x:v>نیازمند تکمیل و تأیید مالک</x:v>
      </x:c>
      <x:c r="Y117" s="30" t="str">
        <x:v>CRO Specialist</x:v>
      </x:c>
      <x:c r="Z117" s="30" t="n">
        <x:v>7</x:v>
      </x:c>
      <x:c r="AA117" s="30" t="n">
        <x:v>116</x:v>
      </x:c>
      <x:c r="AB117" s="30" t="str">
        <x:v>فرمول «(1 − Completed Purchases / ATC Sessions) × 100» در Semantic Layer + تطبیق با پنل منبع؛ تارگت: &lt; 68٪ در فروشگاه تخصصی</x:v>
      </x:c>
      <x:c r="AC117" s="30" t="str">
        <x:v>نیازمند تکمیل و تأیید مالک</x:v>
      </x:c>
      <x:c r="AD117" s="30" t="str">
        <x:v>نیازمند تکمیل و تأیید مالک</x:v>
      </x:c>
      <x:c r="AE117" s="30" t="str">
        <x:v>فرمول «(1 − Completed Purchases / ATC Sessions) × 100» در Semantic Layer + تطبیق با پنل منبع؛ تارگت: &lt; 68٪ در فروشگاه تخصصی</x:v>
      </x:c>
      <x:c r="AF117" s="30" t="str"/>
      <x:c r="AG117" s="30" t="str">
        <x:v>KPI-25</x:v>
      </x:c>
      <x:c r="AH117" s="30" t="str"/>
    </x:row>
    <x:row r="118">
      <x:c r="A118" s="17" t="inlineStr">
        <x:is>
          <x:t xml:space="preserve">TK-117</x:t>
        </x:is>
      </x:c>
      <x:c r="B118" s="4" t="inlineStr">
        <x:is>
          <x:t xml:space="preserve">پیاده‌سازی KPI: CIR (Checkout Initiation Rate)</x:t>
        </x:is>
      </x:c>
      <x:c r="C118" s="4" t="inlineStr">
        <x:is>
          <x:t xml:space="preserve">Implement KPI: Checkout Initiation Rate</x:t>
        </x:is>
      </x:c>
      <x:c r="D118" s="4" t="inlineStr">
        <x:is>
          <x:t xml:space="preserve">KPI</x:t>
        </x:is>
      </x:c>
      <x:c r="E118" s="4" t="inlineStr">
        <x:is>
          <x:t xml:space="preserve">KPI-26</x:t>
        </x:is>
      </x:c>
      <x:c r="F118" s="17" t="inlineStr">
        <x:is>
          <x:t xml:space="preserve">W4</x:t>
        </x:is>
      </x:c>
      <x:c r="G118" s="4" t="inlineStr">
        <x:is>
          <x:t xml:space="preserve">S2</x:t>
        </x:is>
      </x:c>
      <x:c r="H118" s="17" t="inlineStr">
        <x:is>
          <x:t xml:space="preserve">High</x:t>
        </x:is>
      </x:c>
      <x:c r="I118" s="4" t="inlineStr">
        <x:is>
          <x:t xml:space="preserve">CRO Specialist</x:t>
        </x:is>
      </x:c>
      <x:c r="J118" s="17" t="n">
        <x:v>4</x:v>
      </x:c>
      <x:c r="K118" s="17" t="n">
        <x:v>2</x:v>
      </x:c>
      <x:c r="L118" s="18" t="n">
        <x:f>J118*2-K118</x:f>
        <x:v>6</x:v>
      </x:c>
      <x:c r="M118" s="4" t="inlineStr">
        <x:is>
          <x:t xml:space="preserve">TK-089..091</x:t>
        </x:is>
      </x:c>
      <x:c r="N118" s="4" t="inlineStr">
        <x:is>
          <x:t xml:space="preserve">فرمول «(Begin Checkout Sessions / ATC Sessions) × 100» در Semantic Layer + تطبیق با پنل منبع؛ تارگت: &gt; 55٪ سبدهای مواد</x:t>
        </x:is>
      </x:c>
      <x:c r="O118" s="17" t="inlineStr">
        <x:is>
          <x:t xml:space="preserve">Proposed</x:t>
        </x:is>
      </x:c>
      <x:c r="P118" s="4" t="inlineStr">
        <x:is>
          <x:t xml:space="preserve">سایت و قیف CRO</x:t>
        </x:is>
      </x:c>
      <x:c r="Q118" s="30" t="str">
        <x:v>TK-117</x:v>
      </x:c>
      <x:c r="R118" s="30" t="str"/>
      <x:c r="S118" s="30" t="str">
        <x:v>KPI</x:v>
      </x:c>
      <x:c r="T118" s="30" t="str">
        <x:v>KPI-26</x:v>
      </x:c>
      <x:c r="U118" s="30" t="str">
        <x:v>پیاده‌سازی KPI: CIR (Checkout Initiation Rate)</x:v>
      </x:c>
      <x:c r="V118" s="30" t="str">
        <x:v>Pending dependency review</x:v>
      </x:c>
      <x:c r="W118" s="30" t="str">
        <x:v>نیازمند تکمیل و تأیید مالک</x:v>
      </x:c>
      <x:c r="X118" s="30" t="str">
        <x:v>نیازمند تکمیل و تأیید مالک</x:v>
      </x:c>
      <x:c r="Y118" s="30" t="str">
        <x:v>CRO Specialist</x:v>
      </x:c>
      <x:c r="Z118" s="30" t="n">
        <x:v>7</x:v>
      </x:c>
      <x:c r="AA118" s="30" t="n">
        <x:v>117</x:v>
      </x:c>
      <x:c r="AB118" s="30" t="str">
        <x:v>فرمول «(Begin Checkout Sessions / ATC Sessions) × 100» در Semantic Layer + تطبیق با پنل منبع؛ تارگت: &gt; 55٪ سبدهای مواد</x:v>
      </x:c>
      <x:c r="AC118" s="30" t="str">
        <x:v>نیازمند تکمیل و تأیید مالک</x:v>
      </x:c>
      <x:c r="AD118" s="30" t="str">
        <x:v>نیازمند تکمیل و تأیید مالک</x:v>
      </x:c>
      <x:c r="AE118" s="30" t="str">
        <x:v>فرمول «(Begin Checkout Sessions / ATC Sessions) × 100» در Semantic Layer + تطبیق با پنل منبع؛ تارگت: &gt; 55٪ سبدهای مواد</x:v>
      </x:c>
      <x:c r="AF118" s="30" t="str"/>
      <x:c r="AG118" s="30" t="str">
        <x:v>KPI-26</x:v>
      </x:c>
      <x:c r="AH118" s="30" t="str"/>
    </x:row>
    <x:row r="119">
      <x:c r="A119" s="19" t="inlineStr">
        <x:is>
          <x:t xml:space="preserve">TK-118</x:t>
        </x:is>
      </x:c>
      <x:c r="B119" s="6" t="inlineStr">
        <x:is>
          <x:t xml:space="preserve">پیاده‌سازی KPI: Drop-off% (Step-by-Step Funnel Drop-off Rate)</x:t>
        </x:is>
      </x:c>
      <x:c r="C119" s="6" t="inlineStr">
        <x:is>
          <x:t xml:space="preserve">Implement KPI: Step-by-Step Funnel Drop-off Rate</x:t>
        </x:is>
      </x:c>
      <x:c r="D119" s="6" t="inlineStr">
        <x:is>
          <x:t xml:space="preserve">KPI</x:t>
        </x:is>
      </x:c>
      <x:c r="E119" s="6" t="inlineStr">
        <x:is>
          <x:t xml:space="preserve">KPI-27</x:t>
        </x:is>
      </x:c>
      <x:c r="F119" s="19" t="inlineStr">
        <x:is>
          <x:t xml:space="preserve">W4</x:t>
        </x:is>
      </x:c>
      <x:c r="G119" s="6" t="inlineStr">
        <x:is>
          <x:t xml:space="preserve">S2</x:t>
        </x:is>
      </x:c>
      <x:c r="H119" s="19" t="inlineStr">
        <x:is>
          <x:t xml:space="preserve">Critical</x:t>
        </x:is>
      </x:c>
      <x:c r="I119" s="6" t="inlineStr">
        <x:is>
          <x:t xml:space="preserve">CRO Specialist</x:t>
        </x:is>
      </x:c>
      <x:c r="J119" s="19" t="n">
        <x:v>5</x:v>
      </x:c>
      <x:c r="K119" s="19" t="n">
        <x:v>2</x:v>
      </x:c>
      <x:c r="L119" s="18" t="n">
        <x:f>J119*2-K119</x:f>
        <x:v>8</x:v>
      </x:c>
      <x:c r="M119" s="6" t="inlineStr">
        <x:is>
          <x:t xml:space="preserve">TK-089..091</x:t>
        </x:is>
      </x:c>
      <x:c r="N119" s="6" t="inlineStr">
        <x:is>
          <x:t xml:space="preserve">فرمول «(1 − Users Step N+1 / Users Step N) × 100» در Semantic Layer + تطبیق با پنل منبع؛ تارگت: ریزش آدرس→درگاه &lt; 30٪</x:t>
        </x:is>
      </x:c>
      <x:c r="O119" s="19" t="inlineStr">
        <x:is>
          <x:t xml:space="preserve">Proposed</x:t>
        </x:is>
      </x:c>
      <x:c r="P119" s="6" t="inlineStr">
        <x:is>
          <x:t xml:space="preserve">سایت و قیف CRO</x:t>
        </x:is>
      </x:c>
      <x:c r="Q119" s="30" t="str">
        <x:v>TK-118</x:v>
      </x:c>
      <x:c r="R119" s="30" t="str"/>
      <x:c r="S119" s="30" t="str">
        <x:v>KPI</x:v>
      </x:c>
      <x:c r="T119" s="30" t="str">
        <x:v>KPI-27</x:v>
      </x:c>
      <x:c r="U119" s="30" t="str">
        <x:v>پیاده‌سازی KPI: Drop-off% (Step-by-Step Funnel Drop-off Rate)</x:v>
      </x:c>
      <x:c r="V119" s="30" t="str">
        <x:v>Pending dependency review</x:v>
      </x:c>
      <x:c r="W119" s="30" t="str">
        <x:v>نیازمند تکمیل و تأیید مالک</x:v>
      </x:c>
      <x:c r="X119" s="30" t="str">
        <x:v>نیازمند تکمیل و تأیید مالک</x:v>
      </x:c>
      <x:c r="Y119" s="30" t="str">
        <x:v>CRO Specialist</x:v>
      </x:c>
      <x:c r="Z119" s="30" t="n">
        <x:v>7</x:v>
      </x:c>
      <x:c r="AA119" s="30" t="n">
        <x:v>118</x:v>
      </x:c>
      <x:c r="AB119" s="30" t="str">
        <x:v>فرمول «(1 − Users Step N+1 / Users Step N) × 100» در Semantic Layer + تطبیق با پنل منبع؛ تارگت: ریزش آدرس→درگاه &lt; 30٪</x:v>
      </x:c>
      <x:c r="AC119" s="30" t="str">
        <x:v>نیازمند تکمیل و تأیید مالک</x:v>
      </x:c>
      <x:c r="AD119" s="30" t="str">
        <x:v>نیازمند تکمیل و تأیید مالک</x:v>
      </x:c>
      <x:c r="AE119" s="30" t="str">
        <x:v>فرمول «(1 − Users Step N+1 / Users Step N) × 100» در Semantic Layer + تطبیق با پنل منبع؛ تارگت: ریزش آدرس→درگاه &lt; 30٪</x:v>
      </x:c>
      <x:c r="AF119" s="30" t="str"/>
      <x:c r="AG119" s="30" t="str">
        <x:v>KPI-27</x:v>
      </x:c>
      <x:c r="AH119" s="30" t="str"/>
    </x:row>
    <x:row r="120">
      <x:c r="A120" s="17" t="inlineStr">
        <x:is>
          <x:t xml:space="preserve">TK-119</x:t>
        </x:is>
      </x:c>
      <x:c r="B120" s="4" t="inlineStr">
        <x:is>
          <x:t xml:space="preserve">پیاده‌سازی KPI: L-MQL% (Lead-to-MQL Conversion Rate)</x:t>
        </x:is>
      </x:c>
      <x:c r="C120" s="4" t="inlineStr">
        <x:is>
          <x:t xml:space="preserve">Implement KPI: Lead-to-MQL Conversion Rate</x:t>
        </x:is>
      </x:c>
      <x:c r="D120" s="4" t="inlineStr">
        <x:is>
          <x:t xml:space="preserve">KPI</x:t>
        </x:is>
      </x:c>
      <x:c r="E120" s="4" t="inlineStr">
        <x:is>
          <x:t xml:space="preserve">KPI-28</x:t>
        </x:is>
      </x:c>
      <x:c r="F120" s="17" t="inlineStr">
        <x:is>
          <x:t xml:space="preserve">W4</x:t>
        </x:is>
      </x:c>
      <x:c r="G120" s="4" t="inlineStr">
        <x:is>
          <x:t xml:space="preserve">S2</x:t>
        </x:is>
      </x:c>
      <x:c r="H120" s="17" t="inlineStr">
        <x:is>
          <x:t xml:space="preserve">High</x:t>
        </x:is>
      </x:c>
      <x:c r="I120" s="4" t="inlineStr">
        <x:is>
          <x:t xml:space="preserve">CRM Manager</x:t>
        </x:is>
      </x:c>
      <x:c r="J120" s="17" t="n">
        <x:v>4</x:v>
      </x:c>
      <x:c r="K120" s="17" t="n">
        <x:v>2</x:v>
      </x:c>
      <x:c r="L120" s="18" t="n">
        <x:f>J120*2-K120</x:f>
        <x:v>6</x:v>
      </x:c>
      <x:c r="M120" s="4" t="inlineStr">
        <x:is>
          <x:t xml:space="preserve">TK-089..091</x:t>
        </x:is>
      </x:c>
      <x:c r="N120" s="4" t="inlineStr">
        <x:is>
          <x:t xml:space="preserve">فرمول «(Validated MQLs / Raw Leads) × 100» در Semantic Layer + تطبیق با پنل منبع؛ تارگت: &gt; 60٪ کمپین‌های B2B</x:t>
        </x:is>
      </x:c>
      <x:c r="O120" s="17" t="inlineStr">
        <x:is>
          <x:t xml:space="preserve">Proposed</x:t>
        </x:is>
      </x:c>
      <x:c r="P120" s="4" t="inlineStr">
        <x:is>
          <x:t xml:space="preserve">لید و پایپ‌لاین B2B</x:t>
        </x:is>
      </x:c>
      <x:c r="Q120" s="30" t="str">
        <x:v>TK-119</x:v>
      </x:c>
      <x:c r="R120" s="30" t="str"/>
      <x:c r="S120" s="30" t="str">
        <x:v>KPI</x:v>
      </x:c>
      <x:c r="T120" s="30" t="str">
        <x:v>KPI-28</x:v>
      </x:c>
      <x:c r="U120" s="30" t="str">
        <x:v>پیاده‌سازی KPI: L-MQL% (Lead-to-MQL Conversion Rate)</x:v>
      </x:c>
      <x:c r="V120" s="30" t="str">
        <x:v>Pending dependency review</x:v>
      </x:c>
      <x:c r="W120" s="30" t="str">
        <x:v>نیازمند تکمیل و تأیید مالک</x:v>
      </x:c>
      <x:c r="X120" s="30" t="str">
        <x:v>نیازمند تکمیل و تأیید مالک</x:v>
      </x:c>
      <x:c r="Y120" s="30" t="str">
        <x:v>CRM Manager</x:v>
      </x:c>
      <x:c r="Z120" s="30" t="n">
        <x:v>7</x:v>
      </x:c>
      <x:c r="AA120" s="30" t="n">
        <x:v>119</x:v>
      </x:c>
      <x:c r="AB120" s="30" t="str">
        <x:v>فرمول «(Validated MQLs / Raw Leads) × 100» در Semantic Layer + تطبیق با پنل منبع؛ تارگت: &gt; 60٪ کمپین‌های B2B</x:v>
      </x:c>
      <x:c r="AC120" s="30" t="str">
        <x:v>نیازمند تکمیل و تأیید مالک</x:v>
      </x:c>
      <x:c r="AD120" s="30" t="str">
        <x:v>نیازمند تکمیل و تأیید مالک</x:v>
      </x:c>
      <x:c r="AE120" s="30" t="str">
        <x:v>فرمول «(Validated MQLs / Raw Leads) × 100» در Semantic Layer + تطبیق با پنل منبع؛ تارگت: &gt; 60٪ کمپین‌های B2B</x:v>
      </x:c>
      <x:c r="AF120" s="30" t="str"/>
      <x:c r="AG120" s="30" t="str">
        <x:v>KPI-28</x:v>
      </x:c>
      <x:c r="AH120" s="30" t="str"/>
    </x:row>
    <x:row r="121">
      <x:c r="A121" s="19" t="inlineStr">
        <x:is>
          <x:t xml:space="preserve">TK-120</x:t>
        </x:is>
      </x:c>
      <x:c r="B121" s="6" t="inlineStr">
        <x:is>
          <x:t xml:space="preserve">پیاده‌سازی KPI: MQL-SQL% (MQL-to-SQL Conversion Rate)</x:t>
        </x:is>
      </x:c>
      <x:c r="C121" s="6" t="inlineStr">
        <x:is>
          <x:t xml:space="preserve">Implement KPI: MQL-to-SQL Conversion Rate</x:t>
        </x:is>
      </x:c>
      <x:c r="D121" s="6" t="inlineStr">
        <x:is>
          <x:t xml:space="preserve">KPI</x:t>
        </x:is>
      </x:c>
      <x:c r="E121" s="6" t="inlineStr">
        <x:is>
          <x:t xml:space="preserve">KPI-29</x:t>
        </x:is>
      </x:c>
      <x:c r="F121" s="19" t="inlineStr">
        <x:is>
          <x:t xml:space="preserve">W4</x:t>
        </x:is>
      </x:c>
      <x:c r="G121" s="6" t="inlineStr">
        <x:is>
          <x:t xml:space="preserve">S2</x:t>
        </x:is>
      </x:c>
      <x:c r="H121" s="19" t="inlineStr">
        <x:is>
          <x:t xml:space="preserve">Critical</x:t>
        </x:is>
      </x:c>
      <x:c r="I121" s="6" t="inlineStr">
        <x:is>
          <x:t xml:space="preserve">CRM Manager</x:t>
        </x:is>
      </x:c>
      <x:c r="J121" s="19" t="n">
        <x:v>5</x:v>
      </x:c>
      <x:c r="K121" s="19" t="n">
        <x:v>2</x:v>
      </x:c>
      <x:c r="L121" s="18" t="n">
        <x:f>J121*2-K121</x:f>
        <x:v>8</x:v>
      </x:c>
      <x:c r="M121" s="6" t="inlineStr">
        <x:is>
          <x:t xml:space="preserve">TK-089..091</x:t>
        </x:is>
      </x:c>
      <x:c r="N121" s="6" t="inlineStr">
        <x:is>
          <x:t xml:space="preserve">فرمول «(SQL / MQL) × 100» در Semantic Layer + تطبیق با پنل منبع؛ تارگت: ۳۰-۴۵٪ تجهیزات سنگین</x:t>
        </x:is>
      </x:c>
      <x:c r="O121" s="19" t="inlineStr">
        <x:is>
          <x:t xml:space="preserve">Proposed</x:t>
        </x:is>
      </x:c>
      <x:c r="P121" s="6" t="inlineStr">
        <x:is>
          <x:t xml:space="preserve">لید و پایپ‌لاین B2B</x:t>
        </x:is>
      </x:c>
      <x:c r="Q121" s="30" t="str">
        <x:v>TK-120</x:v>
      </x:c>
      <x:c r="R121" s="30" t="str"/>
      <x:c r="S121" s="30" t="str">
        <x:v>KPI</x:v>
      </x:c>
      <x:c r="T121" s="30" t="str">
        <x:v>KPI-29</x:v>
      </x:c>
      <x:c r="U121" s="30" t="str">
        <x:v>پیاده‌سازی KPI: MQL-SQL% (MQL-to-SQL Conversion Rate)</x:v>
      </x:c>
      <x:c r="V121" s="30" t="str">
        <x:v>Pending dependency review</x:v>
      </x:c>
      <x:c r="W121" s="30" t="str">
        <x:v>نیازمند تکمیل و تأیید مالک</x:v>
      </x:c>
      <x:c r="X121" s="30" t="str">
        <x:v>نیازمند تکمیل و تأیید مالک</x:v>
      </x:c>
      <x:c r="Y121" s="30" t="str">
        <x:v>CRM Manager</x:v>
      </x:c>
      <x:c r="Z121" s="30" t="n">
        <x:v>7</x:v>
      </x:c>
      <x:c r="AA121" s="30" t="n">
        <x:v>120</x:v>
      </x:c>
      <x:c r="AB121" s="30" t="str">
        <x:v>فرمول «(SQL / MQL) × 100» در Semantic Layer + تطبیق با پنل منبع؛ تارگت: ۳۰-۴۵٪ تجهیزات سنگین</x:v>
      </x:c>
      <x:c r="AC121" s="30" t="str">
        <x:v>نیازمند تکمیل و تأیید مالک</x:v>
      </x:c>
      <x:c r="AD121" s="30" t="str">
        <x:v>نیازمند تکمیل و تأیید مالک</x:v>
      </x:c>
      <x:c r="AE121" s="30" t="str">
        <x:v>فرمول «(SQL / MQL) × 100» در Semantic Layer + تطبیق با پنل منبع؛ تارگت: ۳۰-۴۵٪ تجهیزات سنگین</x:v>
      </x:c>
      <x:c r="AF121" s="30" t="str"/>
      <x:c r="AG121" s="30" t="str">
        <x:v>KPI-29</x:v>
      </x:c>
      <x:c r="AH121" s="30" t="str"/>
    </x:row>
    <x:row r="122">
      <x:c r="A122" s="17" t="inlineStr">
        <x:is>
          <x:t xml:space="preserve">TK-121</x:t>
        </x:is>
      </x:c>
      <x:c r="B122" s="4" t="inlineStr">
        <x:is>
          <x:t xml:space="preserve">پیاده‌سازی KPI: Win% (SQL-to-Sale Win Rate)</x:t>
        </x:is>
      </x:c>
      <x:c r="C122" s="4" t="inlineStr">
        <x:is>
          <x:t xml:space="preserve">Implement KPI: SQL-to-Sale Win Rate</x:t>
        </x:is>
      </x:c>
      <x:c r="D122" s="4" t="inlineStr">
        <x:is>
          <x:t xml:space="preserve">KPI</x:t>
        </x:is>
      </x:c>
      <x:c r="E122" s="4" t="inlineStr">
        <x:is>
          <x:t xml:space="preserve">KPI-30</x:t>
        </x:is>
      </x:c>
      <x:c r="F122" s="17" t="inlineStr">
        <x:is>
          <x:t xml:space="preserve">W4</x:t>
        </x:is>
      </x:c>
      <x:c r="G122" s="4" t="inlineStr">
        <x:is>
          <x:t xml:space="preserve">S2</x:t>
        </x:is>
      </x:c>
      <x:c r="H122" s="17" t="inlineStr">
        <x:is>
          <x:t xml:space="preserve">Critical</x:t>
        </x:is>
      </x:c>
      <x:c r="I122" s="4" t="inlineStr">
        <x:is>
          <x:t xml:space="preserve">CRM Manager</x:t>
        </x:is>
      </x:c>
      <x:c r="J122" s="17" t="n">
        <x:v>5</x:v>
      </x:c>
      <x:c r="K122" s="17" t="n">
        <x:v>2</x:v>
      </x:c>
      <x:c r="L122" s="18" t="n">
        <x:f>J122*2-K122</x:f>
        <x:v>8</x:v>
      </x:c>
      <x:c r="M122" s="4" t="inlineStr">
        <x:is>
          <x:t xml:space="preserve">TK-089..091</x:t>
        </x:is>
      </x:c>
      <x:c r="N122" s="4" t="inlineStr">
        <x:is>
          <x:t xml:space="preserve">فرمول «(Closed Won Deals / SQL Opportunities) × 100» در Semantic Layer + تطبیق با پنل منبع؛ تارگت: &gt; 25٪ مذاکره‌شدگان تجهیزات</x:t>
        </x:is>
      </x:c>
      <x:c r="O122" s="17" t="inlineStr">
        <x:is>
          <x:t xml:space="preserve">Proposed</x:t>
        </x:is>
      </x:c>
      <x:c r="P122" s="4" t="inlineStr">
        <x:is>
          <x:t xml:space="preserve">لید و پایپ‌لاین B2B</x:t>
        </x:is>
      </x:c>
      <x:c r="Q122" s="30" t="str">
        <x:v>TK-121</x:v>
      </x:c>
      <x:c r="R122" s="30" t="str"/>
      <x:c r="S122" s="30" t="str">
        <x:v>KPI</x:v>
      </x:c>
      <x:c r="T122" s="30" t="str">
        <x:v>KPI-30</x:v>
      </x:c>
      <x:c r="U122" s="30" t="str">
        <x:v>پیاده‌سازی KPI: Win% (SQL-to-Sale Win Rate)</x:v>
      </x:c>
      <x:c r="V122" s="30" t="str">
        <x:v>Pending dependency review</x:v>
      </x:c>
      <x:c r="W122" s="30" t="str">
        <x:v>نیازمند تکمیل و تأیید مالک</x:v>
      </x:c>
      <x:c r="X122" s="30" t="str">
        <x:v>نیازمند تکمیل و تأیید مالک</x:v>
      </x:c>
      <x:c r="Y122" s="30" t="str">
        <x:v>CRM Manager</x:v>
      </x:c>
      <x:c r="Z122" s="30" t="n">
        <x:v>7</x:v>
      </x:c>
      <x:c r="AA122" s="30" t="n">
        <x:v>121</x:v>
      </x:c>
      <x:c r="AB122" s="30" t="str">
        <x:v>فرمول «(Closed Won Deals / SQL Opportunities) × 100» در Semantic Layer + تطبیق با پنل منبع؛ تارگت: &gt; 25٪ مذاکره‌شدگان تجهیزات</x:v>
      </x:c>
      <x:c r="AC122" s="30" t="str">
        <x:v>نیازمند تکمیل و تأیید مالک</x:v>
      </x:c>
      <x:c r="AD122" s="30" t="str">
        <x:v>نیازمند تکمیل و تأیید مالک</x:v>
      </x:c>
      <x:c r="AE122" s="30" t="str">
        <x:v>فرمول «(Closed Won Deals / SQL Opportunities) × 100» در Semantic Layer + تطبیق با پنل منبع؛ تارگت: &gt; 25٪ مذاکره‌شدگان تجهیزات</x:v>
      </x:c>
      <x:c r="AF122" s="30" t="str"/>
      <x:c r="AG122" s="30" t="str">
        <x:v>KPI-30</x:v>
      </x:c>
      <x:c r="AH122" s="30" t="str"/>
    </x:row>
    <x:row r="123">
      <x:c r="A123" s="19" t="inlineStr">
        <x:is>
          <x:t xml:space="preserve">TK-122</x:t>
        </x:is>
      </x:c>
      <x:c r="B123" s="6" t="inlineStr">
        <x:is>
          <x:t xml:space="preserve">پیاده‌سازی KPI: CVR (Overall E-commerce CVR)</x:t>
        </x:is>
      </x:c>
      <x:c r="C123" s="6" t="inlineStr">
        <x:is>
          <x:t xml:space="preserve">Implement KPI: Overall E-commerce CVR</x:t>
        </x:is>
      </x:c>
      <x:c r="D123" s="6" t="inlineStr">
        <x:is>
          <x:t xml:space="preserve">KPI</x:t>
        </x:is>
      </x:c>
      <x:c r="E123" s="6" t="inlineStr">
        <x:is>
          <x:t xml:space="preserve">KPI-31</x:t>
        </x:is>
      </x:c>
      <x:c r="F123" s="19" t="inlineStr">
        <x:is>
          <x:t xml:space="preserve">W4</x:t>
        </x:is>
      </x:c>
      <x:c r="G123" s="6" t="inlineStr">
        <x:is>
          <x:t xml:space="preserve">S2</x:t>
        </x:is>
      </x:c>
      <x:c r="H123" s="19" t="inlineStr">
        <x:is>
          <x:t xml:space="preserve">Critical</x:t>
        </x:is>
      </x:c>
      <x:c r="I123" s="6" t="inlineStr">
        <x:is>
          <x:t xml:space="preserve">CRO Specialist</x:t>
        </x:is>
      </x:c>
      <x:c r="J123" s="19" t="n">
        <x:v>5</x:v>
      </x:c>
      <x:c r="K123" s="19" t="n">
        <x:v>2</x:v>
      </x:c>
      <x:c r="L123" s="18" t="n">
        <x:f>J123*2-K123</x:f>
        <x:v>8</x:v>
      </x:c>
      <x:c r="M123" s="6" t="inlineStr">
        <x:is>
          <x:t xml:space="preserve">TK-089..091</x:t>
        </x:is>
      </x:c>
      <x:c r="N123" s="6" t="inlineStr">
        <x:is>
          <x:t xml:space="preserve">فرمول «(Online Transactions / Web Sessions) × 100» در Semantic Layer + تطبیق با پنل منبع؛ تارگت: کل سایت ۱.۸-۲.۸٪ | سرچ &gt; 3.5٪</x:t>
        </x:is>
      </x:c>
      <x:c r="O123" s="19" t="inlineStr">
        <x:is>
          <x:t xml:space="preserve">Proposed</x:t>
        </x:is>
      </x:c>
      <x:c r="P123" s="6" t="inlineStr">
        <x:is>
          <x:t xml:space="preserve">سایت و قیف CRO</x:t>
        </x:is>
      </x:c>
      <x:c r="Q123" s="30" t="str">
        <x:v>TK-122</x:v>
      </x:c>
      <x:c r="R123" s="30" t="str"/>
      <x:c r="S123" s="30" t="str">
        <x:v>KPI</x:v>
      </x:c>
      <x:c r="T123" s="30" t="str">
        <x:v>KPI-31</x:v>
      </x:c>
      <x:c r="U123" s="30" t="str">
        <x:v>پیاده‌سازی KPI: CVR (Overall E-commerce CVR)</x:v>
      </x:c>
      <x:c r="V123" s="30" t="str">
        <x:v>Pending dependency review</x:v>
      </x:c>
      <x:c r="W123" s="30" t="str">
        <x:v>نیازمند تکمیل و تأیید مالک</x:v>
      </x:c>
      <x:c r="X123" s="30" t="str">
        <x:v>نیازمند تکمیل و تأیید مالک</x:v>
      </x:c>
      <x:c r="Y123" s="30" t="str">
        <x:v>CRO Specialist</x:v>
      </x:c>
      <x:c r="Z123" s="30" t="n">
        <x:v>7</x:v>
      </x:c>
      <x:c r="AA123" s="30" t="n">
        <x:v>122</x:v>
      </x:c>
      <x:c r="AB123" s="30" t="str">
        <x:v>فرمول «(Online Transactions / Web Sessions) × 100» در Semantic Layer + تطبیق با پنل منبع؛ تارگت: کل سایت ۱.۸-۲.۸٪ | سرچ &gt; 3.5٪</x:v>
      </x:c>
      <x:c r="AC123" s="30" t="str">
        <x:v>نیازمند تکمیل و تأیید مالک</x:v>
      </x:c>
      <x:c r="AD123" s="30" t="str">
        <x:v>نیازمند تکمیل و تأیید مالک</x:v>
      </x:c>
      <x:c r="AE123" s="30" t="str">
        <x:v>فرمول «(Online Transactions / Web Sessions) × 100» در Semantic Layer + تطبیق با پنل منبع؛ تارگت: کل سایت ۱.۸-۲.۸٪ | سرچ &gt; 3.5٪</x:v>
      </x:c>
      <x:c r="AF123" s="30" t="str"/>
      <x:c r="AG123" s="30" t="str">
        <x:v>KPI-31</x:v>
      </x:c>
      <x:c r="AH123" s="30" t="str"/>
    </x:row>
    <x:row r="124">
      <x:c r="A124" s="17" t="inlineStr">
        <x:is>
          <x:t xml:space="preserve">TK-123</x:t>
        </x:is>
      </x:c>
      <x:c r="B124" s="4" t="inlineStr">
        <x:is>
          <x:t xml:space="preserve">پیاده‌سازی KPI: TTC (Time to Conversion)</x:t>
        </x:is>
      </x:c>
      <x:c r="C124" s="4" t="inlineStr">
        <x:is>
          <x:t xml:space="preserve">Implement KPI: Time to Conversion</x:t>
        </x:is>
      </x:c>
      <x:c r="D124" s="4" t="inlineStr">
        <x:is>
          <x:t xml:space="preserve">KPI</x:t>
        </x:is>
      </x:c>
      <x:c r="E124" s="4" t="inlineStr">
        <x:is>
          <x:t xml:space="preserve">KPI-32</x:t>
        </x:is>
      </x:c>
      <x:c r="F124" s="17" t="inlineStr">
        <x:is>
          <x:t xml:space="preserve">W4</x:t>
        </x:is>
      </x:c>
      <x:c r="G124" s="4" t="inlineStr">
        <x:is>
          <x:t xml:space="preserve">S2</x:t>
        </x:is>
      </x:c>
      <x:c r="H124" s="17" t="inlineStr">
        <x:is>
          <x:t xml:space="preserve">High</x:t>
        </x:is>
      </x:c>
      <x:c r="I124" s="4" t="inlineStr">
        <x:is>
          <x:t xml:space="preserve">CRO Specialist</x:t>
        </x:is>
      </x:c>
      <x:c r="J124" s="17" t="n">
        <x:v>4</x:v>
      </x:c>
      <x:c r="K124" s="17" t="n">
        <x:v>2</x:v>
      </x:c>
      <x:c r="L124" s="18" t="n">
        <x:f>J124*2-K124</x:f>
        <x:v>6</x:v>
      </x:c>
      <x:c r="M124" s="4" t="inlineStr">
        <x:is>
          <x:t xml:space="preserve">TK-089..091</x:t>
        </x:is>
      </x:c>
      <x:c r="N124" s="4" t="inlineStr">
        <x:is>
          <x:t xml:space="preserve">فرمول «AVG(FirstTouchTs − PurchaseTs) per Converted Customer» در Semantic Layer + تطبیق با پنل منبع؛ تارگت: مواد &lt; 3 روز | تجهیزات ۲۰-۴۰ روز</x:t>
        </x:is>
      </x:c>
      <x:c r="O124" s="17" t="inlineStr">
        <x:is>
          <x:t xml:space="preserve">Proposed</x:t>
        </x:is>
      </x:c>
      <x:c r="P124" s="4" t="inlineStr">
        <x:is>
          <x:t xml:space="preserve">سایت و قیف CRO</x:t>
        </x:is>
      </x:c>
      <x:c r="Q124" s="30" t="str">
        <x:v>TK-123</x:v>
      </x:c>
      <x:c r="R124" s="30" t="str"/>
      <x:c r="S124" s="30" t="str">
        <x:v>KPI</x:v>
      </x:c>
      <x:c r="T124" s="30" t="str">
        <x:v>KPI-32</x:v>
      </x:c>
      <x:c r="U124" s="30" t="str">
        <x:v>پیاده‌سازی KPI: TTC (Time to Conversion)</x:v>
      </x:c>
      <x:c r="V124" s="30" t="str">
        <x:v>Pending dependency review</x:v>
      </x:c>
      <x:c r="W124" s="30" t="str">
        <x:v>نیازمند تکمیل و تأیید مالک</x:v>
      </x:c>
      <x:c r="X124" s="30" t="str">
        <x:v>نیازمند تکمیل و تأیید مالک</x:v>
      </x:c>
      <x:c r="Y124" s="30" t="str">
        <x:v>CRO Specialist</x:v>
      </x:c>
      <x:c r="Z124" s="30" t="n">
        <x:v>7</x:v>
      </x:c>
      <x:c r="AA124" s="30" t="n">
        <x:v>123</x:v>
      </x:c>
      <x:c r="AB124" s="30" t="str">
        <x:v>فرمول «AVG(FirstTouchTs − PurchaseTs) per Converted Customer» در Semantic Layer + تطبیق با پنل منبع؛ تارگت: مواد &lt; 3 روز | تجهیزات ۲۰-۴۰ روز</x:v>
      </x:c>
      <x:c r="AC124" s="30" t="str">
        <x:v>نیازمند تکمیل و تأیید مالک</x:v>
      </x:c>
      <x:c r="AD124" s="30" t="str">
        <x:v>نیازمند تکمیل و تأیید مالک</x:v>
      </x:c>
      <x:c r="AE124" s="30" t="str">
        <x:v>فرمول «AVG(FirstTouchTs − PurchaseTs) per Converted Customer» در Semantic Layer + تطبیق با پنل منبع؛ تارگت: مواد &lt; 3 روز | تجهیزات ۲۰-۴۰ روز</x:v>
      </x:c>
      <x:c r="AF124" s="30" t="str"/>
      <x:c r="AG124" s="30" t="str">
        <x:v>KPI-32</x:v>
      </x:c>
      <x:c r="AH124" s="30" t="str"/>
    </x:row>
    <x:row r="125">
      <x:c r="A125" s="19" t="inlineStr">
        <x:is>
          <x:t xml:space="preserve">TK-124</x:t>
        </x:is>
      </x:c>
      <x:c r="B125" s="6" t="inlineStr">
        <x:is>
          <x:t xml:space="preserve">پیاده‌سازی KPI: Gross Rev (Gross Revenue)</x:t>
        </x:is>
      </x:c>
      <x:c r="C125" s="6" t="inlineStr">
        <x:is>
          <x:t xml:space="preserve">Implement KPI: Gross Revenue</x:t>
        </x:is>
      </x:c>
      <x:c r="D125" s="6" t="inlineStr">
        <x:is>
          <x:t xml:space="preserve">KPI</x:t>
        </x:is>
      </x:c>
      <x:c r="E125" s="6" t="inlineStr">
        <x:is>
          <x:t xml:space="preserve">KPI-33</x:t>
        </x:is>
      </x:c>
      <x:c r="F125" s="19" t="inlineStr">
        <x:is>
          <x:t xml:space="preserve">W4</x:t>
        </x:is>
      </x:c>
      <x:c r="G125" s="6" t="inlineStr">
        <x:is>
          <x:t xml:space="preserve">S2</x:t>
        </x:is>
      </x:c>
      <x:c r="H125" s="19" t="inlineStr">
        <x:is>
          <x:t xml:space="preserve">Critical</x:t>
        </x:is>
      </x:c>
      <x:c r="I125" s="6" t="inlineStr">
        <x:is>
          <x:t xml:space="preserve">Data Analyst</x:t>
        </x:is>
      </x:c>
      <x:c r="J125" s="19" t="n">
        <x:v>5</x:v>
      </x:c>
      <x:c r="K125" s="19" t="n">
        <x:v>2</x:v>
      </x:c>
      <x:c r="L125" s="18" t="n">
        <x:f>J125*2-K125</x:f>
        <x:v>8</x:v>
      </x:c>
      <x:c r="M125" s="6" t="inlineStr">
        <x:is>
          <x:t xml:space="preserve">TK-089..091</x:t>
        </x:is>
      </x:c>
      <x:c r="N125" s="6" t="inlineStr">
        <x:is>
          <x:t xml:space="preserve">فرمول «SUM(Item Qty × List Price)» در Semantic Layer + تطبیق با پنل منبع؛ تارگت: رشد ماهیانه ۸-۱۲٪ اسمی</x:t>
        </x:is>
      </x:c>
      <x:c r="O125" s="19" t="inlineStr">
        <x:is>
          <x:t xml:space="preserve">Proposed</x:t>
        </x:is>
      </x:c>
      <x:c r="P125" s="6" t="inlineStr">
        <x:is>
          <x:t xml:space="preserve">درآمد و سفارش</x:t>
        </x:is>
      </x:c>
      <x:c r="Q125" s="30" t="str">
        <x:v>TK-124</x:v>
      </x:c>
      <x:c r="R125" s="30" t="str"/>
      <x:c r="S125" s="30" t="str">
        <x:v>KPI</x:v>
      </x:c>
      <x:c r="T125" s="30" t="str">
        <x:v>KPI-33</x:v>
      </x:c>
      <x:c r="U125" s="30" t="str">
        <x:v>پیاده‌سازی KPI: Gross Rev (Gross Revenue)</x:v>
      </x:c>
      <x:c r="V125" s="30" t="str">
        <x:v>Pending dependency review</x:v>
      </x:c>
      <x:c r="W125" s="30" t="str">
        <x:v>نیازمند تکمیل و تأیید مالک</x:v>
      </x:c>
      <x:c r="X125" s="30" t="str">
        <x:v>نیازمند تکمیل و تأیید مالک</x:v>
      </x:c>
      <x:c r="Y125" s="30" t="str">
        <x:v>Data Analyst</x:v>
      </x:c>
      <x:c r="Z125" s="30" t="n">
        <x:v>7</x:v>
      </x:c>
      <x:c r="AA125" s="30" t="n">
        <x:v>124</x:v>
      </x:c>
      <x:c r="AB125" s="30" t="str">
        <x:v>فرمول «SUM(Item Qty × List Price)» در Semantic Layer + تطبیق با پنل منبع؛ تارگت: رشد ماهیانه ۸-۱۲٪ اسمی</x:v>
      </x:c>
      <x:c r="AC125" s="30" t="str">
        <x:v>نیازمند تکمیل و تأیید مالک</x:v>
      </x:c>
      <x:c r="AD125" s="30" t="str">
        <x:v>نیازمند تکمیل و تأیید مالک</x:v>
      </x:c>
      <x:c r="AE125" s="30" t="str">
        <x:v>فرمول «SUM(Item Qty × List Price)» در Semantic Layer + تطبیق با پنل منبع؛ تارگت: رشد ماهیانه ۸-۱۲٪ اسمی</x:v>
      </x:c>
      <x:c r="AF125" s="30" t="str"/>
      <x:c r="AG125" s="30" t="str">
        <x:v>KPI-33</x:v>
      </x:c>
      <x:c r="AH125" s="30" t="str"/>
    </x:row>
    <x:row r="126">
      <x:c r="A126" s="17" t="inlineStr">
        <x:is>
          <x:t xml:space="preserve">TK-125</x:t>
        </x:is>
      </x:c>
      <x:c r="B126" s="4" t="inlineStr">
        <x:is>
          <x:t xml:space="preserve">پیاده‌سازی KPI: Net Rev (Net Revenue)</x:t>
        </x:is>
      </x:c>
      <x:c r="C126" s="4" t="inlineStr">
        <x:is>
          <x:t xml:space="preserve">Implement KPI: Net Revenue</x:t>
        </x:is>
      </x:c>
      <x:c r="D126" s="4" t="inlineStr">
        <x:is>
          <x:t xml:space="preserve">KPI</x:t>
        </x:is>
      </x:c>
      <x:c r="E126" s="4" t="inlineStr">
        <x:is>
          <x:t xml:space="preserve">KPI-34</x:t>
        </x:is>
      </x:c>
      <x:c r="F126" s="17" t="inlineStr">
        <x:is>
          <x:t xml:space="preserve">W4</x:t>
        </x:is>
      </x:c>
      <x:c r="G126" s="4" t="inlineStr">
        <x:is>
          <x:t xml:space="preserve">S2</x:t>
        </x:is>
      </x:c>
      <x:c r="H126" s="17" t="inlineStr">
        <x:is>
          <x:t xml:space="preserve">Critical</x:t>
        </x:is>
      </x:c>
      <x:c r="I126" s="4" t="inlineStr">
        <x:is>
          <x:t xml:space="preserve">Data Analyst</x:t>
        </x:is>
      </x:c>
      <x:c r="J126" s="17" t="n">
        <x:v>5</x:v>
      </x:c>
      <x:c r="K126" s="17" t="n">
        <x:v>2</x:v>
      </x:c>
      <x:c r="L126" s="18" t="n">
        <x:f>J126*2-K126</x:f>
        <x:v>8</x:v>
      </x:c>
      <x:c r="M126" s="4" t="inlineStr">
        <x:is>
          <x:t xml:space="preserve">TK-089..091</x:t>
        </x:is>
      </x:c>
      <x:c r="N126" s="4" t="inlineStr">
        <x:is>
          <x:t xml:space="preserve">فرمول «Gross − (Discounts + Returns + Cancellations + VAT)» در Semantic Layer + تطبیق با پنل منبع؛ تارگت: نسبت خالص/ناخالص &gt; 88٪</x:t>
        </x:is>
      </x:c>
      <x:c r="O126" s="17" t="inlineStr">
        <x:is>
          <x:t xml:space="preserve">Proposed</x:t>
        </x:is>
      </x:c>
      <x:c r="P126" s="4" t="inlineStr">
        <x:is>
          <x:t xml:space="preserve">درآمد و سفارش</x:t>
        </x:is>
      </x:c>
      <x:c r="Q126" s="30" t="str">
        <x:v>TK-125</x:v>
      </x:c>
      <x:c r="R126" s="30" t="str"/>
      <x:c r="S126" s="30" t="str">
        <x:v>KPI</x:v>
      </x:c>
      <x:c r="T126" s="30" t="str">
        <x:v>KPI-34</x:v>
      </x:c>
      <x:c r="U126" s="30" t="str">
        <x:v>پیاده‌سازی KPI: Net Rev (Net Revenue)</x:v>
      </x:c>
      <x:c r="V126" s="30" t="str">
        <x:v>Pending dependency review</x:v>
      </x:c>
      <x:c r="W126" s="30" t="str">
        <x:v>نیازمند تکمیل و تأیید مالک</x:v>
      </x:c>
      <x:c r="X126" s="30" t="str">
        <x:v>نیازمند تکمیل و تأیید مالک</x:v>
      </x:c>
      <x:c r="Y126" s="30" t="str">
        <x:v>Data Analyst</x:v>
      </x:c>
      <x:c r="Z126" s="30" t="n">
        <x:v>7</x:v>
      </x:c>
      <x:c r="AA126" s="30" t="n">
        <x:v>125</x:v>
      </x:c>
      <x:c r="AB126" s="30" t="str">
        <x:v>فرمول «Gross − (Discounts + Returns + Cancellations + VAT)» در Semantic Layer + تطبیق با پنل منبع؛ تارگت: نسبت خالص/ناخالص &gt; 88٪</x:v>
      </x:c>
      <x:c r="AC126" s="30" t="str">
        <x:v>نیازمند تکمیل و تأیید مالک</x:v>
      </x:c>
      <x:c r="AD126" s="30" t="str">
        <x:v>نیازمند تکمیل و تأیید مالک</x:v>
      </x:c>
      <x:c r="AE126" s="30" t="str">
        <x:v>فرمول «Gross − (Discounts + Returns + Cancellations + VAT)» در Semantic Layer + تطبیق با پنل منبع؛ تارگت: نسبت خالص/ناخالص &gt; 88٪</x:v>
      </x:c>
      <x:c r="AF126" s="30" t="str"/>
      <x:c r="AG126" s="30" t="str">
        <x:v>KPI-34</x:v>
      </x:c>
      <x:c r="AH126" s="30" t="str"/>
    </x:row>
    <x:row r="127">
      <x:c r="A127" s="19" t="inlineStr">
        <x:is>
          <x:t xml:space="preserve">TK-126</x:t>
        </x:is>
      </x:c>
      <x:c r="B127" s="6" t="inlineStr">
        <x:is>
          <x:t xml:space="preserve">پیاده‌سازی KPI: AOV (Average Order Value)</x:t>
        </x:is>
      </x:c>
      <x:c r="C127" s="6" t="inlineStr">
        <x:is>
          <x:t xml:space="preserve">Implement KPI: Average Order Value</x:t>
        </x:is>
      </x:c>
      <x:c r="D127" s="6" t="inlineStr">
        <x:is>
          <x:t xml:space="preserve">KPI</x:t>
        </x:is>
      </x:c>
      <x:c r="E127" s="6" t="inlineStr">
        <x:is>
          <x:t xml:space="preserve">KPI-35</x:t>
        </x:is>
      </x:c>
      <x:c r="F127" s="19" t="inlineStr">
        <x:is>
          <x:t xml:space="preserve">W4</x:t>
        </x:is>
      </x:c>
      <x:c r="G127" s="6" t="inlineStr">
        <x:is>
          <x:t xml:space="preserve">S2</x:t>
        </x:is>
      </x:c>
      <x:c r="H127" s="19" t="inlineStr">
        <x:is>
          <x:t xml:space="preserve">Critical</x:t>
        </x:is>
      </x:c>
      <x:c r="I127" s="6" t="inlineStr">
        <x:is>
          <x:t xml:space="preserve">Data Analyst</x:t>
        </x:is>
      </x:c>
      <x:c r="J127" s="19" t="n">
        <x:v>5</x:v>
      </x:c>
      <x:c r="K127" s="19" t="n">
        <x:v>2</x:v>
      </x:c>
      <x:c r="L127" s="18" t="n">
        <x:f>J127*2-K127</x:f>
        <x:v>8</x:v>
      </x:c>
      <x:c r="M127" s="6" t="inlineStr">
        <x:is>
          <x:t xml:space="preserve">TK-089..091</x:t>
        </x:is>
      </x:c>
      <x:c r="N127" s="6" t="inlineStr">
        <x:is>
          <x:t xml:space="preserve">فرمول «Net Revenue / Completed Orders» در Semantic Layer + تطبیق با پنل منبع؛ تارگت: مواد &gt; 35,000,000 | تجهیزات &gt; 400,000,00</x:t>
        </x:is>
      </x:c>
      <x:c r="O127" s="19" t="inlineStr">
        <x:is>
          <x:t xml:space="preserve">Proposed</x:t>
        </x:is>
      </x:c>
      <x:c r="P127" s="6" t="inlineStr">
        <x:is>
          <x:t xml:space="preserve">درآمد و سفارش</x:t>
        </x:is>
      </x:c>
      <x:c r="Q127" s="30" t="str">
        <x:v>TK-126</x:v>
      </x:c>
      <x:c r="R127" s="30" t="str"/>
      <x:c r="S127" s="30" t="str">
        <x:v>KPI</x:v>
      </x:c>
      <x:c r="T127" s="30" t="str">
        <x:v>KPI-35</x:v>
      </x:c>
      <x:c r="U127" s="30" t="str">
        <x:v>پیاده‌سازی KPI: AOV (Average Order Value)</x:v>
      </x:c>
      <x:c r="V127" s="30" t="str">
        <x:v>Pending dependency review</x:v>
      </x:c>
      <x:c r="W127" s="30" t="str">
        <x:v>نیازمند تکمیل و تأیید مالک</x:v>
      </x:c>
      <x:c r="X127" s="30" t="str">
        <x:v>نیازمند تکمیل و تأیید مالک</x:v>
      </x:c>
      <x:c r="Y127" s="30" t="str">
        <x:v>Data Analyst</x:v>
      </x:c>
      <x:c r="Z127" s="30" t="n">
        <x:v>7</x:v>
      </x:c>
      <x:c r="AA127" s="30" t="n">
        <x:v>126</x:v>
      </x:c>
      <x:c r="AB127" s="30" t="str">
        <x:v>فرمول «Net Revenue / Completed Orders» در Semantic Layer + تطبیق با پنل منبع؛ تارگت: مواد &gt; 35,000,000 | تجهیزات &gt; 400,000,00</x:v>
      </x:c>
      <x:c r="AC127" s="30" t="str">
        <x:v>نیازمند تکمیل و تأیید مالک</x:v>
      </x:c>
      <x:c r="AD127" s="30" t="str">
        <x:v>نیازمند تکمیل و تأیید مالک</x:v>
      </x:c>
      <x:c r="AE127" s="30" t="str">
        <x:v>فرمول «Net Revenue / Completed Orders» در Semantic Layer + تطبیق با پنل منبع؛ تارگت: مواد &gt; 35,000,000 | تجهیزات &gt; 400,000,00</x:v>
      </x:c>
      <x:c r="AF127" s="30" t="str"/>
      <x:c r="AG127" s="30" t="str">
        <x:v>KPI-35</x:v>
      </x:c>
      <x:c r="AH127" s="30" t="str"/>
    </x:row>
    <x:row r="128">
      <x:c r="A128" s="17" t="inlineStr">
        <x:is>
          <x:t xml:space="preserve">TK-127</x:t>
        </x:is>
      </x:c>
      <x:c r="B128" s="4" t="inlineStr">
        <x:is>
          <x:t xml:space="preserve">پیاده‌سازی KPI: IPO (Items per Order)</x:t>
        </x:is>
      </x:c>
      <x:c r="C128" s="4" t="inlineStr">
        <x:is>
          <x:t xml:space="preserve">Implement KPI: Items per Order</x:t>
        </x:is>
      </x:c>
      <x:c r="D128" s="4" t="inlineStr">
        <x:is>
          <x:t xml:space="preserve">KPI</x:t>
        </x:is>
      </x:c>
      <x:c r="E128" s="4" t="inlineStr">
        <x:is>
          <x:t xml:space="preserve">KPI-36</x:t>
        </x:is>
      </x:c>
      <x:c r="F128" s="17" t="inlineStr">
        <x:is>
          <x:t xml:space="preserve">W4</x:t>
        </x:is>
      </x:c>
      <x:c r="G128" s="4" t="inlineStr">
        <x:is>
          <x:t xml:space="preserve">S2</x:t>
        </x:is>
      </x:c>
      <x:c r="H128" s="17" t="inlineStr">
        <x:is>
          <x:t xml:space="preserve">Medium</x:t>
        </x:is>
      </x:c>
      <x:c r="I128" s="4" t="inlineStr">
        <x:is>
          <x:t xml:space="preserve">Data Analyst</x:t>
        </x:is>
      </x:c>
      <x:c r="J128" s="17" t="n">
        <x:v>3</x:v>
      </x:c>
      <x:c r="K128" s="17" t="n">
        <x:v>2</x:v>
      </x:c>
      <x:c r="L128" s="18" t="n">
        <x:f>J128*2-K128</x:f>
        <x:v>4</x:v>
      </x:c>
      <x:c r="M128" s="4" t="inlineStr">
        <x:is>
          <x:t xml:space="preserve">TK-089..091</x:t>
        </x:is>
      </x:c>
      <x:c r="N128" s="4" t="inlineStr">
        <x:is>
          <x:t xml:space="preserve">فرمول «Total Units Sold / Total Orders» در Semantic Layer + تطبیق با پنل منبع؛ تارگت: مواد: ۳.۸ تا ۵.۵ قلم</x:t>
        </x:is>
      </x:c>
      <x:c r="O128" s="17" t="inlineStr">
        <x:is>
          <x:t xml:space="preserve">Proposed</x:t>
        </x:is>
      </x:c>
      <x:c r="P128" s="4" t="inlineStr">
        <x:is>
          <x:t xml:space="preserve">درآمد و سفارش</x:t>
        </x:is>
      </x:c>
      <x:c r="Q128" s="30" t="str">
        <x:v>TK-127</x:v>
      </x:c>
      <x:c r="R128" s="30" t="str"/>
      <x:c r="S128" s="30" t="str">
        <x:v>KPI</x:v>
      </x:c>
      <x:c r="T128" s="30" t="str">
        <x:v>KPI-36</x:v>
      </x:c>
      <x:c r="U128" s="30" t="str">
        <x:v>پیاده‌سازی KPI: IPO (Items per Order)</x:v>
      </x:c>
      <x:c r="V128" s="30" t="str">
        <x:v>Pending dependency review</x:v>
      </x:c>
      <x:c r="W128" s="30" t="str">
        <x:v>نیازمند تکمیل و تأیید مالک</x:v>
      </x:c>
      <x:c r="X128" s="30" t="str">
        <x:v>نیازمند تکمیل و تأیید مالک</x:v>
      </x:c>
      <x:c r="Y128" s="30" t="str">
        <x:v>Data Analyst</x:v>
      </x:c>
      <x:c r="Z128" s="30" t="n">
        <x:v>7</x:v>
      </x:c>
      <x:c r="AA128" s="30" t="n">
        <x:v>127</x:v>
      </x:c>
      <x:c r="AB128" s="30" t="str">
        <x:v>فرمول «Total Units Sold / Total Orders» در Semantic Layer + تطبیق با پنل منبع؛ تارگت: مواد: ۳.۸ تا ۵.۵ قلم</x:v>
      </x:c>
      <x:c r="AC128" s="30" t="str">
        <x:v>نیازمند تکمیل و تأیید مالک</x:v>
      </x:c>
      <x:c r="AD128" s="30" t="str">
        <x:v>نیازمند تکمیل و تأیید مالک</x:v>
      </x:c>
      <x:c r="AE128" s="30" t="str">
        <x:v>فرمول «Total Units Sold / Total Orders» در Semantic Layer + تطبیق با پنل منبع؛ تارگت: مواد: ۳.۸ تا ۵.۵ قلم</x:v>
      </x:c>
      <x:c r="AF128" s="30" t="str"/>
      <x:c r="AG128" s="30" t="str">
        <x:v>KPI-36</x:v>
      </x:c>
      <x:c r="AH128" s="30" t="str"/>
    </x:row>
    <x:row r="129">
      <x:c r="A129" s="19" t="inlineStr">
        <x:is>
          <x:t xml:space="preserve">TK-128</x:t>
        </x:is>
      </x:c>
      <x:c r="B129" s="6" t="inlineStr">
        <x:is>
          <x:t xml:space="preserve">پیاده‌سازی KPI: ARPU (Average Revenue Per User)</x:t>
        </x:is>
      </x:c>
      <x:c r="C129" s="6" t="inlineStr">
        <x:is>
          <x:t xml:space="preserve">Implement KPI: Average Revenue Per User</x:t>
        </x:is>
      </x:c>
      <x:c r="D129" s="6" t="inlineStr">
        <x:is>
          <x:t xml:space="preserve">KPI</x:t>
        </x:is>
      </x:c>
      <x:c r="E129" s="6" t="inlineStr">
        <x:is>
          <x:t xml:space="preserve">KPI-37</x:t>
        </x:is>
      </x:c>
      <x:c r="F129" s="19" t="inlineStr">
        <x:is>
          <x:t xml:space="preserve">W4</x:t>
        </x:is>
      </x:c>
      <x:c r="G129" s="6" t="inlineStr">
        <x:is>
          <x:t xml:space="preserve">S2</x:t>
        </x:is>
      </x:c>
      <x:c r="H129" s="19" t="inlineStr">
        <x:is>
          <x:t xml:space="preserve">High</x:t>
        </x:is>
      </x:c>
      <x:c r="I129" s="6" t="inlineStr">
        <x:is>
          <x:t xml:space="preserve">Data Analyst</x:t>
        </x:is>
      </x:c>
      <x:c r="J129" s="19" t="n">
        <x:v>4</x:v>
      </x:c>
      <x:c r="K129" s="19" t="n">
        <x:v>2</x:v>
      </x:c>
      <x:c r="L129" s="18" t="n">
        <x:f>J129*2-K129</x:f>
        <x:v>6</x:v>
      </x:c>
      <x:c r="M129" s="6" t="inlineStr">
        <x:is>
          <x:t xml:space="preserve">TK-089..091</x:t>
        </x:is>
      </x:c>
      <x:c r="N129" s="6" t="inlineStr">
        <x:is>
          <x:t xml:space="preserve">فرمول «Net Revenue / Registered Users in Period» در Semantic Layer + تطبیق با پنل منبع؛ تارگت: رشد سالانه ≥ 20٪ کوهورت‌ها</x:t>
        </x:is>
      </x:c>
      <x:c r="O129" s="19" t="inlineStr">
        <x:is>
          <x:t xml:space="preserve">Proposed</x:t>
        </x:is>
      </x:c>
      <x:c r="P129" s="6" t="inlineStr">
        <x:is>
          <x:t xml:space="preserve">درآمد و سفارش</x:t>
        </x:is>
      </x:c>
      <x:c r="Q129" s="30" t="str">
        <x:v>TK-128</x:v>
      </x:c>
      <x:c r="R129" s="30" t="str"/>
      <x:c r="S129" s="30" t="str">
        <x:v>KPI</x:v>
      </x:c>
      <x:c r="T129" s="30" t="str">
        <x:v>KPI-37</x:v>
      </x:c>
      <x:c r="U129" s="30" t="str">
        <x:v>پیاده‌سازی KPI: ARPU (Average Revenue Per User)</x:v>
      </x:c>
      <x:c r="V129" s="30" t="str">
        <x:v>Pending dependency review</x:v>
      </x:c>
      <x:c r="W129" s="30" t="str">
        <x:v>نیازمند تکمیل و تأیید مالک</x:v>
      </x:c>
      <x:c r="X129" s="30" t="str">
        <x:v>نیازمند تکمیل و تأیید مالک</x:v>
      </x:c>
      <x:c r="Y129" s="30" t="str">
        <x:v>Data Analyst</x:v>
      </x:c>
      <x:c r="Z129" s="30" t="n">
        <x:v>7</x:v>
      </x:c>
      <x:c r="AA129" s="30" t="n">
        <x:v>128</x:v>
      </x:c>
      <x:c r="AB129" s="30" t="str">
        <x:v>فرمول «Net Revenue / Registered Users in Period» در Semantic Layer + تطبیق با پنل منبع؛ تارگت: رشد سالانه ≥ 20٪ کوهورت‌ها</x:v>
      </x:c>
      <x:c r="AC129" s="30" t="str">
        <x:v>نیازمند تکمیل و تأیید مالک</x:v>
      </x:c>
      <x:c r="AD129" s="30" t="str">
        <x:v>نیازمند تکمیل و تأیید مالک</x:v>
      </x:c>
      <x:c r="AE129" s="30" t="str">
        <x:v>فرمول «Net Revenue / Registered Users in Period» در Semantic Layer + تطبیق با پنل منبع؛ تارگت: رشد سالانه ≥ 20٪ کوهورت‌ها</x:v>
      </x:c>
      <x:c r="AF129" s="30" t="str"/>
      <x:c r="AG129" s="30" t="str">
        <x:v>KPI-37</x:v>
      </x:c>
      <x:c r="AH129" s="30" t="str"/>
    </x:row>
    <x:row r="130">
      <x:c r="A130" s="17" t="inlineStr">
        <x:is>
          <x:t xml:space="preserve">TK-129</x:t>
        </x:is>
      </x:c>
      <x:c r="B130" s="4" t="inlineStr">
        <x:is>
          <x:t xml:space="preserve">پیاده‌سازی KPI: ARPPU (Average Revenue Per Paying User)</x:t>
        </x:is>
      </x:c>
      <x:c r="C130" s="4" t="inlineStr">
        <x:is>
          <x:t xml:space="preserve">Implement KPI: Average Revenue Per Paying User</x:t>
        </x:is>
      </x:c>
      <x:c r="D130" s="4" t="inlineStr">
        <x:is>
          <x:t xml:space="preserve">KPI</x:t>
        </x:is>
      </x:c>
      <x:c r="E130" s="4" t="inlineStr">
        <x:is>
          <x:t xml:space="preserve">KPI-38</x:t>
        </x:is>
      </x:c>
      <x:c r="F130" s="17" t="inlineStr">
        <x:is>
          <x:t xml:space="preserve">W4</x:t>
        </x:is>
      </x:c>
      <x:c r="G130" s="4" t="inlineStr">
        <x:is>
          <x:t xml:space="preserve">S2</x:t>
        </x:is>
      </x:c>
      <x:c r="H130" s="17" t="inlineStr">
        <x:is>
          <x:t xml:space="preserve">High</x:t>
        </x:is>
      </x:c>
      <x:c r="I130" s="4" t="inlineStr">
        <x:is>
          <x:t xml:space="preserve">Data Analyst</x:t>
        </x:is>
      </x:c>
      <x:c r="J130" s="17" t="n">
        <x:v>4</x:v>
      </x:c>
      <x:c r="K130" s="17" t="n">
        <x:v>2</x:v>
      </x:c>
      <x:c r="L130" s="18" t="n">
        <x:f>J130*2-K130</x:f>
        <x:v>6</x:v>
      </x:c>
      <x:c r="M130" s="4" t="inlineStr">
        <x:is>
          <x:t xml:space="preserve">TK-089..091</x:t>
        </x:is>
      </x:c>
      <x:c r="N130" s="4" t="inlineStr">
        <x:is>
          <x:t xml:space="preserve">فرمول «Net Revenue / Unique Paying Customers» در Semantic Layer + تطبیق با پنل منبع؛ تارگت: ≥ 150,000,000 ریال/سال (مواد عمومی)</x:t>
        </x:is>
      </x:c>
      <x:c r="O130" s="17" t="inlineStr">
        <x:is>
          <x:t xml:space="preserve">Proposed</x:t>
        </x:is>
      </x:c>
      <x:c r="P130" s="4" t="inlineStr">
        <x:is>
          <x:t xml:space="preserve">درآمد و سفارش</x:t>
        </x:is>
      </x:c>
      <x:c r="Q130" s="30" t="str">
        <x:v>TK-129</x:v>
      </x:c>
      <x:c r="R130" s="30" t="str"/>
      <x:c r="S130" s="30" t="str">
        <x:v>KPI</x:v>
      </x:c>
      <x:c r="T130" s="30" t="str">
        <x:v>KPI-38</x:v>
      </x:c>
      <x:c r="U130" s="30" t="str">
        <x:v>پیاده‌سازی KPI: ARPPU (Average Revenue Per Paying User)</x:v>
      </x:c>
      <x:c r="V130" s="30" t="str">
        <x:v>Pending dependency review</x:v>
      </x:c>
      <x:c r="W130" s="30" t="str">
        <x:v>نیازمند تکمیل و تأیید مالک</x:v>
      </x:c>
      <x:c r="X130" s="30" t="str">
        <x:v>نیازمند تکمیل و تأیید مالک</x:v>
      </x:c>
      <x:c r="Y130" s="30" t="str">
        <x:v>Data Analyst</x:v>
      </x:c>
      <x:c r="Z130" s="30" t="n">
        <x:v>7</x:v>
      </x:c>
      <x:c r="AA130" s="30" t="n">
        <x:v>129</x:v>
      </x:c>
      <x:c r="AB130" s="30" t="str">
        <x:v>فرمول «Net Revenue / Unique Paying Customers» در Semantic Layer + تطبیق با پنل منبع؛ تارگت: ≥ 150,000,000 ریال/سال (مواد عمومی)</x:v>
      </x:c>
      <x:c r="AC130" s="30" t="str">
        <x:v>نیازمند تکمیل و تأیید مالک</x:v>
      </x:c>
      <x:c r="AD130" s="30" t="str">
        <x:v>نیازمند تکمیل و تأیید مالک</x:v>
      </x:c>
      <x:c r="AE130" s="30" t="str">
        <x:v>فرمول «Net Revenue / Unique Paying Customers» در Semantic Layer + تطبیق با پنل منبع؛ تارگت: ≥ 150,000,000 ریال/سال (مواد عمومی)</x:v>
      </x:c>
      <x:c r="AF130" s="30" t="str"/>
      <x:c r="AG130" s="30" t="str">
        <x:v>KPI-38</x:v>
      </x:c>
      <x:c r="AH130" s="30" t="str"/>
    </x:row>
    <x:row r="131">
      <x:c r="A131" s="19" t="inlineStr">
        <x:is>
          <x:t xml:space="preserve">TK-130</x:t>
        </x:is>
      </x:c>
      <x:c r="B131" s="6" t="inlineStr">
        <x:is>
          <x:t xml:space="preserve">پیاده‌سازی KPI: RPS (Revenue per Session)</x:t>
        </x:is>
      </x:c>
      <x:c r="C131" s="6" t="inlineStr">
        <x:is>
          <x:t xml:space="preserve">Implement KPI: Revenue per Session</x:t>
        </x:is>
      </x:c>
      <x:c r="D131" s="6" t="inlineStr">
        <x:is>
          <x:t xml:space="preserve">KPI</x:t>
        </x:is>
      </x:c>
      <x:c r="E131" s="6" t="inlineStr">
        <x:is>
          <x:t xml:space="preserve">KPI-39</x:t>
        </x:is>
      </x:c>
      <x:c r="F131" s="19" t="inlineStr">
        <x:is>
          <x:t xml:space="preserve">W4</x:t>
        </x:is>
      </x:c>
      <x:c r="G131" s="6" t="inlineStr">
        <x:is>
          <x:t xml:space="preserve">S2</x:t>
        </x:is>
      </x:c>
      <x:c r="H131" s="19" t="inlineStr">
        <x:is>
          <x:t xml:space="preserve">Critical</x:t>
        </x:is>
      </x:c>
      <x:c r="I131" s="6" t="inlineStr">
        <x:is>
          <x:t xml:space="preserve">Data Analyst</x:t>
        </x:is>
      </x:c>
      <x:c r="J131" s="19" t="n">
        <x:v>5</x:v>
      </x:c>
      <x:c r="K131" s="19" t="n">
        <x:v>2</x:v>
      </x:c>
      <x:c r="L131" s="18" t="n">
        <x:f>J131*2-K131</x:f>
        <x:v>8</x:v>
      </x:c>
      <x:c r="M131" s="6" t="inlineStr">
        <x:is>
          <x:t xml:space="preserve">TK-089..091</x:t>
        </x:is>
      </x:c>
      <x:c r="N131" s="6" t="inlineStr">
        <x:is>
          <x:t xml:space="preserve">فرمول «Total Online Revenue / Web Sessions» در Semantic Layer + تطبیق با پنل منبع؛ تارگت: &gt; 120,000 ریال/سشن (ترافیک ادز)</x:t>
        </x:is>
      </x:c>
      <x:c r="O131" s="19" t="inlineStr">
        <x:is>
          <x:t xml:space="preserve">Proposed</x:t>
        </x:is>
      </x:c>
      <x:c r="P131" s="6" t="inlineStr">
        <x:is>
          <x:t xml:space="preserve">درآمد و سفارش</x:t>
        </x:is>
      </x:c>
      <x:c r="Q131" s="30" t="str">
        <x:v>TK-130</x:v>
      </x:c>
      <x:c r="R131" s="30" t="str"/>
      <x:c r="S131" s="30" t="str">
        <x:v>KPI</x:v>
      </x:c>
      <x:c r="T131" s="30" t="str">
        <x:v>KPI-39</x:v>
      </x:c>
      <x:c r="U131" s="30" t="str">
        <x:v>پیاده‌سازی KPI: RPS (Revenue per Session)</x:v>
      </x:c>
      <x:c r="V131" s="30" t="str">
        <x:v>Pending dependency review</x:v>
      </x:c>
      <x:c r="W131" s="30" t="str">
        <x:v>نیازمند تکمیل و تأیید مالک</x:v>
      </x:c>
      <x:c r="X131" s="30" t="str">
        <x:v>نیازمند تکمیل و تأیید مالک</x:v>
      </x:c>
      <x:c r="Y131" s="30" t="str">
        <x:v>Data Analyst</x:v>
      </x:c>
      <x:c r="Z131" s="30" t="n">
        <x:v>7</x:v>
      </x:c>
      <x:c r="AA131" s="30" t="n">
        <x:v>130</x:v>
      </x:c>
      <x:c r="AB131" s="30" t="str">
        <x:v>فرمول «Total Online Revenue / Web Sessions» در Semantic Layer + تطبیق با پنل منبع؛ تارگت: &gt; 120,000 ریال/سشن (ترافیک ادز)</x:v>
      </x:c>
      <x:c r="AC131" s="30" t="str">
        <x:v>نیازمند تکمیل و تأیید مالک</x:v>
      </x:c>
      <x:c r="AD131" s="30" t="str">
        <x:v>نیازمند تکمیل و تأیید مالک</x:v>
      </x:c>
      <x:c r="AE131" s="30" t="str">
        <x:v>فرمول «Total Online Revenue / Web Sessions» در Semantic Layer + تطبیق با پنل منبع؛ تارگت: &gt; 120,000 ریال/سشن (ترافیک ادز)</x:v>
      </x:c>
      <x:c r="AF131" s="30" t="str"/>
      <x:c r="AG131" s="30" t="str">
        <x:v>KPI-39</x:v>
      </x:c>
      <x:c r="AH131" s="30" t="str"/>
    </x:row>
    <x:row r="132">
      <x:c r="A132" s="17" t="inlineStr">
        <x:is>
          <x:t xml:space="preserve">TK-131</x:t>
        </x:is>
      </x:c>
      <x:c r="B132" s="4" t="inlineStr">
        <x:is>
          <x:t xml:space="preserve">پیاده‌سازی KPI: RPC (Revenue per Click)</x:t>
        </x:is>
      </x:c>
      <x:c r="C132" s="4" t="inlineStr">
        <x:is>
          <x:t xml:space="preserve">Implement KPI: Revenue per Click</x:t>
        </x:is>
      </x:c>
      <x:c r="D132" s="4" t="inlineStr">
        <x:is>
          <x:t xml:space="preserve">KPI</x:t>
        </x:is>
      </x:c>
      <x:c r="E132" s="4" t="inlineStr">
        <x:is>
          <x:t xml:space="preserve">KPI-40</x:t>
        </x:is>
      </x:c>
      <x:c r="F132" s="17" t="inlineStr">
        <x:is>
          <x:t xml:space="preserve">W4</x:t>
        </x:is>
      </x:c>
      <x:c r="G132" s="4" t="inlineStr">
        <x:is>
          <x:t xml:space="preserve">S2</x:t>
        </x:is>
      </x:c>
      <x:c r="H132" s="17" t="inlineStr">
        <x:is>
          <x:t xml:space="preserve">High</x:t>
        </x:is>
      </x:c>
      <x:c r="I132" s="4" t="inlineStr">
        <x:is>
          <x:t xml:space="preserve">Data Analyst</x:t>
        </x:is>
      </x:c>
      <x:c r="J132" s="17" t="n">
        <x:v>4</x:v>
      </x:c>
      <x:c r="K132" s="17" t="n">
        <x:v>2</x:v>
      </x:c>
      <x:c r="L132" s="18" t="n">
        <x:f>J132*2-K132</x:f>
        <x:v>6</x:v>
      </x:c>
      <x:c r="M132" s="4" t="inlineStr">
        <x:is>
          <x:t xml:space="preserve">TK-089..091</x:t>
        </x:is>
      </x:c>
      <x:c r="N132" s="4" t="inlineStr">
        <x:is>
          <x:t xml:space="preserve">فرمول «Attributed Revenue / Paid Clicks» در Semantic Layer + تطبیق با پنل منبع؛ تارگت: ۴ تا ۶ برابر CPC (سرچ خرید)</x:t>
        </x:is>
      </x:c>
      <x:c r="O132" s="17" t="inlineStr">
        <x:is>
          <x:t xml:space="preserve">Proposed</x:t>
        </x:is>
      </x:c>
      <x:c r="P132" s="4" t="inlineStr">
        <x:is>
          <x:t xml:space="preserve">درآمد و سفارش</x:t>
        </x:is>
      </x:c>
      <x:c r="Q132" s="30" t="str">
        <x:v>TK-131</x:v>
      </x:c>
      <x:c r="R132" s="30" t="str"/>
      <x:c r="S132" s="30" t="str">
        <x:v>KPI</x:v>
      </x:c>
      <x:c r="T132" s="30" t="str">
        <x:v>KPI-40</x:v>
      </x:c>
      <x:c r="U132" s="30" t="str">
        <x:v>پیاده‌سازی KPI: RPC (Revenue per Click)</x:v>
      </x:c>
      <x:c r="V132" s="30" t="str">
        <x:v>Pending dependency review</x:v>
      </x:c>
      <x:c r="W132" s="30" t="str">
        <x:v>نیازمند تکمیل و تأیید مالک</x:v>
      </x:c>
      <x:c r="X132" s="30" t="str">
        <x:v>نیازمند تکمیل و تأیید مالک</x:v>
      </x:c>
      <x:c r="Y132" s="30" t="str">
        <x:v>Data Analyst</x:v>
      </x:c>
      <x:c r="Z132" s="30" t="n">
        <x:v>7</x:v>
      </x:c>
      <x:c r="AA132" s="30" t="n">
        <x:v>131</x:v>
      </x:c>
      <x:c r="AB132" s="30" t="str">
        <x:v>فرمول «Attributed Revenue / Paid Clicks» در Semantic Layer + تطبیق با پنل منبع؛ تارگت: ۴ تا ۶ برابر CPC (سرچ خرید)</x:v>
      </x:c>
      <x:c r="AC132" s="30" t="str">
        <x:v>نیازمند تکمیل و تأیید مالک</x:v>
      </x:c>
      <x:c r="AD132" s="30" t="str">
        <x:v>نیازمند تکمیل و تأیید مالک</x:v>
      </x:c>
      <x:c r="AE132" s="30" t="str">
        <x:v>فرمول «Attributed Revenue / Paid Clicks» در Semantic Layer + تطبیق با پنل منبع؛ تارگت: ۴ تا ۶ برابر CPC (سرچ خرید)</x:v>
      </x:c>
      <x:c r="AF132" s="30" t="str"/>
      <x:c r="AG132" s="30" t="str">
        <x:v>KPI-40</x:v>
      </x:c>
      <x:c r="AH132" s="30" t="str"/>
    </x:row>
    <x:row r="133">
      <x:c r="A133" s="19" t="inlineStr">
        <x:is>
          <x:t xml:space="preserve">TK-132</x:t>
        </x:is>
      </x:c>
      <x:c r="B133" s="6" t="inlineStr">
        <x:is>
          <x:t xml:space="preserve">پیاده‌سازی KPI: Return% (Refund / Return Rate)</x:t>
        </x:is>
      </x:c>
      <x:c r="C133" s="6" t="inlineStr">
        <x:is>
          <x:t xml:space="preserve">Implement KPI: Refund / Return Rate</x:t>
        </x:is>
      </x:c>
      <x:c r="D133" s="6" t="inlineStr">
        <x:is>
          <x:t xml:space="preserve">KPI</x:t>
        </x:is>
      </x:c>
      <x:c r="E133" s="6" t="inlineStr">
        <x:is>
          <x:t xml:space="preserve">KPI-41</x:t>
        </x:is>
      </x:c>
      <x:c r="F133" s="19" t="inlineStr">
        <x:is>
          <x:t xml:space="preserve">W4</x:t>
        </x:is>
      </x:c>
      <x:c r="G133" s="6" t="inlineStr">
        <x:is>
          <x:t xml:space="preserve">S2</x:t>
        </x:is>
      </x:c>
      <x:c r="H133" s="19" t="inlineStr">
        <x:is>
          <x:t xml:space="preserve">Critical</x:t>
        </x:is>
      </x:c>
      <x:c r="I133" s="6" t="inlineStr">
        <x:is>
          <x:t xml:space="preserve">Data Analyst</x:t>
        </x:is>
      </x:c>
      <x:c r="J133" s="19" t="n">
        <x:v>5</x:v>
      </x:c>
      <x:c r="K133" s="19" t="n">
        <x:v>2</x:v>
      </x:c>
      <x:c r="L133" s="18" t="n">
        <x:f>J133*2-K133</x:f>
        <x:v>8</x:v>
      </x:c>
      <x:c r="M133" s="6" t="inlineStr">
        <x:is>
          <x:t xml:space="preserve">TK-089..091</x:t>
        </x:is>
      </x:c>
      <x:c r="N133" s="6" t="inlineStr">
        <x:is>
          <x:t xml:space="preserve">فرمول «(Refunded Amount / Gross Revenue) × 100» در Semantic Layer + تطبیق با پنل منبع؛ تارگت: مواد &lt; 2.0٪ | ابزار &lt; 3.5٪</x:t>
        </x:is>
      </x:c>
      <x:c r="O133" s="19" t="inlineStr">
        <x:is>
          <x:t xml:space="preserve">Proposed</x:t>
        </x:is>
      </x:c>
      <x:c r="P133" s="6" t="inlineStr">
        <x:is>
          <x:t xml:space="preserve">مرجوعی و سود</x:t>
        </x:is>
      </x:c>
      <x:c r="Q133" s="30" t="str">
        <x:v>TK-132</x:v>
      </x:c>
      <x:c r="R133" s="30" t="str"/>
      <x:c r="S133" s="30" t="str">
        <x:v>KPI</x:v>
      </x:c>
      <x:c r="T133" s="30" t="str">
        <x:v>KPI-41</x:v>
      </x:c>
      <x:c r="U133" s="30" t="str">
        <x:v>پیاده‌سازی KPI: Return% (Refund / Return Rate)</x:v>
      </x:c>
      <x:c r="V133" s="30" t="str">
        <x:v>Pending dependency review</x:v>
      </x:c>
      <x:c r="W133" s="30" t="str">
        <x:v>نیازمند تکمیل و تأیید مالک</x:v>
      </x:c>
      <x:c r="X133" s="30" t="str">
        <x:v>نیازمند تکمیل و تأیید مالک</x:v>
      </x:c>
      <x:c r="Y133" s="30" t="str">
        <x:v>Data Analyst</x:v>
      </x:c>
      <x:c r="Z133" s="30" t="n">
        <x:v>7</x:v>
      </x:c>
      <x:c r="AA133" s="30" t="n">
        <x:v>132</x:v>
      </x:c>
      <x:c r="AB133" s="30" t="str">
        <x:v>فرمول «(Refunded Amount / Gross Revenue) × 100» در Semantic Layer + تطبیق با پنل منبع؛ تارگت: مواد &lt; 2.0٪ | ابزار &lt; 3.5٪</x:v>
      </x:c>
      <x:c r="AC133" s="30" t="str">
        <x:v>نیازمند تکمیل و تأیید مالک</x:v>
      </x:c>
      <x:c r="AD133" s="30" t="str">
        <x:v>نیازمند تکمیل و تأیید مالک</x:v>
      </x:c>
      <x:c r="AE133" s="30" t="str">
        <x:v>فرمول «(Refunded Amount / Gross Revenue) × 100» در Semantic Layer + تطبیق با پنل منبع؛ تارگت: مواد &lt; 2.0٪ | ابزار &lt; 3.5٪</x:v>
      </x:c>
      <x:c r="AF133" s="30" t="str"/>
      <x:c r="AG133" s="30" t="str">
        <x:v>KPI-41</x:v>
      </x:c>
      <x:c r="AH133" s="30" t="str"/>
    </x:row>
    <x:row r="134">
      <x:c r="A134" s="17" t="inlineStr">
        <x:is>
          <x:t xml:space="preserve">TK-133</x:t>
        </x:is>
      </x:c>
      <x:c r="B134" s="4" t="inlineStr">
        <x:is>
          <x:t xml:space="preserve">پیاده‌سازی KPI: Cancel% (Order Cancellation Rate)</x:t>
        </x:is>
      </x:c>
      <x:c r="C134" s="4" t="inlineStr">
        <x:is>
          <x:t xml:space="preserve">Implement KPI: Order Cancellation Rate</x:t>
        </x:is>
      </x:c>
      <x:c r="D134" s="4" t="inlineStr">
        <x:is>
          <x:t xml:space="preserve">KPI</x:t>
        </x:is>
      </x:c>
      <x:c r="E134" s="4" t="inlineStr">
        <x:is>
          <x:t xml:space="preserve">KPI-42</x:t>
        </x:is>
      </x:c>
      <x:c r="F134" s="17" t="inlineStr">
        <x:is>
          <x:t xml:space="preserve">W4</x:t>
        </x:is>
      </x:c>
      <x:c r="G134" s="4" t="inlineStr">
        <x:is>
          <x:t xml:space="preserve">S2</x:t>
        </x:is>
      </x:c>
      <x:c r="H134" s="17" t="inlineStr">
        <x:is>
          <x:t xml:space="preserve">High</x:t>
        </x:is>
      </x:c>
      <x:c r="I134" s="4" t="inlineStr">
        <x:is>
          <x:t xml:space="preserve">Data Analyst</x:t>
        </x:is>
      </x:c>
      <x:c r="J134" s="17" t="n">
        <x:v>4</x:v>
      </x:c>
      <x:c r="K134" s="17" t="n">
        <x:v>2</x:v>
      </x:c>
      <x:c r="L134" s="18" t="n">
        <x:f>J134*2-K134</x:f>
        <x:v>6</x:v>
      </x:c>
      <x:c r="M134" s="4" t="inlineStr">
        <x:is>
          <x:t xml:space="preserve">TK-089..091</x:t>
        </x:is>
      </x:c>
      <x:c r="N134" s="4" t="inlineStr">
        <x:is>
          <x:t xml:space="preserve">فرمول «(Cancelled Orders / Initial Orders) × 100» در Semantic Layer + تطبیق با پنل منبع؛ تارگت: &lt; 4.0٪ سفارش‌های پرداخت‌شده</x:t>
        </x:is>
      </x:c>
      <x:c r="O134" s="17" t="inlineStr">
        <x:is>
          <x:t xml:space="preserve">Proposed</x:t>
        </x:is>
      </x:c>
      <x:c r="P134" s="4" t="inlineStr">
        <x:is>
          <x:t xml:space="preserve">مرجوعی و سود</x:t>
        </x:is>
      </x:c>
      <x:c r="Q134" s="30" t="str">
        <x:v>TK-133</x:v>
      </x:c>
      <x:c r="R134" s="30" t="str"/>
      <x:c r="S134" s="30" t="str">
        <x:v>KPI</x:v>
      </x:c>
      <x:c r="T134" s="30" t="str">
        <x:v>KPI-42</x:v>
      </x:c>
      <x:c r="U134" s="30" t="str">
        <x:v>پیاده‌سازی KPI: Cancel% (Order Cancellation Rate)</x:v>
      </x:c>
      <x:c r="V134" s="30" t="str">
        <x:v>Pending dependency review</x:v>
      </x:c>
      <x:c r="W134" s="30" t="str">
        <x:v>نیازمند تکمیل و تأیید مالک</x:v>
      </x:c>
      <x:c r="X134" s="30" t="str">
        <x:v>نیازمند تکمیل و تأیید مالک</x:v>
      </x:c>
      <x:c r="Y134" s="30" t="str">
        <x:v>Data Analyst</x:v>
      </x:c>
      <x:c r="Z134" s="30" t="n">
        <x:v>7</x:v>
      </x:c>
      <x:c r="AA134" s="30" t="n">
        <x:v>133</x:v>
      </x:c>
      <x:c r="AB134" s="30" t="str">
        <x:v>فرمول «(Cancelled Orders / Initial Orders) × 100» در Semantic Layer + تطبیق با پنل منبع؛ تارگت: &lt; 4.0٪ سفارش‌های پرداخت‌شده</x:v>
      </x:c>
      <x:c r="AC134" s="30" t="str">
        <x:v>نیازمند تکمیل و تأیید مالک</x:v>
      </x:c>
      <x:c r="AD134" s="30" t="str">
        <x:v>نیازمند تکمیل و تأیید مالک</x:v>
      </x:c>
      <x:c r="AE134" s="30" t="str">
        <x:v>فرمول «(Cancelled Orders / Initial Orders) × 100» در Semantic Layer + تطبیق با پنل منبع؛ تارگت: &lt; 4.0٪ سفارش‌های پرداخت‌شده</x:v>
      </x:c>
      <x:c r="AF134" s="30" t="str"/>
      <x:c r="AG134" s="30" t="str">
        <x:v>KPI-42</x:v>
      </x:c>
      <x:c r="AH134" s="30" t="str"/>
    </x:row>
    <x:row r="135">
      <x:c r="A135" s="19" t="inlineStr">
        <x:is>
          <x:t xml:space="preserve">TK-134</x:t>
        </x:is>
      </x:c>
      <x:c r="B135" s="6" t="inlineStr">
        <x:is>
          <x:t xml:space="preserve">پیاده‌سازی KPI: EDR (Effective Discount Rate)</x:t>
        </x:is>
      </x:c>
      <x:c r="C135" s="6" t="inlineStr">
        <x:is>
          <x:t xml:space="preserve">Implement KPI: Effective Discount Rate</x:t>
        </x:is>
      </x:c>
      <x:c r="D135" s="6" t="inlineStr">
        <x:is>
          <x:t xml:space="preserve">KPI</x:t>
        </x:is>
      </x:c>
      <x:c r="E135" s="6" t="inlineStr">
        <x:is>
          <x:t xml:space="preserve">KPI-43</x:t>
        </x:is>
      </x:c>
      <x:c r="F135" s="19" t="inlineStr">
        <x:is>
          <x:t xml:space="preserve">W4</x:t>
        </x:is>
      </x:c>
      <x:c r="G135" s="6" t="inlineStr">
        <x:is>
          <x:t xml:space="preserve">S2</x:t>
        </x:is>
      </x:c>
      <x:c r="H135" s="19" t="inlineStr">
        <x:is>
          <x:t xml:space="preserve">High</x:t>
        </x:is>
      </x:c>
      <x:c r="I135" s="6" t="inlineStr">
        <x:is>
          <x:t xml:space="preserve">Data Analyst</x:t>
        </x:is>
      </x:c>
      <x:c r="J135" s="19" t="n">
        <x:v>4</x:v>
      </x:c>
      <x:c r="K135" s="19" t="n">
        <x:v>2</x:v>
      </x:c>
      <x:c r="L135" s="18" t="n">
        <x:f>J135*2-K135</x:f>
        <x:v>6</x:v>
      </x:c>
      <x:c r="M135" s="6" t="inlineStr">
        <x:is>
          <x:t xml:space="preserve">TK-089..091</x:t>
        </x:is>
      </x:c>
      <x:c r="N135" s="6" t="inlineStr">
        <x:is>
          <x:t xml:space="preserve">فرمول «(Total Discount Given / Gross Revenue) × 100» در Semantic Layer + تطبیق با پنل منبع؛ تارگت: میانگین سالانه &lt; 6.5٪</x:t>
        </x:is>
      </x:c>
      <x:c r="O135" s="19" t="inlineStr">
        <x:is>
          <x:t xml:space="preserve">Proposed</x:t>
        </x:is>
      </x:c>
      <x:c r="P135" s="6" t="inlineStr">
        <x:is>
          <x:t xml:space="preserve">مرجوعی و سود</x:t>
        </x:is>
      </x:c>
      <x:c r="Q135" s="30" t="str">
        <x:v>TK-134</x:v>
      </x:c>
      <x:c r="R135" s="30" t="str"/>
      <x:c r="S135" s="30" t="str">
        <x:v>KPI</x:v>
      </x:c>
      <x:c r="T135" s="30" t="str">
        <x:v>KPI-43</x:v>
      </x:c>
      <x:c r="U135" s="30" t="str">
        <x:v>پیاده‌سازی KPI: EDR (Effective Discount Rate)</x:v>
      </x:c>
      <x:c r="V135" s="30" t="str">
        <x:v>Pending dependency review</x:v>
      </x:c>
      <x:c r="W135" s="30" t="str">
        <x:v>نیازمند تکمیل و تأیید مالک</x:v>
      </x:c>
      <x:c r="X135" s="30" t="str">
        <x:v>نیازمند تکمیل و تأیید مالک</x:v>
      </x:c>
      <x:c r="Y135" s="30" t="str">
        <x:v>Data Analyst</x:v>
      </x:c>
      <x:c r="Z135" s="30" t="n">
        <x:v>7</x:v>
      </x:c>
      <x:c r="AA135" s="30" t="n">
        <x:v>134</x:v>
      </x:c>
      <x:c r="AB135" s="30" t="str">
        <x:v>فرمول «(Total Discount Given / Gross Revenue) × 100» در Semantic Layer + تطبیق با پنل منبع؛ تارگت: میانگین سالانه &lt; 6.5٪</x:v>
      </x:c>
      <x:c r="AC135" s="30" t="str">
        <x:v>نیازمند تکمیل و تأیید مالک</x:v>
      </x:c>
      <x:c r="AD135" s="30" t="str">
        <x:v>نیازمند تکمیل و تأیید مالک</x:v>
      </x:c>
      <x:c r="AE135" s="30" t="str">
        <x:v>فرمول «(Total Discount Given / Gross Revenue) × 100» در Semantic Layer + تطبیق با پنل منبع؛ تارگت: میانگین سالانه &lt; 6.5٪</x:v>
      </x:c>
      <x:c r="AF135" s="30" t="str"/>
      <x:c r="AG135" s="30" t="str">
        <x:v>KPI-43</x:v>
      </x:c>
      <x:c r="AH135" s="30" t="str"/>
    </x:row>
    <x:row r="136">
      <x:c r="A136" s="17" t="inlineStr">
        <x:is>
          <x:t xml:space="preserve">TK-135</x:t>
        </x:is>
      </x:c>
      <x:c r="B136" s="4" t="inlineStr">
        <x:is>
          <x:t xml:space="preserve">پیاده‌سازی KPI: GP (Gross Profit)</x:t>
        </x:is>
      </x:c>
      <x:c r="C136" s="4" t="inlineStr">
        <x:is>
          <x:t xml:space="preserve">Implement KPI: Gross Profit</x:t>
        </x:is>
      </x:c>
      <x:c r="D136" s="4" t="inlineStr">
        <x:is>
          <x:t xml:space="preserve">KPI</x:t>
        </x:is>
      </x:c>
      <x:c r="E136" s="4" t="inlineStr">
        <x:is>
          <x:t xml:space="preserve">KPI-44</x:t>
        </x:is>
      </x:c>
      <x:c r="F136" s="17" t="inlineStr">
        <x:is>
          <x:t xml:space="preserve">W4</x:t>
        </x:is>
      </x:c>
      <x:c r="G136" s="4" t="inlineStr">
        <x:is>
          <x:t xml:space="preserve">S2</x:t>
        </x:is>
      </x:c>
      <x:c r="H136" s="17" t="inlineStr">
        <x:is>
          <x:t xml:space="preserve">Critical</x:t>
        </x:is>
      </x:c>
      <x:c r="I136" s="4" t="inlineStr">
        <x:is>
          <x:t xml:space="preserve">Finance Manager</x:t>
        </x:is>
      </x:c>
      <x:c r="J136" s="17" t="n">
        <x:v>5</x:v>
      </x:c>
      <x:c r="K136" s="17" t="n">
        <x:v>2</x:v>
      </x:c>
      <x:c r="L136" s="18" t="n">
        <x:f>J136*2-K136</x:f>
        <x:v>8</x:v>
      </x:c>
      <x:c r="M136" s="4" t="inlineStr">
        <x:is>
          <x:t xml:space="preserve">TK-089..091</x:t>
        </x:is>
      </x:c>
      <x:c r="N136" s="4" t="inlineStr">
        <x:is>
          <x:t xml:space="preserve">فرمول «Net Revenue − COGS» در Semantic Layer + تطبیق با پنل منبع؛ تارگت: حاشیه &gt; 28٪ سبد تلفیقی</x:t>
        </x:is>
      </x:c>
      <x:c r="O136" s="17" t="inlineStr">
        <x:is>
          <x:t xml:space="preserve">Proposed</x:t>
        </x:is>
      </x:c>
      <x:c r="P136" s="4" t="inlineStr">
        <x:is>
          <x:t xml:space="preserve">سود و اقتصاد واحد</x:t>
        </x:is>
      </x:c>
      <x:c r="Q136" s="30" t="str">
        <x:v>TK-135</x:v>
      </x:c>
      <x:c r="R136" s="30" t="str"/>
      <x:c r="S136" s="30" t="str">
        <x:v>KPI</x:v>
      </x:c>
      <x:c r="T136" s="30" t="str">
        <x:v>KPI-44</x:v>
      </x:c>
      <x:c r="U136" s="30" t="str">
        <x:v>پیاده‌سازی KPI: GP (Gross Profit)</x:v>
      </x:c>
      <x:c r="V136" s="30" t="str">
        <x:v>Pending dependency review</x:v>
      </x:c>
      <x:c r="W136" s="30" t="str">
        <x:v>نیازمند تکمیل و تأیید مالک</x:v>
      </x:c>
      <x:c r="X136" s="30" t="str">
        <x:v>نیازمند تکمیل و تأیید مالک</x:v>
      </x:c>
      <x:c r="Y136" s="30" t="str">
        <x:v>Finance Manager</x:v>
      </x:c>
      <x:c r="Z136" s="30" t="n">
        <x:v>7</x:v>
      </x:c>
      <x:c r="AA136" s="30" t="n">
        <x:v>135</x:v>
      </x:c>
      <x:c r="AB136" s="30" t="str">
        <x:v>فرمول «Net Revenue − COGS» در Semantic Layer + تطبیق با پنل منبع؛ تارگت: حاشیه &gt; 28٪ سبد تلفیقی</x:v>
      </x:c>
      <x:c r="AC136" s="30" t="str">
        <x:v>نیازمند تکمیل و تأیید مالک</x:v>
      </x:c>
      <x:c r="AD136" s="30" t="str">
        <x:v>نیازمند تکمیل و تأیید مالک</x:v>
      </x:c>
      <x:c r="AE136" s="30" t="str">
        <x:v>فرمول «Net Revenue − COGS» در Semantic Layer + تطبیق با پنل منبع؛ تارگت: حاشیه &gt; 28٪ سبد تلفیقی</x:v>
      </x:c>
      <x:c r="AF136" s="30" t="str"/>
      <x:c r="AG136" s="30" t="str">
        <x:v>KPI-44</x:v>
      </x:c>
      <x:c r="AH136" s="30" t="str"/>
    </x:row>
    <x:row r="137">
      <x:c r="A137" s="19" t="inlineStr">
        <x:is>
          <x:t xml:space="preserve">TK-136</x:t>
        </x:is>
      </x:c>
      <x:c r="B137" s="6" t="inlineStr">
        <x:is>
          <x:t xml:space="preserve">پیاده‌سازی KPI: CM (Contribution Margin)</x:t>
        </x:is>
      </x:c>
      <x:c r="C137" s="6" t="inlineStr">
        <x:is>
          <x:t xml:space="preserve">Implement KPI: Contribution Margin</x:t>
        </x:is>
      </x:c>
      <x:c r="D137" s="6" t="inlineStr">
        <x:is>
          <x:t xml:space="preserve">KPI</x:t>
        </x:is>
      </x:c>
      <x:c r="E137" s="6" t="inlineStr">
        <x:is>
          <x:t xml:space="preserve">KPI-45</x:t>
        </x:is>
      </x:c>
      <x:c r="F137" s="19" t="inlineStr">
        <x:is>
          <x:t xml:space="preserve">W4</x:t>
        </x:is>
      </x:c>
      <x:c r="G137" s="6" t="inlineStr">
        <x:is>
          <x:t xml:space="preserve">S2</x:t>
        </x:is>
      </x:c>
      <x:c r="H137" s="19" t="inlineStr">
        <x:is>
          <x:t xml:space="preserve">Critical</x:t>
        </x:is>
      </x:c>
      <x:c r="I137" s="6" t="inlineStr">
        <x:is>
          <x:t xml:space="preserve">Finance Manager</x:t>
        </x:is>
      </x:c>
      <x:c r="J137" s="19" t="n">
        <x:v>5</x:v>
      </x:c>
      <x:c r="K137" s="19" t="n">
        <x:v>2</x:v>
      </x:c>
      <x:c r="L137" s="18" t="n">
        <x:f>J137*2-K137</x:f>
        <x:v>8</x:v>
      </x:c>
      <x:c r="M137" s="6" t="inlineStr">
        <x:is>
          <x:t xml:space="preserve">TK-089..091</x:t>
        </x:is>
      </x:c>
      <x:c r="N137" s="6" t="inlineStr">
        <x:is>
          <x:t xml:space="preserve">فرمول «Net Revenue − (COGS + Var Ad + Fees + Shipping + Commissions)» در Semantic Layer + تطبیق با پنل منبع؛ تارگت: ۱۶-۲۲٪ درآمد کل</x:t>
        </x:is>
      </x:c>
      <x:c r="O137" s="19" t="inlineStr">
        <x:is>
          <x:t xml:space="preserve">Proposed</x:t>
        </x:is>
      </x:c>
      <x:c r="P137" s="6" t="inlineStr">
        <x:is>
          <x:t xml:space="preserve">سود و اقتصاد واحد</x:t>
        </x:is>
      </x:c>
      <x:c r="Q137" s="30" t="str">
        <x:v>TK-136</x:v>
      </x:c>
      <x:c r="R137" s="30" t="str"/>
      <x:c r="S137" s="30" t="str">
        <x:v>KPI</x:v>
      </x:c>
      <x:c r="T137" s="30" t="str">
        <x:v>KPI-45</x:v>
      </x:c>
      <x:c r="U137" s="30" t="str">
        <x:v>پیاده‌سازی KPI: CM (Contribution Margin)</x:v>
      </x:c>
      <x:c r="V137" s="30" t="str">
        <x:v>Pending dependency review</x:v>
      </x:c>
      <x:c r="W137" s="30" t="str">
        <x:v>نیازمند تکمیل و تأیید مالک</x:v>
      </x:c>
      <x:c r="X137" s="30" t="str">
        <x:v>نیازمند تکمیل و تأیید مالک</x:v>
      </x:c>
      <x:c r="Y137" s="30" t="str">
        <x:v>Finance Manager</x:v>
      </x:c>
      <x:c r="Z137" s="30" t="n">
        <x:v>7</x:v>
      </x:c>
      <x:c r="AA137" s="30" t="n">
        <x:v>136</x:v>
      </x:c>
      <x:c r="AB137" s="30" t="str">
        <x:v>فرمول «Net Revenue − (COGS + Var Ad + Fees + Shipping + Commissions)» در Semantic Layer + تطبیق با پنل منبع؛ تارگت: ۱۶-۲۲٪ درآمد کل</x:v>
      </x:c>
      <x:c r="AC137" s="30" t="str">
        <x:v>نیازمند تکمیل و تأیید مالک</x:v>
      </x:c>
      <x:c r="AD137" s="30" t="str">
        <x:v>نیازمند تکمیل و تأیید مالک</x:v>
      </x:c>
      <x:c r="AE137" s="30" t="str">
        <x:v>فرمول «Net Revenue − (COGS + Var Ad + Fees + Shipping + Commissions)» در Semantic Layer + تطبیق با پنل منبع؛ تارگت: ۱۶-۲۲٪ درآمد کل</x:v>
      </x:c>
      <x:c r="AF137" s="30" t="str"/>
      <x:c r="AG137" s="30" t="str">
        <x:v>KPI-45</x:v>
      </x:c>
      <x:c r="AH137" s="30" t="str"/>
    </x:row>
    <x:row r="138">
      <x:c r="A138" s="17" t="inlineStr">
        <x:is>
          <x:t xml:space="preserve">TK-137</x:t>
        </x:is>
      </x:c>
      <x:c r="B138" s="4" t="inlineStr">
        <x:is>
          <x:t xml:space="preserve">پیاده‌سازی KPI: Net Profit (Net Profit)</x:t>
        </x:is>
      </x:c>
      <x:c r="C138" s="4" t="inlineStr">
        <x:is>
          <x:t xml:space="preserve">Implement KPI: Net Profit</x:t>
        </x:is>
      </x:c>
      <x:c r="D138" s="4" t="inlineStr">
        <x:is>
          <x:t xml:space="preserve">KPI</x:t>
        </x:is>
      </x:c>
      <x:c r="E138" s="4" t="inlineStr">
        <x:is>
          <x:t xml:space="preserve">KPI-46</x:t>
        </x:is>
      </x:c>
      <x:c r="F138" s="17" t="inlineStr">
        <x:is>
          <x:t xml:space="preserve">W4</x:t>
        </x:is>
      </x:c>
      <x:c r="G138" s="4" t="inlineStr">
        <x:is>
          <x:t xml:space="preserve">S2</x:t>
        </x:is>
      </x:c>
      <x:c r="H138" s="17" t="inlineStr">
        <x:is>
          <x:t xml:space="preserve">Medium</x:t>
        </x:is>
      </x:c>
      <x:c r="I138" s="4" t="inlineStr">
        <x:is>
          <x:t xml:space="preserve">Finance Manager</x:t>
        </x:is>
      </x:c>
      <x:c r="J138" s="17" t="n">
        <x:v>3</x:v>
      </x:c>
      <x:c r="K138" s="17" t="n">
        <x:v>2</x:v>
      </x:c>
      <x:c r="L138" s="18" t="n">
        <x:f>J138*2-K138</x:f>
        <x:v>4</x:v>
      </x:c>
      <x:c r="M138" s="4" t="inlineStr">
        <x:is>
          <x:t xml:space="preserve">TK-089..091</x:t>
        </x:is>
      </x:c>
      <x:c r="N138" s="4" t="inlineStr">
        <x:is>
          <x:t xml:space="preserve">فرمول «Gross Profit − (OpEx + Mgmt Costs + Depreciation + Taxes)» در Semantic Layer + تطبیق با پنل منبع؛ تارگت: ۱۰-۱۵٪ توزیع تجهیزات پزشکی</x:t>
        </x:is>
      </x:c>
      <x:c r="O138" s="17" t="inlineStr">
        <x:is>
          <x:t xml:space="preserve">Proposed</x:t>
        </x:is>
      </x:c>
      <x:c r="P138" s="4" t="inlineStr">
        <x:is>
          <x:t xml:space="preserve">سود و اقتصاد واحد</x:t>
        </x:is>
      </x:c>
      <x:c r="Q138" s="30" t="str">
        <x:v>TK-137</x:v>
      </x:c>
      <x:c r="R138" s="30" t="str"/>
      <x:c r="S138" s="30" t="str">
        <x:v>KPI</x:v>
      </x:c>
      <x:c r="T138" s="30" t="str">
        <x:v>KPI-46</x:v>
      </x:c>
      <x:c r="U138" s="30" t="str">
        <x:v>پیاده‌سازی KPI: Net Profit (Net Profit)</x:v>
      </x:c>
      <x:c r="V138" s="30" t="str">
        <x:v>Pending dependency review</x:v>
      </x:c>
      <x:c r="W138" s="30" t="str">
        <x:v>نیازمند تکمیل و تأیید مالک</x:v>
      </x:c>
      <x:c r="X138" s="30" t="str">
        <x:v>نیازمند تکمیل و تأیید مالک</x:v>
      </x:c>
      <x:c r="Y138" s="30" t="str">
        <x:v>Finance Manager</x:v>
      </x:c>
      <x:c r="Z138" s="30" t="n">
        <x:v>7</x:v>
      </x:c>
      <x:c r="AA138" s="30" t="n">
        <x:v>137</x:v>
      </x:c>
      <x:c r="AB138" s="30" t="str">
        <x:v>فرمول «Gross Profit − (OpEx + Mgmt Costs + Depreciation + Taxes)» در Semantic Layer + تطبیق با پنل منبع؛ تارگت: ۱۰-۱۵٪ توزیع تجهیزات پزشکی</x:v>
      </x:c>
      <x:c r="AC138" s="30" t="str">
        <x:v>نیازمند تکمیل و تأیید مالک</x:v>
      </x:c>
      <x:c r="AD138" s="30" t="str">
        <x:v>نیازمند تکمیل و تأیید مالک</x:v>
      </x:c>
      <x:c r="AE138" s="30" t="str">
        <x:v>فرمول «Gross Profit − (OpEx + Mgmt Costs + Depreciation + Taxes)» در Semantic Layer + تطبیق با پنل منبع؛ تارگت: ۱۰-۱۵٪ توزیع تجهیزات پزشکی</x:v>
      </x:c>
      <x:c r="AF138" s="30" t="str"/>
      <x:c r="AG138" s="30" t="str">
        <x:v>KPI-46</x:v>
      </x:c>
      <x:c r="AH138" s="30" t="str"/>
    </x:row>
    <x:row r="139">
      <x:c r="A139" s="19" t="inlineStr">
        <x:is>
          <x:t xml:space="preserve">TK-138</x:t>
        </x:is>
      </x:c>
      <x:c r="B139" s="6" t="inlineStr">
        <x:is>
          <x:t xml:space="preserve">پیاده‌سازی KPI: POAS (Profit on Ad Spend)</x:t>
        </x:is>
      </x:c>
      <x:c r="C139" s="6" t="inlineStr">
        <x:is>
          <x:t xml:space="preserve">Implement KPI: Profit on Ad Spend</x:t>
        </x:is>
      </x:c>
      <x:c r="D139" s="6" t="inlineStr">
        <x:is>
          <x:t xml:space="preserve">KPI</x:t>
        </x:is>
      </x:c>
      <x:c r="E139" s="6" t="inlineStr">
        <x:is>
          <x:t xml:space="preserve">KPI-47</x:t>
        </x:is>
      </x:c>
      <x:c r="F139" s="19" t="inlineStr">
        <x:is>
          <x:t xml:space="preserve">W4</x:t>
        </x:is>
      </x:c>
      <x:c r="G139" s="6" t="inlineStr">
        <x:is>
          <x:t xml:space="preserve">S2</x:t>
        </x:is>
      </x:c>
      <x:c r="H139" s="19" t="inlineStr">
        <x:is>
          <x:t xml:space="preserve">Critical</x:t>
        </x:is>
      </x:c>
      <x:c r="I139" s="6" t="inlineStr">
        <x:is>
          <x:t xml:space="preserve">Finance Manager</x:t>
        </x:is>
      </x:c>
      <x:c r="J139" s="19" t="n">
        <x:v>5</x:v>
      </x:c>
      <x:c r="K139" s="19" t="n">
        <x:v>2</x:v>
      </x:c>
      <x:c r="L139" s="18" t="n">
        <x:f>J139*2-K139</x:f>
        <x:v>8</x:v>
      </x:c>
      <x:c r="M139" s="6" t="inlineStr">
        <x:is>
          <x:t xml:space="preserve">TK-089..091</x:t>
        </x:is>
      </x:c>
      <x:c r="N139" s="6" t="inlineStr">
        <x:is>
          <x:t xml:space="preserve">فرمول «Attributed Gross Profit / Total Ad Spend» در Semantic Layer + تطبیق با پنل منبع؛ تارگت: پایدار &gt; 1.8x | حداقل &gt; 1.3x</x:t>
        </x:is>
      </x:c>
      <x:c r="O139" s="19" t="inlineStr">
        <x:is>
          <x:t xml:space="preserve">Proposed</x:t>
        </x:is>
      </x:c>
      <x:c r="P139" s="6" t="inlineStr">
        <x:is>
          <x:t xml:space="preserve">سود و اقتصاد واحد</x:t>
        </x:is>
      </x:c>
      <x:c r="Q139" s="30" t="str">
        <x:v>TK-138</x:v>
      </x:c>
      <x:c r="R139" s="30" t="str"/>
      <x:c r="S139" s="30" t="str">
        <x:v>KPI</x:v>
      </x:c>
      <x:c r="T139" s="30" t="str">
        <x:v>KPI-47</x:v>
      </x:c>
      <x:c r="U139" s="30" t="str">
        <x:v>پیاده‌سازی KPI: POAS (Profit on Ad Spend)</x:v>
      </x:c>
      <x:c r="V139" s="30" t="str">
        <x:v>Pending dependency review</x:v>
      </x:c>
      <x:c r="W139" s="30" t="str">
        <x:v>نیازمند تکمیل و تأیید مالک</x:v>
      </x:c>
      <x:c r="X139" s="30" t="str">
        <x:v>نیازمند تکمیل و تأیید مالک</x:v>
      </x:c>
      <x:c r="Y139" s="30" t="str">
        <x:v>Finance Manager</x:v>
      </x:c>
      <x:c r="Z139" s="30" t="n">
        <x:v>7</x:v>
      </x:c>
      <x:c r="AA139" s="30" t="n">
        <x:v>138</x:v>
      </x:c>
      <x:c r="AB139" s="30" t="str">
        <x:v>فرمول «Attributed Gross Profit / Total Ad Spend» در Semantic Layer + تطبیق با پنل منبع؛ تارگت: پایدار &gt; 1.8x | حداقل &gt; 1.3x</x:v>
      </x:c>
      <x:c r="AC139" s="30" t="str">
        <x:v>نیازمند تکمیل و تأیید مالک</x:v>
      </x:c>
      <x:c r="AD139" s="30" t="str">
        <x:v>نیازمند تکمیل و تأیید مالک</x:v>
      </x:c>
      <x:c r="AE139" s="30" t="str">
        <x:v>فرمول «Attributed Gross Profit / Total Ad Spend» در Semantic Layer + تطبیق با پنل منبع؛ تارگت: پایدار &gt; 1.8x | حداقل &gt; 1.3x</x:v>
      </x:c>
      <x:c r="AF139" s="30" t="str"/>
      <x:c r="AG139" s="30" t="str">
        <x:v>KPI-47</x:v>
      </x:c>
      <x:c r="AH139" s="30" t="str"/>
    </x:row>
    <x:row r="140">
      <x:c r="A140" s="17" t="inlineStr">
        <x:is>
          <x:t xml:space="preserve">TK-139</x:t>
        </x:is>
      </x:c>
      <x:c r="B140" s="4" t="inlineStr">
        <x:is>
          <x:t xml:space="preserve">پیاده‌سازی KPI: PPO (Profit per Order)</x:t>
        </x:is>
      </x:c>
      <x:c r="C140" s="4" t="inlineStr">
        <x:is>
          <x:t xml:space="preserve">Implement KPI: Profit per Order</x:t>
        </x:is>
      </x:c>
      <x:c r="D140" s="4" t="inlineStr">
        <x:is>
          <x:t xml:space="preserve">KPI</x:t>
        </x:is>
      </x:c>
      <x:c r="E140" s="4" t="inlineStr">
        <x:is>
          <x:t xml:space="preserve">KPI-48</x:t>
        </x:is>
      </x:c>
      <x:c r="F140" s="17" t="inlineStr">
        <x:is>
          <x:t xml:space="preserve">W4</x:t>
        </x:is>
      </x:c>
      <x:c r="G140" s="4" t="inlineStr">
        <x:is>
          <x:t xml:space="preserve">S2</x:t>
        </x:is>
      </x:c>
      <x:c r="H140" s="17" t="inlineStr">
        <x:is>
          <x:t xml:space="preserve">Medium</x:t>
        </x:is>
      </x:c>
      <x:c r="I140" s="4" t="inlineStr">
        <x:is>
          <x:t xml:space="preserve">Finance Manager</x:t>
        </x:is>
      </x:c>
      <x:c r="J140" s="17" t="n">
        <x:v>3</x:v>
      </x:c>
      <x:c r="K140" s="17" t="n">
        <x:v>2</x:v>
      </x:c>
      <x:c r="L140" s="18" t="n">
        <x:f>J140*2-K140</x:f>
        <x:v>4</x:v>
      </x:c>
      <x:c r="M140" s="4" t="inlineStr">
        <x:is>
          <x:t xml:space="preserve">TK-089..091</x:t>
        </x:is>
      </x:c>
      <x:c r="N140" s="4" t="inlineStr">
        <x:is>
          <x:t xml:space="preserve">فرمول «Total CM / Completed Orders» در Semantic Layer + تطبیق با پنل منبع؛ تارگت: مواد &gt; 8,000,000 ریال/سبد</x:t>
        </x:is>
      </x:c>
      <x:c r="O140" s="17" t="inlineStr">
        <x:is>
          <x:t xml:space="preserve">Proposed</x:t>
        </x:is>
      </x:c>
      <x:c r="P140" s="4" t="inlineStr">
        <x:is>
          <x:t xml:space="preserve">سود و اقتصاد واحد</x:t>
        </x:is>
      </x:c>
      <x:c r="Q140" s="30" t="str">
        <x:v>TK-139</x:v>
      </x:c>
      <x:c r="R140" s="30" t="str"/>
      <x:c r="S140" s="30" t="str">
        <x:v>KPI</x:v>
      </x:c>
      <x:c r="T140" s="30" t="str">
        <x:v>KPI-48</x:v>
      </x:c>
      <x:c r="U140" s="30" t="str">
        <x:v>پیاده‌سازی KPI: PPO (Profit per Order)</x:v>
      </x:c>
      <x:c r="V140" s="30" t="str">
        <x:v>Pending dependency review</x:v>
      </x:c>
      <x:c r="W140" s="30" t="str">
        <x:v>نیازمند تکمیل و تأیید مالک</x:v>
      </x:c>
      <x:c r="X140" s="30" t="str">
        <x:v>نیازمند تکمیل و تأیید مالک</x:v>
      </x:c>
      <x:c r="Y140" s="30" t="str">
        <x:v>Finance Manager</x:v>
      </x:c>
      <x:c r="Z140" s="30" t="n">
        <x:v>7</x:v>
      </x:c>
      <x:c r="AA140" s="30" t="n">
        <x:v>139</x:v>
      </x:c>
      <x:c r="AB140" s="30" t="str">
        <x:v>فرمول «Total CM / Completed Orders» در Semantic Layer + تطبیق با پنل منبع؛ تارگت: مواد &gt; 8,000,000 ریال/سبد</x:v>
      </x:c>
      <x:c r="AC140" s="30" t="str">
        <x:v>نیازمند تکمیل و تأیید مالک</x:v>
      </x:c>
      <x:c r="AD140" s="30" t="str">
        <x:v>نیازمند تکمیل و تأیید مالک</x:v>
      </x:c>
      <x:c r="AE140" s="30" t="str">
        <x:v>فرمول «Total CM / Completed Orders» در Semantic Layer + تطبیق با پنل منبع؛ تارگت: مواد &gt; 8,000,000 ریال/سبد</x:v>
      </x:c>
      <x:c r="AF140" s="30" t="str"/>
      <x:c r="AG140" s="30" t="str">
        <x:v>KPI-48</x:v>
      </x:c>
      <x:c r="AH140" s="30" t="str"/>
    </x:row>
    <x:row r="141">
      <x:c r="A141" s="19" t="inlineStr">
        <x:is>
          <x:t xml:space="preserve">TK-140</x:t>
        </x:is>
      </x:c>
      <x:c r="B141" s="6" t="inlineStr">
        <x:is>
          <x:t xml:space="preserve">پیاده‌سازی KPI: BE-ROAS (Break-even ROAS)</x:t>
        </x:is>
      </x:c>
      <x:c r="C141" s="6" t="inlineStr">
        <x:is>
          <x:t xml:space="preserve">Implement KPI: Break-even ROAS</x:t>
        </x:is>
      </x:c>
      <x:c r="D141" s="6" t="inlineStr">
        <x:is>
          <x:t xml:space="preserve">KPI</x:t>
        </x:is>
      </x:c>
      <x:c r="E141" s="6" t="inlineStr">
        <x:is>
          <x:t xml:space="preserve">KPI-49</x:t>
        </x:is>
      </x:c>
      <x:c r="F141" s="19" t="inlineStr">
        <x:is>
          <x:t xml:space="preserve">W4</x:t>
        </x:is>
      </x:c>
      <x:c r="G141" s="6" t="inlineStr">
        <x:is>
          <x:t xml:space="preserve">S2</x:t>
        </x:is>
      </x:c>
      <x:c r="H141" s="19" t="inlineStr">
        <x:is>
          <x:t xml:space="preserve">Critical</x:t>
        </x:is>
      </x:c>
      <x:c r="I141" s="6" t="inlineStr">
        <x:is>
          <x:t xml:space="preserve">Data Analyst</x:t>
        </x:is>
      </x:c>
      <x:c r="J141" s="19" t="n">
        <x:v>5</x:v>
      </x:c>
      <x:c r="K141" s="19" t="n">
        <x:v>2</x:v>
      </x:c>
      <x:c r="L141" s="18" t="n">
        <x:f>J141*2-K141</x:f>
        <x:v>8</x:v>
      </x:c>
      <x:c r="M141" s="6" t="inlineStr">
        <x:is>
          <x:t xml:space="preserve">TK-089..091</x:t>
        </x:is>
      </x:c>
      <x:c r="N141" s="6" t="inlineStr">
        <x:is>
          <x:t xml:space="preserve">فرمول «1 / Gross Margin % = Net Revenue / Gross Profit» در Semantic Layer + تطبیق با پنل منبع؛ تارگت: مواد (۲۰٪): 5.0x | ابزار (۵۰٪): 2.0x</x:t>
        </x:is>
      </x:c>
      <x:c r="O141" s="19" t="inlineStr">
        <x:is>
          <x:t xml:space="preserve">Proposed</x:t>
        </x:is>
      </x:c>
      <x:c r="P141" s="6" t="inlineStr">
        <x:is>
          <x:t xml:space="preserve">آستانه‌های تصمیم</x:t>
        </x:is>
      </x:c>
      <x:c r="Q141" s="30" t="str">
        <x:v>TK-140</x:v>
      </x:c>
      <x:c r="R141" s="30" t="str"/>
      <x:c r="S141" s="30" t="str">
        <x:v>KPI</x:v>
      </x:c>
      <x:c r="T141" s="30" t="str">
        <x:v>KPI-49</x:v>
      </x:c>
      <x:c r="U141" s="30" t="str">
        <x:v>پیاده‌سازی KPI: BE-ROAS (Break-even ROAS)</x:v>
      </x:c>
      <x:c r="V141" s="30" t="str">
        <x:v>Pending dependency review</x:v>
      </x:c>
      <x:c r="W141" s="30" t="str">
        <x:v>نیازمند تکمیل و تأیید مالک</x:v>
      </x:c>
      <x:c r="X141" s="30" t="str">
        <x:v>نیازمند تکمیل و تأیید مالک</x:v>
      </x:c>
      <x:c r="Y141" s="30" t="str">
        <x:v>Data Analyst</x:v>
      </x:c>
      <x:c r="Z141" s="30" t="n">
        <x:v>7</x:v>
      </x:c>
      <x:c r="AA141" s="30" t="n">
        <x:v>140</x:v>
      </x:c>
      <x:c r="AB141" s="30" t="str">
        <x:v>فرمول «1 / Gross Margin % = Net Revenue / Gross Profit» در Semantic Layer + تطبیق با پنل منبع؛ تارگت: مواد (۲۰٪): 5.0x | ابزار (۵۰٪): 2.0x</x:v>
      </x:c>
      <x:c r="AC141" s="30" t="str">
        <x:v>نیازمند تکمیل و تأیید مالک</x:v>
      </x:c>
      <x:c r="AD141" s="30" t="str">
        <x:v>نیازمند تکمیل و تأیید مالک</x:v>
      </x:c>
      <x:c r="AE141" s="30" t="str">
        <x:v>فرمول «1 / Gross Margin % = Net Revenue / Gross Profit» در Semantic Layer + تطبیق با پنل منبع؛ تارگت: مواد (۲۰٪): 5.0x | ابزار (۵۰٪): 2.0x</x:v>
      </x:c>
      <x:c r="AF141" s="30" t="str"/>
      <x:c r="AG141" s="30" t="str">
        <x:v>KPI-49</x:v>
      </x:c>
      <x:c r="AH141" s="30" t="str"/>
    </x:row>
    <x:row r="142">
      <x:c r="A142" s="17" t="inlineStr">
        <x:is>
          <x:t xml:space="preserve">TK-141</x:t>
        </x:is>
      </x:c>
      <x:c r="B142" s="4" t="inlineStr">
        <x:is>
          <x:t xml:space="preserve">پیاده‌سازی KPI: BE-CAC (Break-even CAC)</x:t>
        </x:is>
      </x:c>
      <x:c r="C142" s="4" t="inlineStr">
        <x:is>
          <x:t xml:space="preserve">Implement KPI: Break-even CAC</x:t>
        </x:is>
      </x:c>
      <x:c r="D142" s="4" t="inlineStr">
        <x:is>
          <x:t xml:space="preserve">KPI</x:t>
        </x:is>
      </x:c>
      <x:c r="E142" s="4" t="inlineStr">
        <x:is>
          <x:t xml:space="preserve">KPI-50</x:t>
        </x:is>
      </x:c>
      <x:c r="F142" s="17" t="inlineStr">
        <x:is>
          <x:t xml:space="preserve">W4</x:t>
        </x:is>
      </x:c>
      <x:c r="G142" s="4" t="inlineStr">
        <x:is>
          <x:t xml:space="preserve">S2</x:t>
        </x:is>
      </x:c>
      <x:c r="H142" s="17" t="inlineStr">
        <x:is>
          <x:t xml:space="preserve">High</x:t>
        </x:is>
      </x:c>
      <x:c r="I142" s="4" t="inlineStr">
        <x:is>
          <x:t xml:space="preserve">Data Analyst</x:t>
        </x:is>
      </x:c>
      <x:c r="J142" s="17" t="n">
        <x:v>4</x:v>
      </x:c>
      <x:c r="K142" s="17" t="n">
        <x:v>2</x:v>
      </x:c>
      <x:c r="L142" s="18" t="n">
        <x:f>J142*2-K142</x:f>
        <x:v>6</x:v>
      </x:c>
      <x:c r="M142" s="4" t="inlineStr">
        <x:is>
          <x:t xml:space="preserve">TK-089..091</x:t>
        </x:is>
      </x:c>
      <x:c r="N142" s="4" t="inlineStr">
        <x:is>
          <x:t xml:space="preserve">فرمول «AOV(First Order) × Gross Margin %» در Semantic Layer + تطبیق با پنل منبع؛ تارگت: مواد: سقف ۶,۰۰,۰۰۰ ریال</x:t>
        </x:is>
      </x:c>
      <x:c r="O142" s="17" t="inlineStr">
        <x:is>
          <x:t xml:space="preserve">Proposed</x:t>
        </x:is>
      </x:c>
      <x:c r="P142" s="4" t="inlineStr">
        <x:is>
          <x:t xml:space="preserve">آستانه‌های تصمیم</x:t>
        </x:is>
      </x:c>
      <x:c r="Q142" s="30" t="str">
        <x:v>TK-141</x:v>
      </x:c>
      <x:c r="R142" s="30" t="str"/>
      <x:c r="S142" s="30" t="str">
        <x:v>KPI</x:v>
      </x:c>
      <x:c r="T142" s="30" t="str">
        <x:v>KPI-50</x:v>
      </x:c>
      <x:c r="U142" s="30" t="str">
        <x:v>پیاده‌سازی KPI: BE-CAC (Break-even CAC)</x:v>
      </x:c>
      <x:c r="V142" s="30" t="str">
        <x:v>Pending dependency review</x:v>
      </x:c>
      <x:c r="W142" s="30" t="str">
        <x:v>نیازمند تکمیل و تأیید مالک</x:v>
      </x:c>
      <x:c r="X142" s="30" t="str">
        <x:v>نیازمند تکمیل و تأیید مالک</x:v>
      </x:c>
      <x:c r="Y142" s="30" t="str">
        <x:v>Data Analyst</x:v>
      </x:c>
      <x:c r="Z142" s="30" t="n">
        <x:v>7</x:v>
      </x:c>
      <x:c r="AA142" s="30" t="n">
        <x:v>141</x:v>
      </x:c>
      <x:c r="AB142" s="30" t="str">
        <x:v>فرمول «AOV(First Order) × Gross Margin %» در Semantic Layer + تطبیق با پنل منبع؛ تارگت: مواد: سقف ۶,۰۰,۰۰۰ ریال</x:v>
      </x:c>
      <x:c r="AC142" s="30" t="str">
        <x:v>نیازمند تکمیل و تأیید مالک</x:v>
      </x:c>
      <x:c r="AD142" s="30" t="str">
        <x:v>نیازمند تکمیل و تأیید مالک</x:v>
      </x:c>
      <x:c r="AE142" s="30" t="str">
        <x:v>فرمول «AOV(First Order) × Gross Margin %» در Semantic Layer + تطبیق با پنل منبع؛ تارگت: مواد: سقف ۶,۰۰,۰۰۰ ریال</x:v>
      </x:c>
      <x:c r="AF142" s="30" t="str"/>
      <x:c r="AG142" s="30" t="str">
        <x:v>KPI-50</x:v>
      </x:c>
      <x:c r="AH142" s="30" t="str"/>
    </x:row>
    <x:row r="143">
      <x:c r="A143" s="19" t="inlineStr">
        <x:is>
          <x:t xml:space="preserve">TK-142</x:t>
        </x:is>
      </x:c>
      <x:c r="B143" s="6" t="inlineStr">
        <x:is>
          <x:t xml:space="preserve">پیاده‌سازی KPI: mROAS (Marginal ROAS)</x:t>
        </x:is>
      </x:c>
      <x:c r="C143" s="6" t="inlineStr">
        <x:is>
          <x:t xml:space="preserve">Implement KPI: Marginal ROAS</x:t>
        </x:is>
      </x:c>
      <x:c r="D143" s="6" t="inlineStr">
        <x:is>
          <x:t xml:space="preserve">KPI</x:t>
        </x:is>
      </x:c>
      <x:c r="E143" s="6" t="inlineStr">
        <x:is>
          <x:t xml:space="preserve">KPI-51</x:t>
        </x:is>
      </x:c>
      <x:c r="F143" s="19" t="inlineStr">
        <x:is>
          <x:t xml:space="preserve">W4</x:t>
        </x:is>
      </x:c>
      <x:c r="G143" s="6" t="inlineStr">
        <x:is>
          <x:t xml:space="preserve">S2</x:t>
        </x:is>
      </x:c>
      <x:c r="H143" s="19" t="inlineStr">
        <x:is>
          <x:t xml:space="preserve">High</x:t>
        </x:is>
      </x:c>
      <x:c r="I143" s="6" t="inlineStr">
        <x:is>
          <x:t xml:space="preserve">Data Analyst</x:t>
        </x:is>
      </x:c>
      <x:c r="J143" s="19" t="n">
        <x:v>4</x:v>
      </x:c>
      <x:c r="K143" s="19" t="n">
        <x:v>2</x:v>
      </x:c>
      <x:c r="L143" s="18" t="n">
        <x:f>J143*2-K143</x:f>
        <x:v>6</x:v>
      </x:c>
      <x:c r="M143" s="6" t="inlineStr">
        <x:is>
          <x:t xml:space="preserve">TK-089..091</x:t>
        </x:is>
      </x:c>
      <x:c r="N143" s="6" t="inlineStr">
        <x:is>
          <x:t xml:space="preserve">فرمول «ΔRevenue / ΔAd Spend» در Semantic Layer + تطبیق با پنل منبع؛ تارگت: mROAS &gt; 1.8x در گام‌های اسکیل</x:t>
        </x:is>
      </x:c>
      <x:c r="O143" s="19" t="inlineStr">
        <x:is>
          <x:t xml:space="preserve">Proposed</x:t>
        </x:is>
      </x:c>
      <x:c r="P143" s="6" t="inlineStr">
        <x:is>
          <x:t xml:space="preserve">آستانه‌های تصمیم</x:t>
        </x:is>
      </x:c>
      <x:c r="Q143" s="30" t="str">
        <x:v>TK-142</x:v>
      </x:c>
      <x:c r="R143" s="30" t="str"/>
      <x:c r="S143" s="30" t="str">
        <x:v>KPI</x:v>
      </x:c>
      <x:c r="T143" s="30" t="str">
        <x:v>KPI-51</x:v>
      </x:c>
      <x:c r="U143" s="30" t="str">
        <x:v>پیاده‌سازی KPI: mROAS (Marginal ROAS)</x:v>
      </x:c>
      <x:c r="V143" s="30" t="str">
        <x:v>Pending dependency review</x:v>
      </x:c>
      <x:c r="W143" s="30" t="str">
        <x:v>نیازمند تکمیل و تأیید مالک</x:v>
      </x:c>
      <x:c r="X143" s="30" t="str">
        <x:v>نیازمند تکمیل و تأیید مالک</x:v>
      </x:c>
      <x:c r="Y143" s="30" t="str">
        <x:v>Data Analyst</x:v>
      </x:c>
      <x:c r="Z143" s="30" t="n">
        <x:v>7</x:v>
      </x:c>
      <x:c r="AA143" s="30" t="n">
        <x:v>142</x:v>
      </x:c>
      <x:c r="AB143" s="30" t="str">
        <x:v>فرمول «ΔRevenue / ΔAd Spend» در Semantic Layer + تطبیق با پنل منبع؛ تارگت: mROAS &gt; 1.8x در گام‌های اسکیل</x:v>
      </x:c>
      <x:c r="AC143" s="30" t="str">
        <x:v>نیازمند تکمیل و تأیید مالک</x:v>
      </x:c>
      <x:c r="AD143" s="30" t="str">
        <x:v>نیازمند تکمیل و تأیید مالک</x:v>
      </x:c>
      <x:c r="AE143" s="30" t="str">
        <x:v>فرمول «ΔRevenue / ΔAd Spend» در Semantic Layer + تطبیق با پنل منبع؛ تارگت: mROAS &gt; 1.8x در گام‌های اسکیل</x:v>
      </x:c>
      <x:c r="AF143" s="30" t="str"/>
      <x:c r="AG143" s="30" t="str">
        <x:v>KPI-51</x:v>
      </x:c>
      <x:c r="AH143" s="30" t="str"/>
    </x:row>
    <x:row r="144">
      <x:c r="A144" s="17" t="inlineStr">
        <x:is>
          <x:t xml:space="preserve">TK-143</x:t>
        </x:is>
      </x:c>
      <x:c r="B144" s="4" t="inlineStr">
        <x:is>
          <x:t xml:space="preserve">پیاده‌سازی KPI: Payback Months (CAC Payback Period)</x:t>
        </x:is>
      </x:c>
      <x:c r="C144" s="4" t="inlineStr">
        <x:is>
          <x:t xml:space="preserve">Implement KPI: CAC Payback Period</x:t>
        </x:is>
      </x:c>
      <x:c r="D144" s="4" t="inlineStr">
        <x:is>
          <x:t xml:space="preserve">KPI</x:t>
        </x:is>
      </x:c>
      <x:c r="E144" s="4" t="inlineStr">
        <x:is>
          <x:t xml:space="preserve">KPI-52</x:t>
        </x:is>
      </x:c>
      <x:c r="F144" s="17" t="inlineStr">
        <x:is>
          <x:t xml:space="preserve">W4</x:t>
        </x:is>
      </x:c>
      <x:c r="G144" s="4" t="inlineStr">
        <x:is>
          <x:t xml:space="preserve">S2</x:t>
        </x:is>
      </x:c>
      <x:c r="H144" s="17" t="inlineStr">
        <x:is>
          <x:t xml:space="preserve">High</x:t>
        </x:is>
      </x:c>
      <x:c r="I144" s="4" t="inlineStr">
        <x:is>
          <x:t xml:space="preserve">Finance Manager</x:t>
        </x:is>
      </x:c>
      <x:c r="J144" s="17" t="n">
        <x:v>4</x:v>
      </x:c>
      <x:c r="K144" s="17" t="n">
        <x:v>2</x:v>
      </x:c>
      <x:c r="L144" s="18" t="n">
        <x:f>J144*2-K144</x:f>
        <x:v>6</x:v>
      </x:c>
      <x:c r="M144" s="4" t="inlineStr">
        <x:is>
          <x:t xml:space="preserve">TK-089..091</x:t>
        </x:is>
      </x:c>
      <x:c r="N144" s="4" t="inlineStr">
        <x:is>
          <x:t xml:space="preserve">فرمول «CAC / Avg Monthly GP per Customer» در Semantic Layer + تطبیق با پنل منبع؛ تارگت: مواد &lt; 3.5 ماه | تجهیزات &lt; 1 ماه</x:t>
        </x:is>
      </x:c>
      <x:c r="O144" s="17" t="inlineStr">
        <x:is>
          <x:t xml:space="preserve">Proposed</x:t>
        </x:is>
      </x:c>
      <x:c r="P144" s="4" t="inlineStr">
        <x:is>
          <x:t xml:space="preserve">سود و اقتصاد واحد</x:t>
        </x:is>
      </x:c>
      <x:c r="Q144" s="30" t="str">
        <x:v>TK-143</x:v>
      </x:c>
      <x:c r="R144" s="30" t="str"/>
      <x:c r="S144" s="30" t="str">
        <x:v>KPI</x:v>
      </x:c>
      <x:c r="T144" s="30" t="str">
        <x:v>KPI-52</x:v>
      </x:c>
      <x:c r="U144" s="30" t="str">
        <x:v>پیاده‌سازی KPI: Payback Months (CAC Payback Period)</x:v>
      </x:c>
      <x:c r="V144" s="30" t="str">
        <x:v>Pending dependency review</x:v>
      </x:c>
      <x:c r="W144" s="30" t="str">
        <x:v>نیازمند تکمیل و تأیید مالک</x:v>
      </x:c>
      <x:c r="X144" s="30" t="str">
        <x:v>نیازمند تکمیل و تأیید مالک</x:v>
      </x:c>
      <x:c r="Y144" s="30" t="str">
        <x:v>Finance Manager</x:v>
      </x:c>
      <x:c r="Z144" s="30" t="n">
        <x:v>7</x:v>
      </x:c>
      <x:c r="AA144" s="30" t="n">
        <x:v>143</x:v>
      </x:c>
      <x:c r="AB144" s="30" t="str">
        <x:v>فرمول «CAC / Avg Monthly GP per Customer» در Semantic Layer + تطبیق با پنل منبع؛ تارگت: مواد &lt; 3.5 ماه | تجهیزات &lt; 1 ماه</x:v>
      </x:c>
      <x:c r="AC144" s="30" t="str">
        <x:v>نیازمند تکمیل و تأیید مالک</x:v>
      </x:c>
      <x:c r="AD144" s="30" t="str">
        <x:v>نیازمند تکمیل و تأیید مالک</x:v>
      </x:c>
      <x:c r="AE144" s="30" t="str">
        <x:v>فرمول «CAC / Avg Monthly GP per Customer» در Semantic Layer + تطبیق با پنل منبع؛ تارگت: مواد &lt; 3.5 ماه | تجهیزات &lt; 1 ماه</x:v>
      </x:c>
      <x:c r="AF144" s="30" t="str"/>
      <x:c r="AG144" s="30" t="str">
        <x:v>KPI-52</x:v>
      </x:c>
      <x:c r="AH144" s="30" t="str"/>
    </x:row>
    <x:row r="145">
      <x:c r="A145" s="19" t="inlineStr">
        <x:is>
          <x:t xml:space="preserve">TK-144</x:t>
        </x:is>
      </x:c>
      <x:c r="B145" s="6" t="inlineStr">
        <x:is>
          <x:t xml:space="preserve">پیاده‌سازی KPI: RPR (Repeat Purchase Rate)</x:t>
        </x:is>
      </x:c>
      <x:c r="C145" s="6" t="inlineStr">
        <x:is>
          <x:t xml:space="preserve">Implement KPI: Repeat Purchase Rate</x:t>
        </x:is>
      </x:c>
      <x:c r="D145" s="6" t="inlineStr">
        <x:is>
          <x:t xml:space="preserve">KPI</x:t>
        </x:is>
      </x:c>
      <x:c r="E145" s="6" t="inlineStr">
        <x:is>
          <x:t xml:space="preserve">KPI-53</x:t>
        </x:is>
      </x:c>
      <x:c r="F145" s="19" t="inlineStr">
        <x:is>
          <x:t xml:space="preserve">W4</x:t>
        </x:is>
      </x:c>
      <x:c r="G145" s="6" t="inlineStr">
        <x:is>
          <x:t xml:space="preserve">S2</x:t>
        </x:is>
      </x:c>
      <x:c r="H145" s="19" t="inlineStr">
        <x:is>
          <x:t xml:space="preserve">Critical</x:t>
        </x:is>
      </x:c>
      <x:c r="I145" s="6" t="inlineStr">
        <x:is>
          <x:t xml:space="preserve">Data Analyst</x:t>
        </x:is>
      </x:c>
      <x:c r="J145" s="19" t="n">
        <x:v>5</x:v>
      </x:c>
      <x:c r="K145" s="19" t="n">
        <x:v>2</x:v>
      </x:c>
      <x:c r="L145" s="18" t="n">
        <x:f>J145*2-K145</x:f>
        <x:v>8</x:v>
      </x:c>
      <x:c r="M145" s="6" t="inlineStr">
        <x:is>
          <x:t xml:space="preserve">TK-089..091</x:t>
        </x:is>
      </x:c>
      <x:c r="N145" s="6" t="inlineStr">
        <x:is>
          <x:t xml:space="preserve">فرمول «(Customers ≥2 Purchases / Unique Buyers) × 100» در Semantic Layer + تطبیق با پنل منبع؛ تارگت: مواد &gt; 45٪ در ۱۸۰ روز</x:t>
        </x:is>
      </x:c>
      <x:c r="O145" s="19" t="inlineStr">
        <x:is>
          <x:t xml:space="preserve">Proposed</x:t>
        </x:is>
      </x:c>
      <x:c r="P145" s="6" t="inlineStr">
        <x:is>
          <x:t xml:space="preserve">وفاداری و CLV</x:t>
        </x:is>
      </x:c>
      <x:c r="Q145" s="30" t="str">
        <x:v>TK-144</x:v>
      </x:c>
      <x:c r="R145" s="30" t="str"/>
      <x:c r="S145" s="30" t="str">
        <x:v>KPI</x:v>
      </x:c>
      <x:c r="T145" s="30" t="str">
        <x:v>KPI-53</x:v>
      </x:c>
      <x:c r="U145" s="30" t="str">
        <x:v>پیاده‌سازی KPI: RPR (Repeat Purchase Rate)</x:v>
      </x:c>
      <x:c r="V145" s="30" t="str">
        <x:v>Pending dependency review</x:v>
      </x:c>
      <x:c r="W145" s="30" t="str">
        <x:v>نیازمند تکمیل و تأیید مالک</x:v>
      </x:c>
      <x:c r="X145" s="30" t="str">
        <x:v>نیازمند تکمیل و تأیید مالک</x:v>
      </x:c>
      <x:c r="Y145" s="30" t="str">
        <x:v>Data Analyst</x:v>
      </x:c>
      <x:c r="Z145" s="30" t="n">
        <x:v>7</x:v>
      </x:c>
      <x:c r="AA145" s="30" t="n">
        <x:v>144</x:v>
      </x:c>
      <x:c r="AB145" s="30" t="str">
        <x:v>فرمول «(Customers ≥2 Purchases / Unique Buyers) × 100» در Semantic Layer + تطبیق با پنل منبع؛ تارگت: مواد &gt; 45٪ در ۱۸۰ روز</x:v>
      </x:c>
      <x:c r="AC145" s="30" t="str">
        <x:v>نیازمند تکمیل و تأیید مالک</x:v>
      </x:c>
      <x:c r="AD145" s="30" t="str">
        <x:v>نیازمند تکمیل و تأیید مالک</x:v>
      </x:c>
      <x:c r="AE145" s="30" t="str">
        <x:v>فرمول «(Customers ≥2 Purchases / Unique Buyers) × 100» در Semantic Layer + تطبیق با پنل منبع؛ تارگت: مواد &gt; 45٪ در ۱۸۰ روز</x:v>
      </x:c>
      <x:c r="AF145" s="30" t="str"/>
      <x:c r="AG145" s="30" t="str">
        <x:v>KPI-53</x:v>
      </x:c>
      <x:c r="AH145" s="30" t="str"/>
    </x:row>
    <x:row r="146">
      <x:c r="A146" s="17" t="inlineStr">
        <x:is>
          <x:t xml:space="preserve">TK-145</x:t>
        </x:is>
      </x:c>
      <x:c r="B146" s="4" t="inlineStr">
        <x:is>
          <x:t xml:space="preserve">پیاده‌سازی KPI: CRR (Customer Retention Rate)</x:t>
        </x:is>
      </x:c>
      <x:c r="C146" s="4" t="inlineStr">
        <x:is>
          <x:t xml:space="preserve">Implement KPI: Customer Retention Rate</x:t>
        </x:is>
      </x:c>
      <x:c r="D146" s="4" t="inlineStr">
        <x:is>
          <x:t xml:space="preserve">KPI</x:t>
        </x:is>
      </x:c>
      <x:c r="E146" s="4" t="inlineStr">
        <x:is>
          <x:t xml:space="preserve">KPI-54</x:t>
        </x:is>
      </x:c>
      <x:c r="F146" s="17" t="inlineStr">
        <x:is>
          <x:t xml:space="preserve">W4</x:t>
        </x:is>
      </x:c>
      <x:c r="G146" s="4" t="inlineStr">
        <x:is>
          <x:t xml:space="preserve">S2</x:t>
        </x:is>
      </x:c>
      <x:c r="H146" s="17" t="inlineStr">
        <x:is>
          <x:t xml:space="preserve">High</x:t>
        </x:is>
      </x:c>
      <x:c r="I146" s="4" t="inlineStr">
        <x:is>
          <x:t xml:space="preserve">Data Analyst</x:t>
        </x:is>
      </x:c>
      <x:c r="J146" s="17" t="n">
        <x:v>4</x:v>
      </x:c>
      <x:c r="K146" s="17" t="n">
        <x:v>2</x:v>
      </x:c>
      <x:c r="L146" s="18" t="n">
        <x:f>J146*2-K146</x:f>
        <x:v>6</x:v>
      </x:c>
      <x:c r="M146" s="4" t="inlineStr">
        <x:is>
          <x:t xml:space="preserve">TK-089..091</x:t>
        </x:is>
      </x:c>
      <x:c r="N146" s="4" t="inlineStr">
        <x:is>
          <x:t xml:space="preserve">فرمول «((Active End − New) / Active Start) × 100» در Semantic Layer + تطبیق با پنل منبع؛ تارگت: همکاران &gt; 75٪ سالانه</x:t>
        </x:is>
      </x:c>
      <x:c r="O146" s="17" t="inlineStr">
        <x:is>
          <x:t xml:space="preserve">Proposed</x:t>
        </x:is>
      </x:c>
      <x:c r="P146" s="4" t="inlineStr">
        <x:is>
          <x:t xml:space="preserve">وفاداری و CLV</x:t>
        </x:is>
      </x:c>
      <x:c r="Q146" s="30" t="str">
        <x:v>TK-145</x:v>
      </x:c>
      <x:c r="R146" s="30" t="str"/>
      <x:c r="S146" s="30" t="str">
        <x:v>KPI</x:v>
      </x:c>
      <x:c r="T146" s="30" t="str">
        <x:v>KPI-54</x:v>
      </x:c>
      <x:c r="U146" s="30" t="str">
        <x:v>پیاده‌سازی KPI: CRR (Customer Retention Rate)</x:v>
      </x:c>
      <x:c r="V146" s="30" t="str">
        <x:v>Pending dependency review</x:v>
      </x:c>
      <x:c r="W146" s="30" t="str">
        <x:v>نیازمند تکمیل و تأیید مالک</x:v>
      </x:c>
      <x:c r="X146" s="30" t="str">
        <x:v>نیازمند تکمیل و تأیید مالک</x:v>
      </x:c>
      <x:c r="Y146" s="30" t="str">
        <x:v>Data Analyst</x:v>
      </x:c>
      <x:c r="Z146" s="30" t="n">
        <x:v>7</x:v>
      </x:c>
      <x:c r="AA146" s="30" t="n">
        <x:v>145</x:v>
      </x:c>
      <x:c r="AB146" s="30" t="str">
        <x:v>فرمول «((Active End − New) / Active Start) × 100» در Semantic Layer + تطبیق با پنل منبع؛ تارگت: همکاران &gt; 75٪ سالانه</x:v>
      </x:c>
      <x:c r="AC146" s="30" t="str">
        <x:v>نیازمند تکمیل و تأیید مالک</x:v>
      </x:c>
      <x:c r="AD146" s="30" t="str">
        <x:v>نیازمند تکمیل و تأیید مالک</x:v>
      </x:c>
      <x:c r="AE146" s="30" t="str">
        <x:v>فرمول «((Active End − New) / Active Start) × 100» در Semantic Layer + تطبیق با پنل منبع؛ تارگت: همکاران &gt; 75٪ سالانه</x:v>
      </x:c>
      <x:c r="AF146" s="30" t="str"/>
      <x:c r="AG146" s="30" t="str">
        <x:v>KPI-54</x:v>
      </x:c>
      <x:c r="AH146" s="30" t="str"/>
    </x:row>
    <x:row r="147">
      <x:c r="A147" s="19" t="inlineStr">
        <x:is>
          <x:t xml:space="preserve">TK-146</x:t>
        </x:is>
      </x:c>
      <x:c r="B147" s="6" t="inlineStr">
        <x:is>
          <x:t xml:space="preserve">پیاده‌سازی KPI: Churn% (Customer Churn Rate)</x:t>
        </x:is>
      </x:c>
      <x:c r="C147" s="6" t="inlineStr">
        <x:is>
          <x:t xml:space="preserve">Implement KPI: Customer Churn Rate</x:t>
        </x:is>
      </x:c>
      <x:c r="D147" s="6" t="inlineStr">
        <x:is>
          <x:t xml:space="preserve">KPI</x:t>
        </x:is>
      </x:c>
      <x:c r="E147" s="6" t="inlineStr">
        <x:is>
          <x:t xml:space="preserve">KPI-55</x:t>
        </x:is>
      </x:c>
      <x:c r="F147" s="19" t="inlineStr">
        <x:is>
          <x:t xml:space="preserve">W4</x:t>
        </x:is>
      </x:c>
      <x:c r="G147" s="6" t="inlineStr">
        <x:is>
          <x:t xml:space="preserve">S2</x:t>
        </x:is>
      </x:c>
      <x:c r="H147" s="19" t="inlineStr">
        <x:is>
          <x:t xml:space="preserve">Critical</x:t>
        </x:is>
      </x:c>
      <x:c r="I147" s="6" t="inlineStr">
        <x:is>
          <x:t xml:space="preserve">Data Analyst</x:t>
        </x:is>
      </x:c>
      <x:c r="J147" s="19" t="n">
        <x:v>5</x:v>
      </x:c>
      <x:c r="K147" s="19" t="n">
        <x:v>2</x:v>
      </x:c>
      <x:c r="L147" s="18" t="n">
        <x:f>J147*2-K147</x:f>
        <x:v>8</x:v>
      </x:c>
      <x:c r="M147" s="6" t="inlineStr">
        <x:is>
          <x:t xml:space="preserve">TK-089..091</x:t>
        </x:is>
      </x:c>
      <x:c r="N147" s="6" t="inlineStr">
        <x:is>
          <x:t xml:space="preserve">فرمول «(Lost Inactive / Active at Start) × 100» در Semantic Layer + تطبیق با پنل منبع؛ تارگت: مواد &lt; 18٪ سال | VIP &lt; 6٪</x:t>
        </x:is>
      </x:c>
      <x:c r="O147" s="19" t="inlineStr">
        <x:is>
          <x:t xml:space="preserve">Proposed</x:t>
        </x:is>
      </x:c>
      <x:c r="P147" s="6" t="inlineStr">
        <x:is>
          <x:t xml:space="preserve">وفاداری و CLV</x:t>
        </x:is>
      </x:c>
      <x:c r="Q147" s="30" t="str">
        <x:v>TK-146</x:v>
      </x:c>
      <x:c r="R147" s="30" t="str"/>
      <x:c r="S147" s="30" t="str">
        <x:v>KPI</x:v>
      </x:c>
      <x:c r="T147" s="30" t="str">
        <x:v>KPI-55</x:v>
      </x:c>
      <x:c r="U147" s="30" t="str">
        <x:v>پیاده‌سازی KPI: Churn% (Customer Churn Rate)</x:v>
      </x:c>
      <x:c r="V147" s="30" t="str">
        <x:v>Pending dependency review</x:v>
      </x:c>
      <x:c r="W147" s="30" t="str">
        <x:v>نیازمند تکمیل و تأیید مالک</x:v>
      </x:c>
      <x:c r="X147" s="30" t="str">
        <x:v>نیازمند تکمیل و تأیید مالک</x:v>
      </x:c>
      <x:c r="Y147" s="30" t="str">
        <x:v>Data Analyst</x:v>
      </x:c>
      <x:c r="Z147" s="30" t="n">
        <x:v>7</x:v>
      </x:c>
      <x:c r="AA147" s="30" t="n">
        <x:v>146</x:v>
      </x:c>
      <x:c r="AB147" s="30" t="str">
        <x:v>فرمول «(Lost Inactive / Active at Start) × 100» در Semantic Layer + تطبیق با پنل منبع؛ تارگت: مواد &lt; 18٪ سال | VIP &lt; 6٪</x:v>
      </x:c>
      <x:c r="AC147" s="30" t="str">
        <x:v>نیازمند تکمیل و تأیید مالک</x:v>
      </x:c>
      <x:c r="AD147" s="30" t="str">
        <x:v>نیازمند تکمیل و تأیید مالک</x:v>
      </x:c>
      <x:c r="AE147" s="30" t="str">
        <x:v>فرمول «(Lost Inactive / Active at Start) × 100» در Semantic Layer + تطبیق با پنل منبع؛ تارگت: مواد &lt; 18٪ سال | VIP &lt; 6٪</x:v>
      </x:c>
      <x:c r="AF147" s="30" t="str"/>
      <x:c r="AG147" s="30" t="str">
        <x:v>KPI-55</x:v>
      </x:c>
      <x:c r="AH147" s="30" t="str"/>
    </x:row>
    <x:row r="148">
      <x:c r="A148" s="17" t="inlineStr">
        <x:is>
          <x:t xml:space="preserve">TK-147</x:t>
        </x:is>
      </x:c>
      <x:c r="B148" s="4" t="inlineStr">
        <x:is>
          <x:t xml:space="preserve">پیاده‌سازی KPI: Win-back% (Customer Reactivation Rate)</x:t>
        </x:is>
      </x:c>
      <x:c r="C148" s="4" t="inlineStr">
        <x:is>
          <x:t xml:space="preserve">Implement KPI: Customer Reactivation Rate</x:t>
        </x:is>
      </x:c>
      <x:c r="D148" s="4" t="inlineStr">
        <x:is>
          <x:t xml:space="preserve">KPI</x:t>
        </x:is>
      </x:c>
      <x:c r="E148" s="4" t="inlineStr">
        <x:is>
          <x:t xml:space="preserve">KPI-56</x:t>
        </x:is>
      </x:c>
      <x:c r="F148" s="17" t="inlineStr">
        <x:is>
          <x:t xml:space="preserve">W4</x:t>
        </x:is>
      </x:c>
      <x:c r="G148" s="4" t="inlineStr">
        <x:is>
          <x:t xml:space="preserve">S2</x:t>
        </x:is>
      </x:c>
      <x:c r="H148" s="17" t="inlineStr">
        <x:is>
          <x:t xml:space="preserve">Medium</x:t>
        </x:is>
      </x:c>
      <x:c r="I148" s="4" t="inlineStr">
        <x:is>
          <x:t xml:space="preserve">Data Analyst</x:t>
        </x:is>
      </x:c>
      <x:c r="J148" s="17" t="n">
        <x:v>3</x:v>
      </x:c>
      <x:c r="K148" s="17" t="n">
        <x:v>2</x:v>
      </x:c>
      <x:c r="L148" s="18" t="n">
        <x:f>J148*2-K148</x:f>
        <x:v>4</x:v>
      </x:c>
      <x:c r="M148" s="4" t="inlineStr">
        <x:is>
          <x:t xml:space="preserve">TK-089..091</x:t>
        </x:is>
      </x:c>
      <x:c r="N148" s="4" t="inlineStr">
        <x:is>
          <x:t xml:space="preserve">فرمول «(Reactivated / Lapsed Targeted) × 100» در Semantic Layer + تطبیق با پنل منبع؛ تارگت: بازگشت &gt; 12٪ راکد ۶ ماهه</x:t>
        </x:is>
      </x:c>
      <x:c r="O148" s="17" t="inlineStr">
        <x:is>
          <x:t xml:space="preserve">Proposed</x:t>
        </x:is>
      </x:c>
      <x:c r="P148" s="4" t="inlineStr">
        <x:is>
          <x:t xml:space="preserve">وفاداری و CLV</x:t>
        </x:is>
      </x:c>
      <x:c r="Q148" s="30" t="str">
        <x:v>TK-147</x:v>
      </x:c>
      <x:c r="R148" s="30" t="str"/>
      <x:c r="S148" s="30" t="str">
        <x:v>KPI</x:v>
      </x:c>
      <x:c r="T148" s="30" t="str">
        <x:v>KPI-56</x:v>
      </x:c>
      <x:c r="U148" s="30" t="str">
        <x:v>پیاده‌سازی KPI: Win-back% (Customer Reactivation Rate)</x:v>
      </x:c>
      <x:c r="V148" s="30" t="str">
        <x:v>Pending dependency review</x:v>
      </x:c>
      <x:c r="W148" s="30" t="str">
        <x:v>نیازمند تکمیل و تأیید مالک</x:v>
      </x:c>
      <x:c r="X148" s="30" t="str">
        <x:v>نیازمند تکمیل و تأیید مالک</x:v>
      </x:c>
      <x:c r="Y148" s="30" t="str">
        <x:v>Data Analyst</x:v>
      </x:c>
      <x:c r="Z148" s="30" t="n">
        <x:v>7</x:v>
      </x:c>
      <x:c r="AA148" s="30" t="n">
        <x:v>147</x:v>
      </x:c>
      <x:c r="AB148" s="30" t="str">
        <x:v>فرمول «(Reactivated / Lapsed Targeted) × 100» در Semantic Layer + تطبیق با پنل منبع؛ تارگت: بازگشت &gt; 12٪ راکد ۶ ماهه</x:v>
      </x:c>
      <x:c r="AC148" s="30" t="str">
        <x:v>نیازمند تکمیل و تأیید مالک</x:v>
      </x:c>
      <x:c r="AD148" s="30" t="str">
        <x:v>نیازمند تکمیل و تأیید مالک</x:v>
      </x:c>
      <x:c r="AE148" s="30" t="str">
        <x:v>فرمول «(Reactivated / Lapsed Targeted) × 100» در Semantic Layer + تطبیق با پنل منبع؛ تارگت: بازگشت &gt; 12٪ راکد ۶ ماهه</x:v>
      </x:c>
      <x:c r="AF148" s="30" t="str"/>
      <x:c r="AG148" s="30" t="str">
        <x:v>KPI-56</x:v>
      </x:c>
      <x:c r="AH148" s="30" t="str"/>
    </x:row>
    <x:row r="149">
      <x:c r="A149" s="19" t="inlineStr">
        <x:is>
          <x:t xml:space="preserve">TK-148</x:t>
        </x:is>
      </x:c>
      <x:c r="B149" s="6" t="inlineStr">
        <x:is>
          <x:t xml:space="preserve">پیاده‌سازی KPI: pCLV (Predictive Customer Lifetime Value)</x:t>
        </x:is>
      </x:c>
      <x:c r="C149" s="6" t="inlineStr">
        <x:is>
          <x:t xml:space="preserve">Implement KPI: Predictive Customer Lifetime Value</x:t>
        </x:is>
      </x:c>
      <x:c r="D149" s="6" t="inlineStr">
        <x:is>
          <x:t xml:space="preserve">KPI</x:t>
        </x:is>
      </x:c>
      <x:c r="E149" s="6" t="inlineStr">
        <x:is>
          <x:t xml:space="preserve">KPI-57</x:t>
        </x:is>
      </x:c>
      <x:c r="F149" s="19" t="inlineStr">
        <x:is>
          <x:t xml:space="preserve">W4</x:t>
        </x:is>
      </x:c>
      <x:c r="G149" s="6" t="inlineStr">
        <x:is>
          <x:t xml:space="preserve">S2</x:t>
        </x:is>
      </x:c>
      <x:c r="H149" s="19" t="inlineStr">
        <x:is>
          <x:t xml:space="preserve">Critical</x:t>
        </x:is>
      </x:c>
      <x:c r="I149" s="6" t="inlineStr">
        <x:is>
          <x:t xml:space="preserve">Data Analyst</x:t>
        </x:is>
      </x:c>
      <x:c r="J149" s="19" t="n">
        <x:v>5</x:v>
      </x:c>
      <x:c r="K149" s="19" t="n">
        <x:v>2</x:v>
      </x:c>
      <x:c r="L149" s="18" t="n">
        <x:f>J149*2-K149</x:f>
        <x:v>8</x:v>
      </x:c>
      <x:c r="M149" s="6" t="inlineStr">
        <x:is>
          <x:t xml:space="preserve">TK-089..091</x:t>
        </x:is>
      </x:c>
      <x:c r="N149" s="6" t="inlineStr">
        <x:is>
          <x:t xml:space="preserve">فرمول «E[N(t)] × E[Margin per Transaction]» در Semantic Layer + تطبیق با پنل منبع؛ تارگت: LTV/CAC &gt; 3.5x</x:t>
        </x:is>
      </x:c>
      <x:c r="O149" s="19" t="inlineStr">
        <x:is>
          <x:t xml:space="preserve">Proposed</x:t>
        </x:is>
      </x:c>
      <x:c r="P149" s="6" t="inlineStr">
        <x:is>
          <x:t xml:space="preserve">وفاداری و CLV</x:t>
        </x:is>
      </x:c>
      <x:c r="Q149" s="30" t="str">
        <x:v>TK-148</x:v>
      </x:c>
      <x:c r="R149" s="30" t="str"/>
      <x:c r="S149" s="30" t="str">
        <x:v>KPI</x:v>
      </x:c>
      <x:c r="T149" s="30" t="str">
        <x:v>KPI-57</x:v>
      </x:c>
      <x:c r="U149" s="30" t="str">
        <x:v>پیاده‌سازی KPI: pCLV (Predictive Customer Lifetime Value)</x:v>
      </x:c>
      <x:c r="V149" s="30" t="str">
        <x:v>Pending dependency review</x:v>
      </x:c>
      <x:c r="W149" s="30" t="str">
        <x:v>نیازمند تکمیل و تأیید مالک</x:v>
      </x:c>
      <x:c r="X149" s="30" t="str">
        <x:v>نیازمند تکمیل و تأیید مالک</x:v>
      </x:c>
      <x:c r="Y149" s="30" t="str">
        <x:v>Data Analyst</x:v>
      </x:c>
      <x:c r="Z149" s="30" t="n">
        <x:v>7</x:v>
      </x:c>
      <x:c r="AA149" s="30" t="n">
        <x:v>148</x:v>
      </x:c>
      <x:c r="AB149" s="30" t="str">
        <x:v>فرمول «E[N(t)] × E[Margin per Transaction]» در Semantic Layer + تطبیق با پنل منبع؛ تارگت: LTV/CAC &gt; 3.5x</x:v>
      </x:c>
      <x:c r="AC149" s="30" t="str">
        <x:v>نیازمند تکمیل و تأیید مالک</x:v>
      </x:c>
      <x:c r="AD149" s="30" t="str">
        <x:v>نیازمند تکمیل و تأیید مالک</x:v>
      </x:c>
      <x:c r="AE149" s="30" t="str">
        <x:v>فرمول «E[N(t)] × E[Margin per Transaction]» در Semantic Layer + تطبیق با پنل منبع؛ تارگت: LTV/CAC &gt; 3.5x</x:v>
      </x:c>
      <x:c r="AF149" s="30" t="str"/>
      <x:c r="AG149" s="30" t="str">
        <x:v>KPI-57</x:v>
      </x:c>
      <x:c r="AH149" s="30" t="str"/>
    </x:row>
    <x:row r="150">
      <x:c r="A150" s="17" t="inlineStr">
        <x:is>
          <x:t xml:space="preserve">TK-149</x:t>
        </x:is>
      </x:c>
      <x:c r="B150" s="4" t="inlineStr">
        <x:is>
          <x:t xml:space="preserve">پیاده‌سازی KPI: Pacing% (Budget Pacing Variance)</x:t>
        </x:is>
      </x:c>
      <x:c r="C150" s="4" t="inlineStr">
        <x:is>
          <x:t xml:space="preserve">Implement KPI: Budget Pacing Variance</x:t>
        </x:is>
      </x:c>
      <x:c r="D150" s="4" t="inlineStr">
        <x:is>
          <x:t xml:space="preserve">KPI</x:t>
        </x:is>
      </x:c>
      <x:c r="E150" s="4" t="inlineStr">
        <x:is>
          <x:t xml:space="preserve">KPI-58</x:t>
        </x:is>
      </x:c>
      <x:c r="F150" s="17" t="inlineStr">
        <x:is>
          <x:t xml:space="preserve">W4</x:t>
        </x:is>
      </x:c>
      <x:c r="G150" s="4" t="inlineStr">
        <x:is>
          <x:t xml:space="preserve">S2</x:t>
        </x:is>
      </x:c>
      <x:c r="H150" s="17" t="inlineStr">
        <x:is>
          <x:t xml:space="preserve">Critical</x:t>
        </x:is>
      </x:c>
      <x:c r="I150" s="4" t="inlineStr">
        <x:is>
          <x:t xml:space="preserve">Performance Marketing Lead</x:t>
        </x:is>
      </x:c>
      <x:c r="J150" s="17" t="n">
        <x:v>5</x:v>
      </x:c>
      <x:c r="K150" s="17" t="n">
        <x:v>2</x:v>
      </x:c>
      <x:c r="L150" s="18" t="n">
        <x:f>J150*2-K150</x:f>
        <x:v>8</x:v>
      </x:c>
      <x:c r="M150" s="4" t="inlineStr">
        <x:is>
          <x:t xml:space="preserve">TK-089..091</x:t>
        </x:is>
      </x:c>
      <x:c r="N150" s="4" t="inlineStr">
        <x:is>
          <x:t xml:space="preserve">فرمول «((Actual to Date − Planned to Date) / Planned) × 100» در Semantic Layer + تطبیق با پنل منبع؛ تارگت: ±۵٪ در ارزیابی هفتگی</x:t>
        </x:is>
      </x:c>
      <x:c r="O150" s="17" t="inlineStr">
        <x:is>
          <x:t xml:space="preserve">Proposed</x:t>
        </x:is>
      </x:c>
      <x:c r="P150" s="4" t="inlineStr">
        <x:is>
          <x:t xml:space="preserve">بودجه و هزینه</x:t>
        </x:is>
      </x:c>
      <x:c r="Q150" s="30" t="str">
        <x:v>TK-149</x:v>
      </x:c>
      <x:c r="R150" s="30" t="str"/>
      <x:c r="S150" s="30" t="str">
        <x:v>KPI</x:v>
      </x:c>
      <x:c r="T150" s="30" t="str">
        <x:v>KPI-58</x:v>
      </x:c>
      <x:c r="U150" s="30" t="str">
        <x:v>پیاده‌سازی KPI: Pacing% (Budget Pacing Variance)</x:v>
      </x:c>
      <x:c r="V150" s="30" t="str">
        <x:v>Pending dependency review</x:v>
      </x:c>
      <x:c r="W150" s="30" t="str">
        <x:v>نیازمند تکمیل و تأیید مالک</x:v>
      </x:c>
      <x:c r="X150" s="30" t="str">
        <x:v>نیازمند تکمیل و تأیید مالک</x:v>
      </x:c>
      <x:c r="Y150" s="30" t="str">
        <x:v>Performance Marketing Lead</x:v>
      </x:c>
      <x:c r="Z150" s="30" t="n">
        <x:v>7</x:v>
      </x:c>
      <x:c r="AA150" s="30" t="n">
        <x:v>149</x:v>
      </x:c>
      <x:c r="AB150" s="30" t="str">
        <x:v>فرمول «((Actual to Date − Planned to Date) / Planned) × 100» در Semantic Layer + تطبیق با پنل منبع؛ تارگت: ±۵٪ در ارزیابی هفتگی</x:v>
      </x:c>
      <x:c r="AC150" s="30" t="str">
        <x:v>نیازمند تکمیل و تأیید مالک</x:v>
      </x:c>
      <x:c r="AD150" s="30" t="str">
        <x:v>نیازمند تکمیل و تأیید مالک</x:v>
      </x:c>
      <x:c r="AE150" s="30" t="str">
        <x:v>فرمول «((Actual to Date − Planned to Date) / Planned) × 100» در Semantic Layer + تطبیق با پنل منبع؛ تارگت: ±۵٪ در ارزیابی هفتگی</x:v>
      </x:c>
      <x:c r="AF150" s="30" t="str"/>
      <x:c r="AG150" s="30" t="str">
        <x:v>KPI-58</x:v>
      </x:c>
      <x:c r="AH150" s="30" t="str"/>
    </x:row>
    <x:row r="151">
      <x:c r="A151" s="19" t="inlineStr">
        <x:is>
          <x:t xml:space="preserve">TK-150</x:t>
        </x:is>
      </x:c>
      <x:c r="B151" s="6" t="inlineStr">
        <x:is>
          <x:t xml:space="preserve">پیاده‌سازی KPI: BUR (Budget Utilization Risk)</x:t>
        </x:is>
      </x:c>
      <x:c r="C151" s="6" t="inlineStr">
        <x:is>
          <x:t xml:space="preserve">Implement KPI: Budget Utilization Risk</x:t>
        </x:is>
      </x:c>
      <x:c r="D151" s="6" t="inlineStr">
        <x:is>
          <x:t xml:space="preserve">KPI</x:t>
        </x:is>
      </x:c>
      <x:c r="E151" s="6" t="inlineStr">
        <x:is>
          <x:t xml:space="preserve">KPI-59</x:t>
        </x:is>
      </x:c>
      <x:c r="F151" s="19" t="inlineStr">
        <x:is>
          <x:t xml:space="preserve">W4</x:t>
        </x:is>
      </x:c>
      <x:c r="G151" s="6" t="inlineStr">
        <x:is>
          <x:t xml:space="preserve">S2</x:t>
        </x:is>
      </x:c>
      <x:c r="H151" s="19" t="inlineStr">
        <x:is>
          <x:t xml:space="preserve">High</x:t>
        </x:is>
      </x:c>
      <x:c r="I151" s="6" t="inlineStr">
        <x:is>
          <x:t xml:space="preserve">Performance Marketing Lead</x:t>
        </x:is>
      </x:c>
      <x:c r="J151" s="19" t="n">
        <x:v>4</x:v>
      </x:c>
      <x:c r="K151" s="19" t="n">
        <x:v>2</x:v>
      </x:c>
      <x:c r="L151" s="18" t="n">
        <x:f>J151*2-K151</x:f>
        <x:v>6</x:v>
      </x:c>
      <x:c r="M151" s="6" t="inlineStr">
        <x:is>
          <x:t xml:space="preserve">TK-089..091</x:t>
        </x:is>
      </x:c>
      <x:c r="N151" s="6" t="inlineStr">
        <x:is>
          <x:t xml:space="preserve">فرمول «(Current + Avg3d × RemainingDays) / Approved Budget» در Semantic Layer + تطبیق با پنل منبع؛ تارگت: ۰.۹۸ تا ۱.۰۲ انتهای ماه</x:t>
        </x:is>
      </x:c>
      <x:c r="O151" s="19" t="inlineStr">
        <x:is>
          <x:t xml:space="preserve">Proposed</x:t>
        </x:is>
      </x:c>
      <x:c r="P151" s="6" t="inlineStr">
        <x:is>
          <x:t xml:space="preserve">بودجه و هزینه</x:t>
        </x:is>
      </x:c>
      <x:c r="Q151" s="30" t="str">
        <x:v>TK-150</x:v>
      </x:c>
      <x:c r="R151" s="30" t="str"/>
      <x:c r="S151" s="30" t="str">
        <x:v>KPI</x:v>
      </x:c>
      <x:c r="T151" s="30" t="str">
        <x:v>KPI-59</x:v>
      </x:c>
      <x:c r="U151" s="30" t="str">
        <x:v>پیاده‌سازی KPI: BUR (Budget Utilization Risk)</x:v>
      </x:c>
      <x:c r="V151" s="30" t="str">
        <x:v>Pending dependency review</x:v>
      </x:c>
      <x:c r="W151" s="30" t="str">
        <x:v>نیازمند تکمیل و تأیید مالک</x:v>
      </x:c>
      <x:c r="X151" s="30" t="str">
        <x:v>نیازمند تکمیل و تأیید مالک</x:v>
      </x:c>
      <x:c r="Y151" s="30" t="str">
        <x:v>Performance Marketing Lead</x:v>
      </x:c>
      <x:c r="Z151" s="30" t="n">
        <x:v>7</x:v>
      </x:c>
      <x:c r="AA151" s="30" t="n">
        <x:v>150</x:v>
      </x:c>
      <x:c r="AB151" s="30" t="str">
        <x:v>فرمول «(Current + Avg3d × RemainingDays) / Approved Budget» در Semantic Layer + تطبیق با پنل منبع؛ تارگت: ۰.۹۸ تا ۱.۰۲ انتهای ماه</x:v>
      </x:c>
      <x:c r="AC151" s="30" t="str">
        <x:v>نیازمند تکمیل و تأیید مالک</x:v>
      </x:c>
      <x:c r="AD151" s="30" t="str">
        <x:v>نیازمند تکمیل و تأیید مالک</x:v>
      </x:c>
      <x:c r="AE151" s="30" t="str">
        <x:v>فرمول «(Current + Avg3d × RemainingDays) / Approved Budget» در Semantic Layer + تطبیق با پنل منبع؛ تارگت: ۰.۹۸ تا ۱.۰۲ انتهای ماه</x:v>
      </x:c>
      <x:c r="AF151" s="30" t="str"/>
      <x:c r="AG151" s="30" t="str">
        <x:v>KPI-59</x:v>
      </x:c>
      <x:c r="AH151" s="30" t="str"/>
    </x:row>
    <x:row r="152">
      <x:c r="A152" s="17" t="inlineStr">
        <x:is>
          <x:t xml:space="preserve">TK-151</x:t>
        </x:is>
      </x:c>
      <x:c r="B152" s="4" t="inlineStr">
        <x:is>
          <x:t xml:space="preserve">پیاده‌سازی KPI: Hook% (Thumb-stop / Hook Rate)</x:t>
        </x:is>
      </x:c>
      <x:c r="C152" s="4" t="inlineStr">
        <x:is>
          <x:t xml:space="preserve">Implement KPI: Thumb-stop / Hook Rate</x:t>
        </x:is>
      </x:c>
      <x:c r="D152" s="4" t="inlineStr">
        <x:is>
          <x:t xml:space="preserve">KPI</x:t>
        </x:is>
      </x:c>
      <x:c r="E152" s="4" t="inlineStr">
        <x:is>
          <x:t xml:space="preserve">KPI-60</x:t>
        </x:is>
      </x:c>
      <x:c r="F152" s="17" t="inlineStr">
        <x:is>
          <x:t xml:space="preserve">W4</x:t>
        </x:is>
      </x:c>
      <x:c r="G152" s="4" t="inlineStr">
        <x:is>
          <x:t xml:space="preserve">S2</x:t>
        </x:is>
      </x:c>
      <x:c r="H152" s="17" t="inlineStr">
        <x:is>
          <x:t xml:space="preserve">High</x:t>
        </x:is>
      </x:c>
      <x:c r="I152" s="4" t="inlineStr">
        <x:is>
          <x:t xml:space="preserve">Media Buyer</x:t>
        </x:is>
      </x:c>
      <x:c r="J152" s="17" t="n">
        <x:v>4</x:v>
      </x:c>
      <x:c r="K152" s="17" t="n">
        <x:v>2</x:v>
      </x:c>
      <x:c r="L152" s="18" t="n">
        <x:f>J152*2-K152</x:f>
        <x:v>6</x:v>
      </x:c>
      <x:c r="M152" s="4" t="inlineStr">
        <x:is>
          <x:t xml:space="preserve">TK-089..091</x:t>
        </x:is>
      </x:c>
      <x:c r="N152" s="4" t="inlineStr">
        <x:is>
          <x:t xml:space="preserve">فرمول «(3s Plays / Video Impressions) × 100» در Semantic Layer + تطبیق با پنل منبع؛ تارگت: &gt; 32٪ ریلز/استوری تخصصی</x:t>
        </x:is>
      </x:c>
      <x:c r="O152" s="17" t="inlineStr">
        <x:is>
          <x:t xml:space="preserve">Proposed</x:t>
        </x:is>
      </x:c>
      <x:c r="P152" s="4" t="inlineStr">
        <x:is>
          <x:t xml:space="preserve">کریتیو و محتوا</x:t>
        </x:is>
      </x:c>
      <x:c r="Q152" s="30" t="str">
        <x:v>TK-151</x:v>
      </x:c>
      <x:c r="R152" s="30" t="str"/>
      <x:c r="S152" s="30" t="str">
        <x:v>KPI</x:v>
      </x:c>
      <x:c r="T152" s="30" t="str">
        <x:v>KPI-60</x:v>
      </x:c>
      <x:c r="U152" s="30" t="str">
        <x:v>پیاده‌سازی KPI: Hook% (Thumb-stop / Hook Rate)</x:v>
      </x:c>
      <x:c r="V152" s="30" t="str">
        <x:v>Pending dependency review</x:v>
      </x:c>
      <x:c r="W152" s="30" t="str">
        <x:v>نیازمند تکمیل و تأیید مالک</x:v>
      </x:c>
      <x:c r="X152" s="30" t="str">
        <x:v>نیازمند تکمیل و تأیید مالک</x:v>
      </x:c>
      <x:c r="Y152" s="30" t="str">
        <x:v>Media Buyer</x:v>
      </x:c>
      <x:c r="Z152" s="30" t="n">
        <x:v>7</x:v>
      </x:c>
      <x:c r="AA152" s="30" t="n">
        <x:v>151</x:v>
      </x:c>
      <x:c r="AB152" s="30" t="str">
        <x:v>فرمول «(3s Plays / Video Impressions) × 100» در Semantic Layer + تطبیق با پنل منبع؛ تارگت: &gt; 32٪ ریلز/استوری تخصصی</x:v>
      </x:c>
      <x:c r="AC152" s="30" t="str">
        <x:v>نیازمند تکمیل و تأیید مالک</x:v>
      </x:c>
      <x:c r="AD152" s="30" t="str">
        <x:v>نیازمند تکمیل و تأیید مالک</x:v>
      </x:c>
      <x:c r="AE152" s="30" t="str">
        <x:v>فرمول «(3s Plays / Video Impressions) × 100» در Semantic Layer + تطبیق با پنل منبع؛ تارگت: &gt; 32٪ ریلز/استوری تخصصی</x:v>
      </x:c>
      <x:c r="AF152" s="30" t="str"/>
      <x:c r="AG152" s="30" t="str">
        <x:v>KPI-60</x:v>
      </x:c>
      <x:c r="AH152" s="30" t="str"/>
    </x:row>
    <x:row r="153">
      <x:c r="A153" s="19" t="inlineStr">
        <x:is>
          <x:t xml:space="preserve">TK-152</x:t>
        </x:is>
      </x:c>
      <x:c r="B153" s="6" t="inlineStr">
        <x:is>
          <x:t xml:space="preserve">پیاده‌سازی KPI: Hold% (Hold Rate)</x:t>
        </x:is>
      </x:c>
      <x:c r="C153" s="6" t="inlineStr">
        <x:is>
          <x:t xml:space="preserve">Implement KPI: Hold Rate</x:t>
        </x:is>
      </x:c>
      <x:c r="D153" s="6" t="inlineStr">
        <x:is>
          <x:t xml:space="preserve">KPI</x:t>
        </x:is>
      </x:c>
      <x:c r="E153" s="6" t="inlineStr">
        <x:is>
          <x:t xml:space="preserve">KPI-61</x:t>
        </x:is>
      </x:c>
      <x:c r="F153" s="19" t="inlineStr">
        <x:is>
          <x:t xml:space="preserve">W4</x:t>
        </x:is>
      </x:c>
      <x:c r="G153" s="6" t="inlineStr">
        <x:is>
          <x:t xml:space="preserve">S2</x:t>
        </x:is>
      </x:c>
      <x:c r="H153" s="19" t="inlineStr">
        <x:is>
          <x:t xml:space="preserve">High</x:t>
        </x:is>
      </x:c>
      <x:c r="I153" s="6" t="inlineStr">
        <x:is>
          <x:t xml:space="preserve">Media Buyer</x:t>
        </x:is>
      </x:c>
      <x:c r="J153" s="19" t="n">
        <x:v>4</x:v>
      </x:c>
      <x:c r="K153" s="19" t="n">
        <x:v>2</x:v>
      </x:c>
      <x:c r="L153" s="18" t="n">
        <x:f>J153*2-K153</x:f>
        <x:v>6</x:v>
      </x:c>
      <x:c r="M153" s="6" t="inlineStr">
        <x:is>
          <x:t xml:space="preserve">TK-089..091</x:t>
        </x:is>
      </x:c>
      <x:c r="N153" s="6" t="inlineStr">
        <x:is>
          <x:t xml:space="preserve">فرمول «(ThruPlays or 15s Views / 3s Plays) × 100» در Semantic Layer + تطبیق با پنل منبع؛ تارگت: &gt; 28٪ ویدیوهای تا ۳۰ ثانیه</x:t>
        </x:is>
      </x:c>
      <x:c r="O153" s="19" t="inlineStr">
        <x:is>
          <x:t xml:space="preserve">Proposed</x:t>
        </x:is>
      </x:c>
      <x:c r="P153" s="6" t="inlineStr">
        <x:is>
          <x:t xml:space="preserve">کریتیو و محتوا</x:t>
        </x:is>
      </x:c>
      <x:c r="Q153" s="30" t="str">
        <x:v>TK-152</x:v>
      </x:c>
      <x:c r="R153" s="30" t="str"/>
      <x:c r="S153" s="30" t="str">
        <x:v>KPI</x:v>
      </x:c>
      <x:c r="T153" s="30" t="str">
        <x:v>KPI-61</x:v>
      </x:c>
      <x:c r="U153" s="30" t="str">
        <x:v>پیاده‌سازی KPI: Hold% (Hold Rate)</x:v>
      </x:c>
      <x:c r="V153" s="30" t="str">
        <x:v>Pending dependency review</x:v>
      </x:c>
      <x:c r="W153" s="30" t="str">
        <x:v>نیازمند تکمیل و تأیید مالک</x:v>
      </x:c>
      <x:c r="X153" s="30" t="str">
        <x:v>نیازمند تکمیل و تأیید مالک</x:v>
      </x:c>
      <x:c r="Y153" s="30" t="str">
        <x:v>Media Buyer</x:v>
      </x:c>
      <x:c r="Z153" s="30" t="n">
        <x:v>7</x:v>
      </x:c>
      <x:c r="AA153" s="30" t="n">
        <x:v>152</x:v>
      </x:c>
      <x:c r="AB153" s="30" t="str">
        <x:v>فرمول «(ThruPlays or 15s Views / 3s Plays) × 100» در Semantic Layer + تطبیق با پنل منبع؛ تارگت: &gt; 28٪ ویدیوهای تا ۳۰ ثانیه</x:v>
      </x:c>
      <x:c r="AC153" s="30" t="str">
        <x:v>نیازمند تکمیل و تأیید مالک</x:v>
      </x:c>
      <x:c r="AD153" s="30" t="str">
        <x:v>نیازمند تکمیل و تأیید مالک</x:v>
      </x:c>
      <x:c r="AE153" s="30" t="str">
        <x:v>فرمول «(ThruPlays or 15s Views / 3s Plays) × 100» در Semantic Layer + تطبیق با پنل منبع؛ تارگت: &gt; 28٪ ویدیوهای تا ۳۰ ثانیه</x:v>
      </x:c>
      <x:c r="AF153" s="30" t="str"/>
      <x:c r="AG153" s="30" t="str">
        <x:v>KPI-61</x:v>
      </x:c>
      <x:c r="AH153" s="30" t="str"/>
    </x:row>
    <x:row r="154">
      <x:c r="A154" s="17" t="inlineStr">
        <x:is>
          <x:t xml:space="preserve">TK-153</x:t>
        </x:is>
      </x:c>
      <x:c r="B154" s="4" t="inlineStr">
        <x:is>
          <x:t xml:space="preserve">پیاده‌سازی KPI: Decay% (Creative Fatigue / Decay Rate)</x:t>
        </x:is>
      </x:c>
      <x:c r="C154" s="4" t="inlineStr">
        <x:is>
          <x:t xml:space="preserve">Implement KPI: Creative Fatigue / Decay Rate</x:t>
        </x:is>
      </x:c>
      <x:c r="D154" s="4" t="inlineStr">
        <x:is>
          <x:t xml:space="preserve">KPI</x:t>
        </x:is>
      </x:c>
      <x:c r="E154" s="4" t="inlineStr">
        <x:is>
          <x:t xml:space="preserve">KPI-62</x:t>
        </x:is>
      </x:c>
      <x:c r="F154" s="17" t="inlineStr">
        <x:is>
          <x:t xml:space="preserve">W4</x:t>
        </x:is>
      </x:c>
      <x:c r="G154" s="4" t="inlineStr">
        <x:is>
          <x:t xml:space="preserve">S2</x:t>
        </x:is>
      </x:c>
      <x:c r="H154" s="17" t="inlineStr">
        <x:is>
          <x:t xml:space="preserve">Critical</x:t>
        </x:is>
      </x:c>
      <x:c r="I154" s="4" t="inlineStr">
        <x:is>
          <x:t xml:space="preserve">Media Buyer</x:t>
        </x:is>
      </x:c>
      <x:c r="J154" s="17" t="n">
        <x:v>5</x:v>
      </x:c>
      <x:c r="K154" s="17" t="n">
        <x:v>2</x:v>
      </x:c>
      <x:c r="L154" s="18" t="n">
        <x:f>J154*2-K154</x:f>
        <x:v>8</x:v>
      </x:c>
      <x:c r="M154" s="4" t="inlineStr">
        <x:is>
          <x:t xml:space="preserve">TK-089..091</x:t>
        </x:is>
      </x:c>
      <x:c r="N154" s="4" t="inlineStr">
        <x:is>
          <x:t xml:space="preserve">فرمول «((CTR_Launch − CTR_Current) / CTR_Launch) × 100» در Semantic Layer + تطبیق با پنل منبع؛ تارگت: افت &lt;۲۵٪ ظرف ۳۰ روز</x:t>
        </x:is>
      </x:c>
      <x:c r="O154" s="17" t="inlineStr">
        <x:is>
          <x:t xml:space="preserve">Proposed</x:t>
        </x:is>
      </x:c>
      <x:c r="P154" s="4" t="inlineStr">
        <x:is>
          <x:t xml:space="preserve">کریتیو و محتوا</x:t>
        </x:is>
      </x:c>
      <x:c r="Q154" s="30" t="str">
        <x:v>TK-153</x:v>
      </x:c>
      <x:c r="R154" s="30" t="str"/>
      <x:c r="S154" s="30" t="str">
        <x:v>KPI</x:v>
      </x:c>
      <x:c r="T154" s="30" t="str">
        <x:v>KPI-62</x:v>
      </x:c>
      <x:c r="U154" s="30" t="str">
        <x:v>پیاده‌سازی KPI: Decay% (Creative Fatigue / Decay Rate)</x:v>
      </x:c>
      <x:c r="V154" s="30" t="str">
        <x:v>Pending dependency review</x:v>
      </x:c>
      <x:c r="W154" s="30" t="str">
        <x:v>نیازمند تکمیل و تأیید مالک</x:v>
      </x:c>
      <x:c r="X154" s="30" t="str">
        <x:v>نیازمند تکمیل و تأیید مالک</x:v>
      </x:c>
      <x:c r="Y154" s="30" t="str">
        <x:v>Media Buyer</x:v>
      </x:c>
      <x:c r="Z154" s="30" t="n">
        <x:v>7</x:v>
      </x:c>
      <x:c r="AA154" s="30" t="n">
        <x:v>153</x:v>
      </x:c>
      <x:c r="AB154" s="30" t="str">
        <x:v>فرمول «((CTR_Launch − CTR_Current) / CTR_Launch) × 100» در Semantic Layer + تطبیق با پنل منبع؛ تارگت: افت &lt;۲۵٪ ظرف ۳۰ روز</x:v>
      </x:c>
      <x:c r="AC154" s="30" t="str">
        <x:v>نیازمند تکمیل و تأیید مالک</x:v>
      </x:c>
      <x:c r="AD154" s="30" t="str">
        <x:v>نیازمند تکمیل و تأیید مالک</x:v>
      </x:c>
      <x:c r="AE154" s="30" t="str">
        <x:v>فرمول «((CTR_Launch − CTR_Current) / CTR_Launch) × 100» در Semantic Layer + تطبیق با پنل منبع؛ تارگت: افت &lt;۲۵٪ ظرف ۳۰ روز</x:v>
      </x:c>
      <x:c r="AF154" s="30" t="str"/>
      <x:c r="AG154" s="30" t="str">
        <x:v>KPI-62</x:v>
      </x:c>
      <x:c r="AH154" s="30" t="str"/>
    </x:row>
    <x:row r="155">
      <x:c r="A155" s="19" t="inlineStr">
        <x:is>
          <x:t xml:space="preserve">TK-154</x:t>
        </x:is>
      </x:c>
      <x:c r="B155" s="6" t="inlineStr">
        <x:is>
          <x:t xml:space="preserve">پیاده‌سازی KPI: Assisted Rev (Assisted Revenue)</x:t>
        </x:is>
      </x:c>
      <x:c r="C155" s="6" t="inlineStr">
        <x:is>
          <x:t xml:space="preserve">Implement KPI: Assisted Revenue</x:t>
        </x:is>
      </x:c>
      <x:c r="D155" s="6" t="inlineStr">
        <x:is>
          <x:t xml:space="preserve">KPI</x:t>
        </x:is>
      </x:c>
      <x:c r="E155" s="6" t="inlineStr">
        <x:is>
          <x:t xml:space="preserve">KPI-63</x:t>
        </x:is>
      </x:c>
      <x:c r="F155" s="19" t="inlineStr">
        <x:is>
          <x:t xml:space="preserve">W4</x:t>
        </x:is>
      </x:c>
      <x:c r="G155" s="6" t="inlineStr">
        <x:is>
          <x:t xml:space="preserve">S2</x:t>
        </x:is>
      </x:c>
      <x:c r="H155" s="19" t="inlineStr">
        <x:is>
          <x:t xml:space="preserve">High</x:t>
        </x:is>
      </x:c>
      <x:c r="I155" s="6" t="inlineStr">
        <x:is>
          <x:t xml:space="preserve">Data Scientist</x:t>
        </x:is>
      </x:c>
      <x:c r="J155" s="19" t="n">
        <x:v>4</x:v>
      </x:c>
      <x:c r="K155" s="19" t="n">
        <x:v>2</x:v>
      </x:c>
      <x:c r="L155" s="18" t="n">
        <x:f>J155*2-K155</x:f>
        <x:v>6</x:v>
      </x:c>
      <x:c r="M155" s="6" t="inlineStr">
        <x:is>
          <x:t xml:space="preserve">TK-089..091</x:t>
        </x:is>
      </x:c>
      <x:c r="N155" s="6" t="inlineStr">
        <x:is>
          <x:t xml:space="preserve">فرمول «SUM(Revenue where Channel present before Last)» در Semantic Layer + تطبیق با پنل منبع؛ تارگت: سهم کمکی ویدیو &gt; 40٪ فروش درگیر</x:t>
        </x:is>
      </x:c>
      <x:c r="O155" s="19" t="inlineStr">
        <x:is>
          <x:t xml:space="preserve">Proposed</x:t>
        </x:is>
      </x:c>
      <x:c r="P155" s="6" t="inlineStr">
        <x:is>
          <x:t xml:space="preserve">چندکاناله و افزایشی</x:t>
        </x:is>
      </x:c>
      <x:c r="Q155" s="30" t="str">
        <x:v>TK-154</x:v>
      </x:c>
      <x:c r="R155" s="30" t="str"/>
      <x:c r="S155" s="30" t="str">
        <x:v>KPI</x:v>
      </x:c>
      <x:c r="T155" s="30" t="str">
        <x:v>KPI-63</x:v>
      </x:c>
      <x:c r="U155" s="30" t="str">
        <x:v>پیاده‌سازی KPI: Assisted Rev (Assisted Revenue)</x:v>
      </x:c>
      <x:c r="V155" s="30" t="str">
        <x:v>Pending dependency review</x:v>
      </x:c>
      <x:c r="W155" s="30" t="str">
        <x:v>نیازمند تکمیل و تأیید مالک</x:v>
      </x:c>
      <x:c r="X155" s="30" t="str">
        <x:v>نیازمند تکمیل و تأیید مالک</x:v>
      </x:c>
      <x:c r="Y155" s="30" t="str">
        <x:v>Data Scientist</x:v>
      </x:c>
      <x:c r="Z155" s="30" t="n">
        <x:v>7</x:v>
      </x:c>
      <x:c r="AA155" s="30" t="n">
        <x:v>154</x:v>
      </x:c>
      <x:c r="AB155" s="30" t="str">
        <x:v>فرمول «SUM(Revenue where Channel present before Last)» در Semantic Layer + تطبیق با پنل منبع؛ تارگت: سهم کمکی ویدیو &gt; 40٪ فروش درگیر</x:v>
      </x:c>
      <x:c r="AC155" s="30" t="str">
        <x:v>نیازمند تکمیل و تأیید مالک</x:v>
      </x:c>
      <x:c r="AD155" s="30" t="str">
        <x:v>نیازمند تکمیل و تأیید مالک</x:v>
      </x:c>
      <x:c r="AE155" s="30" t="str">
        <x:v>فرمول «SUM(Revenue where Channel present before Last)» در Semantic Layer + تطبیق با پنل منبع؛ تارگت: سهم کمکی ویدیو &gt; 40٪ فروش درگیر</x:v>
      </x:c>
      <x:c r="AF155" s="30" t="str"/>
      <x:c r="AG155" s="30" t="str">
        <x:v>KPI-63</x:v>
      </x:c>
      <x:c r="AH155" s="30" t="str"/>
    </x:row>
    <x:row r="156">
      <x:c r="A156" s="17" t="inlineStr">
        <x:is>
          <x:t xml:space="preserve">TK-155</x:t>
        </x:is>
      </x:c>
      <x:c r="B156" s="4" t="inlineStr">
        <x:is>
          <x:t xml:space="preserve">پیاده‌سازی KPI: iROAS (Incremental ROAS)</x:t>
        </x:is>
      </x:c>
      <x:c r="C156" s="4" t="inlineStr">
        <x:is>
          <x:t xml:space="preserve">Implement KPI: Incremental ROAS</x:t>
        </x:is>
      </x:c>
      <x:c r="D156" s="4" t="inlineStr">
        <x:is>
          <x:t xml:space="preserve">KPI</x:t>
        </x:is>
      </x:c>
      <x:c r="E156" s="4" t="inlineStr">
        <x:is>
          <x:t xml:space="preserve">KPI-64</x:t>
        </x:is>
      </x:c>
      <x:c r="F156" s="17" t="inlineStr">
        <x:is>
          <x:t xml:space="preserve">W4</x:t>
        </x:is>
      </x:c>
      <x:c r="G156" s="4" t="inlineStr">
        <x:is>
          <x:t xml:space="preserve">S2</x:t>
        </x:is>
      </x:c>
      <x:c r="H156" s="17" t="inlineStr">
        <x:is>
          <x:t xml:space="preserve">Critical</x:t>
        </x:is>
      </x:c>
      <x:c r="I156" s="4" t="inlineStr">
        <x:is>
          <x:t xml:space="preserve">Data Scientist</x:t>
        </x:is>
      </x:c>
      <x:c r="J156" s="17" t="n">
        <x:v>5</x:v>
      </x:c>
      <x:c r="K156" s="17" t="n">
        <x:v>2</x:v>
      </x:c>
      <x:c r="L156" s="18" t="n">
        <x:f>J156*2-K156</x:f>
        <x:v>8</x:v>
      </x:c>
      <x:c r="M156" s="4" t="inlineStr">
        <x:is>
          <x:t xml:space="preserve">TK-089..091</x:t>
        </x:is>
      </x:c>
      <x:c r="N156" s="4" t="inlineStr">
        <x:is>
          <x:t xml:space="preserve">فرمول «(Rev_Test − Rev_Control) / Spend_Test» در Semantic Layer + تطبیق با پنل منبع؛ تارگت: غیربرند &gt; 1.8x</x:t>
        </x:is>
      </x:c>
      <x:c r="O156" s="17" t="inlineStr">
        <x:is>
          <x:t xml:space="preserve">Proposed</x:t>
        </x:is>
      </x:c>
      <x:c r="P156" s="4" t="inlineStr">
        <x:is>
          <x:t xml:space="preserve">چندکاناله و افزایشی</x:t>
        </x:is>
      </x:c>
      <x:c r="Q156" s="30" t="str">
        <x:v>TK-155</x:v>
      </x:c>
      <x:c r="R156" s="30" t="str"/>
      <x:c r="S156" s="30" t="str">
        <x:v>KPI</x:v>
      </x:c>
      <x:c r="T156" s="30" t="str">
        <x:v>KPI-64</x:v>
      </x:c>
      <x:c r="U156" s="30" t="str">
        <x:v>پیاده‌سازی KPI: iROAS (Incremental ROAS)</x:v>
      </x:c>
      <x:c r="V156" s="30" t="str">
        <x:v>Pending dependency review</x:v>
      </x:c>
      <x:c r="W156" s="30" t="str">
        <x:v>نیازمند تکمیل و تأیید مالک</x:v>
      </x:c>
      <x:c r="X156" s="30" t="str">
        <x:v>نیازمند تکمیل و تأیید مالک</x:v>
      </x:c>
      <x:c r="Y156" s="30" t="str">
        <x:v>Data Scientist</x:v>
      </x:c>
      <x:c r="Z156" s="30" t="n">
        <x:v>7</x:v>
      </x:c>
      <x:c r="AA156" s="30" t="n">
        <x:v>155</x:v>
      </x:c>
      <x:c r="AB156" s="30" t="str">
        <x:v>فرمول «(Rev_Test − Rev_Control) / Spend_Test» در Semantic Layer + تطبیق با پنل منبع؛ تارگت: غیربرند &gt; 1.8x</x:v>
      </x:c>
      <x:c r="AC156" s="30" t="str">
        <x:v>نیازمند تکمیل و تأیید مالک</x:v>
      </x:c>
      <x:c r="AD156" s="30" t="str">
        <x:v>نیازمند تکمیل و تأیید مالک</x:v>
      </x:c>
      <x:c r="AE156" s="30" t="str">
        <x:v>فرمول «(Rev_Test − Rev_Control) / Spend_Test» در Semantic Layer + تطبیق با پنل منبع؛ تارگت: غیربرند &gt; 1.8x</x:v>
      </x:c>
      <x:c r="AF156" s="30" t="str"/>
      <x:c r="AG156" s="30" t="str">
        <x:v>KPI-64</x:v>
      </x:c>
      <x:c r="AH156" s="30" t="str"/>
    </x:row>
    <x:row r="157">
      <x:c r="A157" s="19" t="inlineStr">
        <x:is>
          <x:t xml:space="preserve">TK-156</x:t>
        </x:is>
      </x:c>
      <x:c r="B157" s="6" t="inlineStr">
        <x:is>
          <x:t xml:space="preserve">پیاده‌سازی KPI: EMQ (Event Match Quality)</x:t>
        </x:is>
      </x:c>
      <x:c r="C157" s="6" t="inlineStr">
        <x:is>
          <x:t xml:space="preserve">Implement KPI: Event Match Quality</x:t>
        </x:is>
      </x:c>
      <x:c r="D157" s="6" t="inlineStr">
        <x:is>
          <x:t xml:space="preserve">KPI</x:t>
        </x:is>
      </x:c>
      <x:c r="E157" s="6" t="inlineStr">
        <x:is>
          <x:t xml:space="preserve">KPI-65</x:t>
        </x:is>
      </x:c>
      <x:c r="F157" s="19" t="inlineStr">
        <x:is>
          <x:t xml:space="preserve">W4</x:t>
        </x:is>
      </x:c>
      <x:c r="G157" s="6" t="inlineStr">
        <x:is>
          <x:t xml:space="preserve">S2</x:t>
        </x:is>
      </x:c>
      <x:c r="H157" s="19" t="inlineStr">
        <x:is>
          <x:t xml:space="preserve">Critical</x:t>
        </x:is>
      </x:c>
      <x:c r="I157" s="6" t="inlineStr">
        <x:is>
          <x:t xml:space="preserve">Senior Data Engineer</x:t>
        </x:is>
      </x:c>
      <x:c r="J157" s="19" t="n">
        <x:v>5</x:v>
      </x:c>
      <x:c r="K157" s="19" t="n">
        <x:v>2</x:v>
      </x:c>
      <x:c r="L157" s="18" t="n">
        <x:f>J157*2-K157</x:f>
        <x:v>8</x:v>
      </x:c>
      <x:c r="M157" s="6" t="inlineStr">
        <x:is>
          <x:t xml:space="preserve">TK-089..091</x:t>
        </x:is>
      </x:c>
      <x:c r="N157" s="6" t="inlineStr">
        <x:is>
          <x:t xml:space="preserve">فرمول «Platform Match Quality Score (0-10)» در Semantic Layer + تطبیق با پنل منبع؛ تارگت: Purchase/Lead &gt; 8.0</x:t>
        </x:is>
      </x:c>
      <x:c r="O157" s="19" t="inlineStr">
        <x:is>
          <x:t xml:space="preserve">Proposed</x:t>
        </x:is>
      </x:c>
      <x:c r="P157" s="6" t="inlineStr">
        <x:is>
          <x:t xml:space="preserve">ترکینگ و حاکمیت داده</x:t>
        </x:is>
      </x:c>
      <x:c r="Q157" s="30" t="str">
        <x:v>TK-156</x:v>
      </x:c>
      <x:c r="R157" s="30" t="str"/>
      <x:c r="S157" s="30" t="str">
        <x:v>KPI</x:v>
      </x:c>
      <x:c r="T157" s="30" t="str">
        <x:v>KPI-65</x:v>
      </x:c>
      <x:c r="U157" s="30" t="str">
        <x:v>پیاده‌سازی KPI: EMQ (Event Match Quality)</x:v>
      </x:c>
      <x:c r="V157" s="30" t="str">
        <x:v>Pending dependency review</x:v>
      </x:c>
      <x:c r="W157" s="30" t="str">
        <x:v>نیازمند تکمیل و تأیید مالک</x:v>
      </x:c>
      <x:c r="X157" s="30" t="str">
        <x:v>نیازمند تکمیل و تأیید مالک</x:v>
      </x:c>
      <x:c r="Y157" s="30" t="str">
        <x:v>Senior Data Engineer</x:v>
      </x:c>
      <x:c r="Z157" s="30" t="n">
        <x:v>7</x:v>
      </x:c>
      <x:c r="AA157" s="30" t="n">
        <x:v>156</x:v>
      </x:c>
      <x:c r="AB157" s="30" t="str">
        <x:v>فرمول «Platform Match Quality Score (0-10)» در Semantic Layer + تطبیق با پنل منبع؛ تارگت: Purchase/Lead &gt; 8.0</x:v>
      </x:c>
      <x:c r="AC157" s="30" t="str">
        <x:v>نیازمند تکمیل و تأیید مالک</x:v>
      </x:c>
      <x:c r="AD157" s="30" t="str">
        <x:v>نیازمند تکمیل و تأیید مالک</x:v>
      </x:c>
      <x:c r="AE157" s="30" t="str">
        <x:v>فرمول «Platform Match Quality Score (0-10)» در Semantic Layer + تطبیق با پنل منبع؛ تارگت: Purchase/Lead &gt; 8.0</x:v>
      </x:c>
      <x:c r="AF157" s="30" t="str"/>
      <x:c r="AG157" s="30" t="str">
        <x:v>KPI-65</x:v>
      </x:c>
      <x:c r="AH157" s="30" t="str"/>
    </x:row>
    <x:row r="158">
      <x:c r="A158" s="17" t="inlineStr">
        <x:is>
          <x:t xml:space="preserve">TK-157</x:t>
        </x:is>
      </x:c>
      <x:c r="B158" s="4" t="inlineStr">
        <x:is>
          <x:t xml:space="preserve">پیاده‌سازی KPI: Discrepancy% (Platform-to-Backend Attribution Discrepancy)</x:t>
        </x:is>
      </x:c>
      <x:c r="C158" s="4" t="inlineStr">
        <x:is>
          <x:t xml:space="preserve">Implement KPI: Platform-to-Backend Attribution Discrepancy</x:t>
        </x:is>
      </x:c>
      <x:c r="D158" s="4" t="inlineStr">
        <x:is>
          <x:t xml:space="preserve">KPI</x:t>
        </x:is>
      </x:c>
      <x:c r="E158" s="4" t="inlineStr">
        <x:is>
          <x:t xml:space="preserve">KPI-66</x:t>
        </x:is>
      </x:c>
      <x:c r="F158" s="17" t="inlineStr">
        <x:is>
          <x:t xml:space="preserve">W4</x:t>
        </x:is>
      </x:c>
      <x:c r="G158" s="4" t="inlineStr">
        <x:is>
          <x:t xml:space="preserve">S2</x:t>
        </x:is>
      </x:c>
      <x:c r="H158" s="17" t="inlineStr">
        <x:is>
          <x:t xml:space="preserve">Critical</x:t>
        </x:is>
      </x:c>
      <x:c r="I158" s="4" t="inlineStr">
        <x:is>
          <x:t xml:space="preserve">Senior Data Engineer</x:t>
        </x:is>
      </x:c>
      <x:c r="J158" s="17" t="n">
        <x:v>5</x:v>
      </x:c>
      <x:c r="K158" s="17" t="n">
        <x:v>2</x:v>
      </x:c>
      <x:c r="L158" s="18" t="n">
        <x:f>J158*2-K158</x:f>
        <x:v>8</x:v>
      </x:c>
      <x:c r="M158" s="4" t="inlineStr">
        <x:is>
          <x:t xml:space="preserve">TK-089..091</x:t>
        </x:is>
      </x:c>
      <x:c r="N158" s="4" t="inlineStr">
        <x:is>
          <x:t xml:space="preserve">فرمول «(|Platform Conv − Backend Orders| / Backend Orders) × 100» در Semantic Layer + تطبیق با پنل منبع؛ تارگت: گوگل &lt; 8٪ | متا &lt; 15٪</x:t>
        </x:is>
      </x:c>
      <x:c r="O158" s="17" t="inlineStr">
        <x:is>
          <x:t xml:space="preserve">Proposed</x:t>
        </x:is>
      </x:c>
      <x:c r="P158" s="4" t="inlineStr">
        <x:is>
          <x:t xml:space="preserve">ترکینگ و حاکمیت داده</x:t>
        </x:is>
      </x:c>
      <x:c r="Q158" s="30" t="str">
        <x:v>TK-157</x:v>
      </x:c>
      <x:c r="R158" s="30" t="str"/>
      <x:c r="S158" s="30" t="str">
        <x:v>KPI</x:v>
      </x:c>
      <x:c r="T158" s="30" t="str">
        <x:v>KPI-66</x:v>
      </x:c>
      <x:c r="U158" s="30" t="str">
        <x:v>پیاده‌سازی KPI: Discrepancy% (Platform-to-Backend Attribution Discrepancy)</x:v>
      </x:c>
      <x:c r="V158" s="30" t="str">
        <x:v>Pending dependency review</x:v>
      </x:c>
      <x:c r="W158" s="30" t="str">
        <x:v>نیازمند تکمیل و تأیید مالک</x:v>
      </x:c>
      <x:c r="X158" s="30" t="str">
        <x:v>نیازمند تکمیل و تأیید مالک</x:v>
      </x:c>
      <x:c r="Y158" s="30" t="str">
        <x:v>Senior Data Engineer</x:v>
      </x:c>
      <x:c r="Z158" s="30" t="n">
        <x:v>7</x:v>
      </x:c>
      <x:c r="AA158" s="30" t="n">
        <x:v>157</x:v>
      </x:c>
      <x:c r="AB158" s="30" t="str">
        <x:v>فرمول «(|Platform Conv − Backend Orders| / Backend Orders) × 100» در Semantic Layer + تطبیق با پنل منبع؛ تارگت: گوگل &lt; 8٪ | متا &lt; 15٪</x:v>
      </x:c>
      <x:c r="AC158" s="30" t="str">
        <x:v>نیازمند تکمیل و تأیید مالک</x:v>
      </x:c>
      <x:c r="AD158" s="30" t="str">
        <x:v>نیازمند تکمیل و تأیید مالک</x:v>
      </x:c>
      <x:c r="AE158" s="30" t="str">
        <x:v>فرمول «(|Platform Conv − Backend Orders| / Backend Orders) × 100» در Semantic Layer + تطبیق با پنل منبع؛ تارگت: گوگل &lt; 8٪ | متا &lt; 15٪</x:v>
      </x:c>
      <x:c r="AF158" s="30" t="str"/>
      <x:c r="AG158" s="30" t="str">
        <x:v>KPI-66</x:v>
      </x:c>
      <x:c r="AH158" s="30" t="str"/>
    </x:row>
    <x:row r="159">
      <x:c r="A159" s="19" t="inlineStr">
        <x:is>
          <x:t xml:space="preserve">TK-158</x:t>
        </x:is>
      </x:c>
      <x:c r="B159" s="6" t="inlineStr">
        <x:is>
          <x:t xml:space="preserve">پیاده‌سازی KPI: FC-Spend (Forecasted Spend)</x:t>
        </x:is>
      </x:c>
      <x:c r="C159" s="6" t="inlineStr">
        <x:is>
          <x:t xml:space="preserve">Implement KPI: Forecasted Spend</x:t>
        </x:is>
      </x:c>
      <x:c r="D159" s="6" t="inlineStr">
        <x:is>
          <x:t xml:space="preserve">KPI</x:t>
        </x:is>
      </x:c>
      <x:c r="E159" s="6" t="inlineStr">
        <x:is>
          <x:t xml:space="preserve">KPI-67</x:t>
        </x:is>
      </x:c>
      <x:c r="F159" s="19" t="inlineStr">
        <x:is>
          <x:t xml:space="preserve">W4</x:t>
        </x:is>
      </x:c>
      <x:c r="G159" s="6" t="inlineStr">
        <x:is>
          <x:t xml:space="preserve">S2</x:t>
        </x:is>
      </x:c>
      <x:c r="H159" s="19" t="inlineStr">
        <x:is>
          <x:t xml:space="preserve">High</x:t>
        </x:is>
      </x:c>
      <x:c r="I159" s="6" t="inlineStr">
        <x:is>
          <x:t xml:space="preserve">Performance Marketing Lead</x:t>
        </x:is>
      </x:c>
      <x:c r="J159" s="19" t="n">
        <x:v>4</x:v>
      </x:c>
      <x:c r="K159" s="19" t="n">
        <x:v>2</x:v>
      </x:c>
      <x:c r="L159" s="18" t="n">
        <x:f>J159*2-K159</x:f>
        <x:v>6</x:v>
      </x:c>
      <x:c r="M159" s="6" t="inlineStr">
        <x:is>
          <x:t xml:space="preserve">TK-089..091</x:t>
        </x:is>
      </x:c>
      <x:c r="N159" s="6" t="inlineStr">
        <x:is>
          <x:t xml:space="preserve">فرمول «Spend to Date + (WMA5d × Remaining Days)» در Semantic Layer + تطبیق با پنل منبع؛ تارگت: انحراف &lt; ±۵٪ سقف مصوب</x:t>
        </x:is>
      </x:c>
      <x:c r="O159" s="19" t="inlineStr">
        <x:is>
          <x:t xml:space="preserve">Proposed</x:t>
        </x:is>
      </x:c>
      <x:c r="P159" s="6" t="inlineStr">
        <x:is>
          <x:t xml:space="preserve">بودجه و هزینه</x:t>
        </x:is>
      </x:c>
      <x:c r="Q159" s="30" t="str">
        <x:v>TK-158</x:v>
      </x:c>
      <x:c r="R159" s="30" t="str"/>
      <x:c r="S159" s="30" t="str">
        <x:v>KPI</x:v>
      </x:c>
      <x:c r="T159" s="30" t="str">
        <x:v>KPI-67</x:v>
      </x:c>
      <x:c r="U159" s="30" t="str">
        <x:v>پیاده‌سازی KPI: FC-Spend (Forecasted Spend)</x:v>
      </x:c>
      <x:c r="V159" s="30" t="str">
        <x:v>Pending dependency review</x:v>
      </x:c>
      <x:c r="W159" s="30" t="str">
        <x:v>نیازمند تکمیل و تأیید مالک</x:v>
      </x:c>
      <x:c r="X159" s="30" t="str">
        <x:v>نیازمند تکمیل و تأیید مالک</x:v>
      </x:c>
      <x:c r="Y159" s="30" t="str">
        <x:v>Performance Marketing Lead</x:v>
      </x:c>
      <x:c r="Z159" s="30" t="n">
        <x:v>7</x:v>
      </x:c>
      <x:c r="AA159" s="30" t="n">
        <x:v>158</x:v>
      </x:c>
      <x:c r="AB159" s="30" t="str">
        <x:v>فرمول «Spend to Date + (WMA5d × Remaining Days)» در Semantic Layer + تطبیق با پنل منبع؛ تارگت: انحراف &lt; ±۵٪ سقف مصوب</x:v>
      </x:c>
      <x:c r="AC159" s="30" t="str">
        <x:v>نیازمند تکمیل و تأیید مالک</x:v>
      </x:c>
      <x:c r="AD159" s="30" t="str">
        <x:v>نیازمند تکمیل و تأیید مالک</x:v>
      </x:c>
      <x:c r="AE159" s="30" t="str">
        <x:v>فرمول «Spend to Date + (WMA5d × Remaining Days)» در Semantic Layer + تطبیق با پنل منبع؛ تارگت: انحراف &lt; ±۵٪ سقف مصوب</x:v>
      </x:c>
      <x:c r="AF159" s="30" t="str"/>
      <x:c r="AG159" s="30" t="str">
        <x:v>KPI-67</x:v>
      </x:c>
      <x:c r="AH159" s="30" t="str"/>
    </x:row>
    <x:row r="160">
      <x:c r="A160" s="17" t="inlineStr">
        <x:is>
          <x:t xml:space="preserve">TK-159</x:t>
        </x:is>
      </x:c>
      <x:c r="B160" s="4" t="inlineStr">
        <x:is>
          <x:t xml:space="preserve">پیاده‌سازی KPI: Rem-Budget (Remaining Budget)</x:t>
        </x:is>
      </x:c>
      <x:c r="C160" s="4" t="inlineStr">
        <x:is>
          <x:t xml:space="preserve">Implement KPI: Remaining Budget</x:t>
        </x:is>
      </x:c>
      <x:c r="D160" s="4" t="inlineStr">
        <x:is>
          <x:t xml:space="preserve">KPI</x:t>
        </x:is>
      </x:c>
      <x:c r="E160" s="4" t="inlineStr">
        <x:is>
          <x:t xml:space="preserve">KPI-68</x:t>
        </x:is>
      </x:c>
      <x:c r="F160" s="17" t="inlineStr">
        <x:is>
          <x:t xml:space="preserve">W4</x:t>
        </x:is>
      </x:c>
      <x:c r="G160" s="4" t="inlineStr">
        <x:is>
          <x:t xml:space="preserve">S2</x:t>
        </x:is>
      </x:c>
      <x:c r="H160" s="17" t="inlineStr">
        <x:is>
          <x:t xml:space="preserve">Medium</x:t>
        </x:is>
      </x:c>
      <x:c r="I160" s="4" t="inlineStr">
        <x:is>
          <x:t xml:space="preserve">Performance Marketing Lead</x:t>
        </x:is>
      </x:c>
      <x:c r="J160" s="17" t="n">
        <x:v>3</x:v>
      </x:c>
      <x:c r="K160" s="17" t="n">
        <x:v>2</x:v>
      </x:c>
      <x:c r="L160" s="18" t="n">
        <x:f>J160*2-K160</x:f>
        <x:v>4</x:v>
      </x:c>
      <x:c r="M160" s="4" t="inlineStr">
        <x:is>
          <x:t xml:space="preserve">TK-089..091</x:t>
        </x:is>
      </x:c>
      <x:c r="N160" s="4" t="inlineStr">
        <x:is>
          <x:t xml:space="preserve">فرمول «Approved Budget − Cumulative Spend to Date» در Semantic Layer + تطبیق با پنل منبع؛ تارگت: صفر دقیق در پایان ماه</x:t>
        </x:is>
      </x:c>
      <x:c r="O160" s="17" t="inlineStr">
        <x:is>
          <x:t xml:space="preserve">Proposed</x:t>
        </x:is>
      </x:c>
      <x:c r="P160" s="4" t="inlineStr">
        <x:is>
          <x:t xml:space="preserve">بودجه و هزینه</x:t>
        </x:is>
      </x:c>
      <x:c r="Q160" s="30" t="str">
        <x:v>TK-159</x:v>
      </x:c>
      <x:c r="R160" s="30" t="str"/>
      <x:c r="S160" s="30" t="str">
        <x:v>KPI</x:v>
      </x:c>
      <x:c r="T160" s="30" t="str">
        <x:v>KPI-68</x:v>
      </x:c>
      <x:c r="U160" s="30" t="str">
        <x:v>پیاده‌سازی KPI: Rem-Budget (Remaining Budget)</x:v>
      </x:c>
      <x:c r="V160" s="30" t="str">
        <x:v>Pending dependency review</x:v>
      </x:c>
      <x:c r="W160" s="30" t="str">
        <x:v>نیازمند تکمیل و تأیید مالک</x:v>
      </x:c>
      <x:c r="X160" s="30" t="str">
        <x:v>نیازمند تکمیل و تأیید مالک</x:v>
      </x:c>
      <x:c r="Y160" s="30" t="str">
        <x:v>Performance Marketing Lead</x:v>
      </x:c>
      <x:c r="Z160" s="30" t="n">
        <x:v>7</x:v>
      </x:c>
      <x:c r="AA160" s="30" t="n">
        <x:v>159</x:v>
      </x:c>
      <x:c r="AB160" s="30" t="str">
        <x:v>فرمول «Approved Budget − Cumulative Spend to Date» در Semantic Layer + تطبیق با پنل منبع؛ تارگت: صفر دقیق در پایان ماه</x:v>
      </x:c>
      <x:c r="AC160" s="30" t="str">
        <x:v>نیازمند تکمیل و تأیید مالک</x:v>
      </x:c>
      <x:c r="AD160" s="30" t="str">
        <x:v>نیازمند تکمیل و تأیید مالک</x:v>
      </x:c>
      <x:c r="AE160" s="30" t="str">
        <x:v>فرمول «Approved Budget − Cumulative Spend to Date» در Semantic Layer + تطبیق با پنل منبع؛ تارگت: صفر دقیق در پایان ماه</x:v>
      </x:c>
      <x:c r="AF160" s="30" t="str"/>
      <x:c r="AG160" s="30" t="str">
        <x:v>KPI-68</x:v>
      </x:c>
      <x:c r="AH160" s="30" t="str"/>
    </x:row>
    <x:row r="161">
      <x:c r="A161" s="19" t="inlineStr">
        <x:is>
          <x:t xml:space="preserve">TK-160</x:t>
        </x:is>
      </x:c>
      <x:c r="B161" s="6" t="inlineStr">
        <x:is>
          <x:t xml:space="preserve">پیاده‌سازی KPI: Rec-Realloc (Recommended Budget Reallocation)</x:t>
        </x:is>
      </x:c>
      <x:c r="C161" s="6" t="inlineStr">
        <x:is>
          <x:t xml:space="preserve">Implement KPI: Recommended Budget Reallocation</x:t>
        </x:is>
      </x:c>
      <x:c r="D161" s="6" t="inlineStr">
        <x:is>
          <x:t xml:space="preserve">KPI</x:t>
        </x:is>
      </x:c>
      <x:c r="E161" s="6" t="inlineStr">
        <x:is>
          <x:t xml:space="preserve">KPI-69</x:t>
        </x:is>
      </x:c>
      <x:c r="F161" s="19" t="inlineStr">
        <x:is>
          <x:t xml:space="preserve">W4</x:t>
        </x:is>
      </x:c>
      <x:c r="G161" s="6" t="inlineStr">
        <x:is>
          <x:t xml:space="preserve">S2</x:t>
        </x:is>
      </x:c>
      <x:c r="H161" s="19" t="inlineStr">
        <x:is>
          <x:t xml:space="preserve">High</x:t>
        </x:is>
      </x:c>
      <x:c r="I161" s="6" t="inlineStr">
        <x:is>
          <x:t xml:space="preserve">Performance Marketing Lead</x:t>
        </x:is>
      </x:c>
      <x:c r="J161" s="19" t="n">
        <x:v>4</x:v>
      </x:c>
      <x:c r="K161" s="19" t="n">
        <x:v>2</x:v>
      </x:c>
      <x:c r="L161" s="18" t="n">
        <x:f>J161*2-K161</x:f>
        <x:v>6</x:v>
      </x:c>
      <x:c r="M161" s="6" t="inlineStr">
        <x:is>
          <x:t xml:space="preserve">TK-089..091</x:t>
        </x:is>
      </x:c>
      <x:c r="N161" s="6" t="inlineStr">
        <x:is>
          <x:t xml:space="preserve">فرمول «ΔBudget_i = Optimal_i* − Current_i» در Semantic Layer + تطبیق با پنل منبع؛ تارگت: به شرط ≥۱۲٪ افزایش پیش‌بینی‌شده سود</x:t>
        </x:is>
      </x:c>
      <x:c r="O161" s="19" t="inlineStr">
        <x:is>
          <x:t xml:space="preserve">Proposed</x:t>
        </x:is>
      </x:c>
      <x:c r="P161" s="6" t="inlineStr">
        <x:is>
          <x:t xml:space="preserve">بودجه و هزینه</x:t>
        </x:is>
      </x:c>
      <x:c r="Q161" s="30" t="str">
        <x:v>TK-160</x:v>
      </x:c>
      <x:c r="R161" s="30" t="str"/>
      <x:c r="S161" s="30" t="str">
        <x:v>KPI</x:v>
      </x:c>
      <x:c r="T161" s="30" t="str">
        <x:v>KPI-69</x:v>
      </x:c>
      <x:c r="U161" s="30" t="str">
        <x:v>پیاده‌سازی KPI: Rec-Realloc (Recommended Budget Reallocation)</x:v>
      </x:c>
      <x:c r="V161" s="30" t="str">
        <x:v>Pending dependency review</x:v>
      </x:c>
      <x:c r="W161" s="30" t="str">
        <x:v>نیازمند تکمیل و تأیید مالک</x:v>
      </x:c>
      <x:c r="X161" s="30" t="str">
        <x:v>نیازمند تکمیل و تأیید مالک</x:v>
      </x:c>
      <x:c r="Y161" s="30" t="str">
        <x:v>Performance Marketing Lead</x:v>
      </x:c>
      <x:c r="Z161" s="30" t="n">
        <x:v>7</x:v>
      </x:c>
      <x:c r="AA161" s="30" t="n">
        <x:v>160</x:v>
      </x:c>
      <x:c r="AB161" s="30" t="str">
        <x:v>فرمول «ΔBudget_i = Optimal_i* − Current_i» در Semantic Layer + تطبیق با پنل منبع؛ تارگت: به شرط ≥۱۲٪ افزایش پیش‌بینی‌شده سود</x:v>
      </x:c>
      <x:c r="AC161" s="30" t="str">
        <x:v>نیازمند تکمیل و تأیید مالک</x:v>
      </x:c>
      <x:c r="AD161" s="30" t="str">
        <x:v>نیازمند تکمیل و تأیید مالک</x:v>
      </x:c>
      <x:c r="AE161" s="30" t="str">
        <x:v>فرمول «ΔBudget_i = Optimal_i* − Current_i» در Semantic Layer + تطبیق با پنل منبع؛ تارگت: به شرط ≥۱۲٪ افزایش پیش‌بینی‌شده سود</x:v>
      </x:c>
      <x:c r="AF161" s="30" t="str"/>
      <x:c r="AG161" s="30" t="str">
        <x:v>KPI-69</x:v>
      </x:c>
      <x:c r="AH161" s="30" t="str"/>
    </x:row>
    <x:row r="162">
      <x:c r="A162" s="17" t="inlineStr">
        <x:is>
          <x:t xml:space="preserve">TK-161</x:t>
        </x:is>
      </x:c>
      <x:c r="B162" s="4" t="inlineStr">
        <x:is>
          <x:t xml:space="preserve">پیاده‌سازی KPI: Cr-CTR (Creative CTR)</x:t>
        </x:is>
      </x:c>
      <x:c r="C162" s="4" t="inlineStr">
        <x:is>
          <x:t xml:space="preserve">Implement KPI: Creative CTR</x:t>
        </x:is>
      </x:c>
      <x:c r="D162" s="4" t="inlineStr">
        <x:is>
          <x:t xml:space="preserve">KPI</x:t>
        </x:is>
      </x:c>
      <x:c r="E162" s="4" t="inlineStr">
        <x:is>
          <x:t xml:space="preserve">KPI-70</x:t>
        </x:is>
      </x:c>
      <x:c r="F162" s="17" t="inlineStr">
        <x:is>
          <x:t xml:space="preserve">W4</x:t>
        </x:is>
      </x:c>
      <x:c r="G162" s="4" t="inlineStr">
        <x:is>
          <x:t xml:space="preserve">S2</x:t>
        </x:is>
      </x:c>
      <x:c r="H162" s="17" t="inlineStr">
        <x:is>
          <x:t xml:space="preserve">High</x:t>
        </x:is>
      </x:c>
      <x:c r="I162" s="4" t="inlineStr">
        <x:is>
          <x:t xml:space="preserve">Media Buyer</x:t>
        </x:is>
      </x:c>
      <x:c r="J162" s="17" t="n">
        <x:v>4</x:v>
      </x:c>
      <x:c r="K162" s="17" t="n">
        <x:v>2</x:v>
      </x:c>
      <x:c r="L162" s="18" t="n">
        <x:f>J162*2-K162</x:f>
        <x:v>6</x:v>
      </x:c>
      <x:c r="M162" s="4" t="inlineStr">
        <x:is>
          <x:t xml:space="preserve">TK-089..091</x:t>
        </x:is>
      </x:c>
      <x:c r="N162" s="4" t="inlineStr">
        <x:is>
          <x:t xml:space="preserve">فرمول «(Asset Clicks / Asset Impressions) × 100» در Semantic Layer + تطبیق با پنل منبع؛ تارگت: بنر &gt; 1.4٪ | ویدیو ریلز &gt; 2.0٪</x:t>
        </x:is>
      </x:c>
      <x:c r="O162" s="17" t="inlineStr">
        <x:is>
          <x:t xml:space="preserve">Proposed</x:t>
        </x:is>
      </x:c>
      <x:c r="P162" s="4" t="inlineStr">
        <x:is>
          <x:t xml:space="preserve">کریتیو و محتوا</x:t>
        </x:is>
      </x:c>
      <x:c r="Q162" s="30" t="str">
        <x:v>TK-161</x:v>
      </x:c>
      <x:c r="R162" s="30" t="str"/>
      <x:c r="S162" s="30" t="str">
        <x:v>KPI</x:v>
      </x:c>
      <x:c r="T162" s="30" t="str">
        <x:v>KPI-70</x:v>
      </x:c>
      <x:c r="U162" s="30" t="str">
        <x:v>پیاده‌سازی KPI: Cr-CTR (Creative CTR)</x:v>
      </x:c>
      <x:c r="V162" s="30" t="str">
        <x:v>Pending dependency review</x:v>
      </x:c>
      <x:c r="W162" s="30" t="str">
        <x:v>نیازمند تکمیل و تأیید مالک</x:v>
      </x:c>
      <x:c r="X162" s="30" t="str">
        <x:v>نیازمند تکمیل و تأیید مالک</x:v>
      </x:c>
      <x:c r="Y162" s="30" t="str">
        <x:v>Media Buyer</x:v>
      </x:c>
      <x:c r="Z162" s="30" t="n">
        <x:v>7</x:v>
      </x:c>
      <x:c r="AA162" s="30" t="n">
        <x:v>161</x:v>
      </x:c>
      <x:c r="AB162" s="30" t="str">
        <x:v>فرمول «(Asset Clicks / Asset Impressions) × 100» در Semantic Layer + تطبیق با پنل منبع؛ تارگت: بنر &gt; 1.4٪ | ویدیو ریلز &gt; 2.0٪</x:v>
      </x:c>
      <x:c r="AC162" s="30" t="str">
        <x:v>نیازمند تکمیل و تأیید مالک</x:v>
      </x:c>
      <x:c r="AD162" s="30" t="str">
        <x:v>نیازمند تکمیل و تأیید مالک</x:v>
      </x:c>
      <x:c r="AE162" s="30" t="str">
        <x:v>فرمول «(Asset Clicks / Asset Impressions) × 100» در Semantic Layer + تطبیق با پنل منبع؛ تارگت: بنر &gt; 1.4٪ | ویدیو ریلز &gt; 2.0٪</x:v>
      </x:c>
      <x:c r="AF162" s="30" t="str"/>
      <x:c r="AG162" s="30" t="str">
        <x:v>KPI-70</x:v>
      </x:c>
      <x:c r="AH162" s="30" t="str"/>
    </x:row>
    <x:row r="163">
      <x:c r="A163" s="19" t="inlineStr">
        <x:is>
          <x:t xml:space="preserve">TK-162</x:t>
        </x:is>
      </x:c>
      <x:c r="B163" s="6" t="inlineStr">
        <x:is>
          <x:t xml:space="preserve">پیاده‌سازی KPI: Cr-CVR (Creative CVR)</x:t>
        </x:is>
      </x:c>
      <x:c r="C163" s="6" t="inlineStr">
        <x:is>
          <x:t xml:space="preserve">Implement KPI: Creative CVR</x:t>
        </x:is>
      </x:c>
      <x:c r="D163" s="6" t="inlineStr">
        <x:is>
          <x:t xml:space="preserve">KPI</x:t>
        </x:is>
      </x:c>
      <x:c r="E163" s="6" t="inlineStr">
        <x:is>
          <x:t xml:space="preserve">KPI-71</x:t>
        </x:is>
      </x:c>
      <x:c r="F163" s="19" t="inlineStr">
        <x:is>
          <x:t xml:space="preserve">W4</x:t>
        </x:is>
      </x:c>
      <x:c r="G163" s="6" t="inlineStr">
        <x:is>
          <x:t xml:space="preserve">S2</x:t>
        </x:is>
      </x:c>
      <x:c r="H163" s="19" t="inlineStr">
        <x:is>
          <x:t xml:space="preserve">High</x:t>
        </x:is>
      </x:c>
      <x:c r="I163" s="6" t="inlineStr">
        <x:is>
          <x:t xml:space="preserve">Media Buyer</x:t>
        </x:is>
      </x:c>
      <x:c r="J163" s="19" t="n">
        <x:v>4</x:v>
      </x:c>
      <x:c r="K163" s="19" t="n">
        <x:v>2</x:v>
      </x:c>
      <x:c r="L163" s="18" t="n">
        <x:f>J163*2-K163</x:f>
        <x:v>6</x:v>
      </x:c>
      <x:c r="M163" s="6" t="inlineStr">
        <x:is>
          <x:t xml:space="preserve">TK-089..091</x:t>
        </x:is>
      </x:c>
      <x:c r="N163" s="6" t="inlineStr">
        <x:is>
          <x:t xml:space="preserve">فرمول «(Conv by Asset / Clicks by Asset) × 100» در Semantic Layer + تطبیق با پنل منبع؛ تارگت: لید ویدیوهای فنی &gt; 4.2٪</x:t>
        </x:is>
      </x:c>
      <x:c r="O163" s="19" t="inlineStr">
        <x:is>
          <x:t xml:space="preserve">Proposed</x:t>
        </x:is>
      </x:c>
      <x:c r="P163" s="6" t="inlineStr">
        <x:is>
          <x:t xml:space="preserve">کریتیو و محتوا</x:t>
        </x:is>
      </x:c>
      <x:c r="Q163" s="30" t="str">
        <x:v>TK-162</x:v>
      </x:c>
      <x:c r="R163" s="30" t="str"/>
      <x:c r="S163" s="30" t="str">
        <x:v>KPI</x:v>
      </x:c>
      <x:c r="T163" s="30" t="str">
        <x:v>KPI-71</x:v>
      </x:c>
      <x:c r="U163" s="30" t="str">
        <x:v>پیاده‌سازی KPI: Cr-CVR (Creative CVR)</x:v>
      </x:c>
      <x:c r="V163" s="30" t="str">
        <x:v>Pending dependency review</x:v>
      </x:c>
      <x:c r="W163" s="30" t="str">
        <x:v>نیازمند تکمیل و تأیید مالک</x:v>
      </x:c>
      <x:c r="X163" s="30" t="str">
        <x:v>نیازمند تکمیل و تأیید مالک</x:v>
      </x:c>
      <x:c r="Y163" s="30" t="str">
        <x:v>Media Buyer</x:v>
      </x:c>
      <x:c r="Z163" s="30" t="n">
        <x:v>7</x:v>
      </x:c>
      <x:c r="AA163" s="30" t="n">
        <x:v>162</x:v>
      </x:c>
      <x:c r="AB163" s="30" t="str">
        <x:v>فرمول «(Conv by Asset / Clicks by Asset) × 100» در Semantic Layer + تطبیق با پنل منبع؛ تارگت: لید ویدیوهای فنی &gt; 4.2٪</x:v>
      </x:c>
      <x:c r="AC163" s="30" t="str">
        <x:v>نیازمند تکمیل و تأیید مالک</x:v>
      </x:c>
      <x:c r="AD163" s="30" t="str">
        <x:v>نیازمند تکمیل و تأیید مالک</x:v>
      </x:c>
      <x:c r="AE163" s="30" t="str">
        <x:v>فرمول «(Conv by Asset / Clicks by Asset) × 100» در Semantic Layer + تطبیق با پنل منبع؛ تارگت: لید ویدیوهای فنی &gt; 4.2٪</x:v>
      </x:c>
      <x:c r="AF163" s="30" t="str"/>
      <x:c r="AG163" s="30" t="str">
        <x:v>KPI-71</x:v>
      </x:c>
      <x:c r="AH163" s="30" t="str"/>
    </x:row>
    <x:row r="164">
      <x:c r="A164" s="17" t="inlineStr">
        <x:is>
          <x:t xml:space="preserve">TK-163</x:t>
        </x:is>
      </x:c>
      <x:c r="B164" s="4" t="inlineStr">
        <x:is>
          <x:t xml:space="preserve">پیاده‌سازی KPI: Cr-Lifespan (Creative Lifespan)</x:t>
        </x:is>
      </x:c>
      <x:c r="C164" s="4" t="inlineStr">
        <x:is>
          <x:t xml:space="preserve">Implement KPI: Creative Lifespan</x:t>
        </x:is>
      </x:c>
      <x:c r="D164" s="4" t="inlineStr">
        <x:is>
          <x:t xml:space="preserve">KPI</x:t>
        </x:is>
      </x:c>
      <x:c r="E164" s="4" t="inlineStr">
        <x:is>
          <x:t xml:space="preserve">KPI-72</x:t>
        </x:is>
      </x:c>
      <x:c r="F164" s="17" t="inlineStr">
        <x:is>
          <x:t xml:space="preserve">W4</x:t>
        </x:is>
      </x:c>
      <x:c r="G164" s="4" t="inlineStr">
        <x:is>
          <x:t xml:space="preserve">S2</x:t>
        </x:is>
      </x:c>
      <x:c r="H164" s="17" t="inlineStr">
        <x:is>
          <x:t xml:space="preserve">Medium</x:t>
        </x:is>
      </x:c>
      <x:c r="I164" s="4" t="inlineStr">
        <x:is>
          <x:t xml:space="preserve">Media Buyer</x:t>
        </x:is>
      </x:c>
      <x:c r="J164" s="17" t="n">
        <x:v>3</x:v>
      </x:c>
      <x:c r="K164" s="17" t="n">
        <x:v>2</x:v>
      </x:c>
      <x:c r="L164" s="18" t="n">
        <x:f>J164*2-K164</x:f>
        <x:v>4</x:v>
      </x:c>
      <x:c r="M164" s="4" t="inlineStr">
        <x:is>
          <x:t xml:space="preserve">TK-089..091</x:t>
        </x:is>
      </x:c>
      <x:c r="N164" s="4" t="inlineStr">
        <x:is>
          <x:t xml:space="preserve">فرمول «Date(Fatigue Trigger) − Date(First Launch)» در Semantic Layer + تطبیق با پنل منبع؛ تارگت: ۲۱ تا ۳۵ روز بازار ایران</x:t>
        </x:is>
      </x:c>
      <x:c r="O164" s="17" t="inlineStr">
        <x:is>
          <x:t xml:space="preserve">Proposed</x:t>
        </x:is>
      </x:c>
      <x:c r="P164" s="4" t="inlineStr">
        <x:is>
          <x:t xml:space="preserve">کریتیو و محتوا</x:t>
        </x:is>
      </x:c>
      <x:c r="Q164" s="30" t="str">
        <x:v>TK-163</x:v>
      </x:c>
      <x:c r="R164" s="30" t="str"/>
      <x:c r="S164" s="30" t="str">
        <x:v>KPI</x:v>
      </x:c>
      <x:c r="T164" s="30" t="str">
        <x:v>KPI-72</x:v>
      </x:c>
      <x:c r="U164" s="30" t="str">
        <x:v>پیاده‌سازی KPI: Cr-Lifespan (Creative Lifespan)</x:v>
      </x:c>
      <x:c r="V164" s="30" t="str">
        <x:v>Pending dependency review</x:v>
      </x:c>
      <x:c r="W164" s="30" t="str">
        <x:v>نیازمند تکمیل و تأیید مالک</x:v>
      </x:c>
      <x:c r="X164" s="30" t="str">
        <x:v>نیازمند تکمیل و تأیید مالک</x:v>
      </x:c>
      <x:c r="Y164" s="30" t="str">
        <x:v>Media Buyer</x:v>
      </x:c>
      <x:c r="Z164" s="30" t="n">
        <x:v>7</x:v>
      </x:c>
      <x:c r="AA164" s="30" t="n">
        <x:v>163</x:v>
      </x:c>
      <x:c r="AB164" s="30" t="str">
        <x:v>فرمول «Date(Fatigue Trigger) − Date(First Launch)» در Semantic Layer + تطبیق با پنل منبع؛ تارگت: ۲۱ تا ۳۵ روز بازار ایران</x:v>
      </x:c>
      <x:c r="AC164" s="30" t="str">
        <x:v>نیازمند تکمیل و تأیید مالک</x:v>
      </x:c>
      <x:c r="AD164" s="30" t="str">
        <x:v>نیازمند تکمیل و تأیید مالک</x:v>
      </x:c>
      <x:c r="AE164" s="30" t="str">
        <x:v>فرمول «Date(Fatigue Trigger) − Date(First Launch)» در Semantic Layer + تطبیق با پنل منبع؛ تارگت: ۲۱ تا ۳۵ روز بازار ایران</x:v>
      </x:c>
      <x:c r="AF164" s="30" t="str"/>
      <x:c r="AG164" s="30" t="str">
        <x:v>KPI-72</x:v>
      </x:c>
      <x:c r="AH164" s="30" t="str"/>
    </x:row>
    <x:row r="165">
      <x:c r="A165" s="19" t="inlineStr">
        <x:is>
          <x:t xml:space="preserve">TK-164</x:t>
        </x:is>
      </x:c>
      <x:c r="B165" s="6" t="inlineStr">
        <x:is>
          <x:t xml:space="preserve">پیاده‌سازی KPI: ATBP (Average Time Between Purchases)</x:t>
        </x:is>
      </x:c>
      <x:c r="C165" s="6" t="inlineStr">
        <x:is>
          <x:t xml:space="preserve">Implement KPI: Average Time Between Purchases</x:t>
        </x:is>
      </x:c>
      <x:c r="D165" s="6" t="inlineStr">
        <x:is>
          <x:t xml:space="preserve">KPI</x:t>
        </x:is>
      </x:c>
      <x:c r="E165" s="6" t="inlineStr">
        <x:is>
          <x:t xml:space="preserve">KPI-73</x:t>
        </x:is>
      </x:c>
      <x:c r="F165" s="19" t="inlineStr">
        <x:is>
          <x:t xml:space="preserve">W4</x:t>
        </x:is>
      </x:c>
      <x:c r="G165" s="6" t="inlineStr">
        <x:is>
          <x:t xml:space="preserve">S2</x:t>
        </x:is>
      </x:c>
      <x:c r="H165" s="19" t="inlineStr">
        <x:is>
          <x:t xml:space="preserve">High</x:t>
        </x:is>
      </x:c>
      <x:c r="I165" s="6" t="inlineStr">
        <x:is>
          <x:t xml:space="preserve">Data Analyst</x:t>
        </x:is>
      </x:c>
      <x:c r="J165" s="19" t="n">
        <x:v>4</x:v>
      </x:c>
      <x:c r="K165" s="19" t="n">
        <x:v>2</x:v>
      </x:c>
      <x:c r="L165" s="18" t="n">
        <x:f>J165*2-K165</x:f>
        <x:v>6</x:v>
      </x:c>
      <x:c r="M165" s="6" t="inlineStr">
        <x:is>
          <x:t xml:space="preserve">TK-089..091</x:t>
        </x:is>
      </x:c>
      <x:c r="N165" s="6" t="inlineStr">
        <x:is>
          <x:t xml:space="preserve">فرمول «AVG(OrderDate_i − OrderDate_i−1)» در Semantic Layer + تطبیق با پنل منبع؛ تارگت: مطب پرکار: ۳۵-۵۰ روز (ترمیمی)</x:t>
        </x:is>
      </x:c>
      <x:c r="O165" s="19" t="inlineStr">
        <x:is>
          <x:t xml:space="preserve">Proposed</x:t>
        </x:is>
      </x:c>
      <x:c r="P165" s="6" t="inlineStr">
        <x:is>
          <x:t xml:space="preserve">رفتار و ارزش مشتری</x:t>
        </x:is>
      </x:c>
      <x:c r="Q165" s="30" t="str">
        <x:v>TK-164</x:v>
      </x:c>
      <x:c r="R165" s="30" t="str"/>
      <x:c r="S165" s="30" t="str">
        <x:v>KPI</x:v>
      </x:c>
      <x:c r="T165" s="30" t="str">
        <x:v>KPI-73</x:v>
      </x:c>
      <x:c r="U165" s="30" t="str">
        <x:v>پیاده‌سازی KPI: ATBP (Average Time Between Purchases)</x:v>
      </x:c>
      <x:c r="V165" s="30" t="str">
        <x:v>Pending dependency review</x:v>
      </x:c>
      <x:c r="W165" s="30" t="str">
        <x:v>نیازمند تکمیل و تأیید مالک</x:v>
      </x:c>
      <x:c r="X165" s="30" t="str">
        <x:v>نیازمند تکمیل و تأیید مالک</x:v>
      </x:c>
      <x:c r="Y165" s="30" t="str">
        <x:v>Data Analyst</x:v>
      </x:c>
      <x:c r="Z165" s="30" t="n">
        <x:v>7</x:v>
      </x:c>
      <x:c r="AA165" s="30" t="n">
        <x:v>164</x:v>
      </x:c>
      <x:c r="AB165" s="30" t="str">
        <x:v>فرمول «AVG(OrderDate_i − OrderDate_i−1)» در Semantic Layer + تطبیق با پنل منبع؛ تارگت: مطب پرکار: ۳۵-۵۰ روز (ترمیمی)</x:v>
      </x:c>
      <x:c r="AC165" s="30" t="str">
        <x:v>نیازمند تکمیل و تأیید مالک</x:v>
      </x:c>
      <x:c r="AD165" s="30" t="str">
        <x:v>نیازمند تکمیل و تأیید مالک</x:v>
      </x:c>
      <x:c r="AE165" s="30" t="str">
        <x:v>فرمول «AVG(OrderDate_i − OrderDate_i−1)» در Semantic Layer + تطبیق با پنل منبع؛ تارگت: مطب پرکار: ۳۵-۵۰ روز (ترمیمی)</x:v>
      </x:c>
      <x:c r="AF165" s="30" t="str"/>
      <x:c r="AG165" s="30" t="str">
        <x:v>KPI-73</x:v>
      </x:c>
      <x:c r="AH165" s="30" t="str"/>
    </x:row>
    <x:row r="166">
      <x:c r="A166" s="17" t="inlineStr">
        <x:is>
          <x:t xml:space="preserve">TK-165</x:t>
        </x:is>
      </x:c>
      <x:c r="B166" s="4" t="inlineStr">
        <x:is>
          <x:t xml:space="preserve">پیاده‌سازی KPI: Cust-Prof (Customer Profitability)</x:t>
        </x:is>
      </x:c>
      <x:c r="C166" s="4" t="inlineStr">
        <x:is>
          <x:t xml:space="preserve">Implement KPI: Customer Profitability</x:t>
        </x:is>
      </x:c>
      <x:c r="D166" s="4" t="inlineStr">
        <x:is>
          <x:t xml:space="preserve">KPI</x:t>
        </x:is>
      </x:c>
      <x:c r="E166" s="4" t="inlineStr">
        <x:is>
          <x:t xml:space="preserve">KPI-74</x:t>
        </x:is>
      </x:c>
      <x:c r="F166" s="17" t="inlineStr">
        <x:is>
          <x:t xml:space="preserve">W4</x:t>
        </x:is>
      </x:c>
      <x:c r="G166" s="4" t="inlineStr">
        <x:is>
          <x:t xml:space="preserve">S2</x:t>
        </x:is>
      </x:c>
      <x:c r="H166" s="17" t="inlineStr">
        <x:is>
          <x:t xml:space="preserve">High</x:t>
        </x:is>
      </x:c>
      <x:c r="I166" s="4" t="inlineStr">
        <x:is>
          <x:t xml:space="preserve">Data Analyst</x:t>
        </x:is>
      </x:c>
      <x:c r="J166" s="17" t="n">
        <x:v>4</x:v>
      </x:c>
      <x:c r="K166" s="17" t="n">
        <x:v>2</x:v>
      </x:c>
      <x:c r="L166" s="18" t="n">
        <x:f>J166*2-K166</x:f>
        <x:v>6</x:v>
      </x:c>
      <x:c r="M166" s="4" t="inlineStr">
        <x:is>
          <x:t xml:space="preserve">TK-089..091</x:t>
        </x:is>
      </x:c>
      <x:c r="N166" s="4" t="inlineStr">
        <x:is>
          <x:t xml:space="preserve">فرمول «ΣNetRev − (ΣCOGS + Alloc CAC + ΣDiscounts + Logistics)» در Semantic Layer + تطبیق با پنل منبع؛ تارگت: حاشیه خالص &gt; 18٪ فاکتور مشتری پایدار</x:t>
        </x:is>
      </x:c>
      <x:c r="O166" s="17" t="inlineStr">
        <x:is>
          <x:t xml:space="preserve">Proposed</x:t>
        </x:is>
      </x:c>
      <x:c r="P166" s="4" t="inlineStr">
        <x:is>
          <x:t xml:space="preserve">رفتار و ارزش مشتری</x:t>
        </x:is>
      </x:c>
      <x:c r="Q166" s="30" t="str">
        <x:v>TK-165</x:v>
      </x:c>
      <x:c r="R166" s="30" t="str"/>
      <x:c r="S166" s="30" t="str">
        <x:v>KPI</x:v>
      </x:c>
      <x:c r="T166" s="30" t="str">
        <x:v>KPI-74</x:v>
      </x:c>
      <x:c r="U166" s="30" t="str">
        <x:v>پیاده‌سازی KPI: Cust-Prof (Customer Profitability)</x:v>
      </x:c>
      <x:c r="V166" s="30" t="str">
        <x:v>Pending dependency review</x:v>
      </x:c>
      <x:c r="W166" s="30" t="str">
        <x:v>نیازمند تکمیل و تأیید مالک</x:v>
      </x:c>
      <x:c r="X166" s="30" t="str">
        <x:v>نیازمند تکمیل و تأیید مالک</x:v>
      </x:c>
      <x:c r="Y166" s="30" t="str">
        <x:v>Data Analyst</x:v>
      </x:c>
      <x:c r="Z166" s="30" t="n">
        <x:v>7</x:v>
      </x:c>
      <x:c r="AA166" s="30" t="n">
        <x:v>165</x:v>
      </x:c>
      <x:c r="AB166" s="30" t="str">
        <x:v>فرمول «ΣNetRev − (ΣCOGS + Alloc CAC + ΣDiscounts + Logistics)» در Semantic Layer + تطبیق با پنل منبع؛ تارگت: حاشیه خالص &gt; 18٪ فاکتور مشتری پایدار</x:v>
      </x:c>
      <x:c r="AC166" s="30" t="str">
        <x:v>نیازمند تکمیل و تأیید مالک</x:v>
      </x:c>
      <x:c r="AD166" s="30" t="str">
        <x:v>نیازمند تکمیل و تأیید مالک</x:v>
      </x:c>
      <x:c r="AE166" s="30" t="str">
        <x:v>فرمول «ΣNetRev − (ΣCOGS + Alloc CAC + ΣDiscounts + Logistics)» در Semantic Layer + تطبیق با پنل منبع؛ تارگت: حاشیه خالص &gt; 18٪ فاکتور مشتری پایدار</x:v>
      </x:c>
      <x:c r="AF166" s="30" t="str"/>
      <x:c r="AG166" s="30" t="str">
        <x:v>KPI-74</x:v>
      </x:c>
      <x:c r="AH166" s="30" t="str"/>
    </x:row>
    <x:row r="167">
      <x:c r="A167" s="19" t="inlineStr">
        <x:is>
          <x:t xml:space="preserve">TK-166</x:t>
        </x:is>
      </x:c>
      <x:c r="B167" s="6" t="inlineStr">
        <x:is>
          <x:t xml:space="preserve">پیاده‌سازی KPI: Track-Cov% (Tracking Coverage Rate)</x:t>
        </x:is>
      </x:c>
      <x:c r="C167" s="6" t="inlineStr">
        <x:is>
          <x:t xml:space="preserve">Implement KPI: Tracking Coverage Rate</x:t>
        </x:is>
      </x:c>
      <x:c r="D167" s="6" t="inlineStr">
        <x:is>
          <x:t xml:space="preserve">KPI</x:t>
        </x:is>
      </x:c>
      <x:c r="E167" s="6" t="inlineStr">
        <x:is>
          <x:t xml:space="preserve">KPI-75</x:t>
        </x:is>
      </x:c>
      <x:c r="F167" s="19" t="inlineStr">
        <x:is>
          <x:t xml:space="preserve">W4</x:t>
        </x:is>
      </x:c>
      <x:c r="G167" s="6" t="inlineStr">
        <x:is>
          <x:t xml:space="preserve">S2</x:t>
        </x:is>
      </x:c>
      <x:c r="H167" s="19" t="inlineStr">
        <x:is>
          <x:t xml:space="preserve">Critical</x:t>
        </x:is>
      </x:c>
      <x:c r="I167" s="6" t="inlineStr">
        <x:is>
          <x:t xml:space="preserve">Senior Data Engineer</x:t>
        </x:is>
      </x:c>
      <x:c r="J167" s="19" t="n">
        <x:v>5</x:v>
      </x:c>
      <x:c r="K167" s="19" t="n">
        <x:v>2</x:v>
      </x:c>
      <x:c r="L167" s="18" t="n">
        <x:f>J167*2-K167</x:f>
        <x:v>8</x:v>
      </x:c>
      <x:c r="M167" s="6" t="inlineStr">
        <x:is>
          <x:t xml:space="preserve">TK-089..091</x:t>
        </x:is>
      </x:c>
      <x:c r="N167" s="6" t="inlineStr">
        <x:is>
          <x:t xml:space="preserve">فرمول «(Audited URLs with Tags / Total Active URLs) × 100» در Semantic Layer + تطبیق با پنل منبع؛ تارگت: ۱۰۰٪ قیف فروش | &gt; 98٪ کل وبلاگ</x:t>
        </x:is>
      </x:c>
      <x:c r="O167" s="19" t="inlineStr">
        <x:is>
          <x:t xml:space="preserve">Proposed</x:t>
        </x:is>
      </x:c>
      <x:c r="P167" s="6" t="inlineStr">
        <x:is>
          <x:t xml:space="preserve">ترکینگ و حاکمیت داده</x:t>
        </x:is>
      </x:c>
      <x:c r="Q167" s="30" t="str">
        <x:v>TK-166</x:v>
      </x:c>
      <x:c r="R167" s="30" t="str"/>
      <x:c r="S167" s="30" t="str">
        <x:v>KPI</x:v>
      </x:c>
      <x:c r="T167" s="30" t="str">
        <x:v>KPI-75</x:v>
      </x:c>
      <x:c r="U167" s="30" t="str">
        <x:v>پیاده‌سازی KPI: Track-Cov% (Tracking Coverage Rate)</x:v>
      </x:c>
      <x:c r="V167" s="30" t="str">
        <x:v>Pending dependency review</x:v>
      </x:c>
      <x:c r="W167" s="30" t="str">
        <x:v>نیازمند تکمیل و تأیید مالک</x:v>
      </x:c>
      <x:c r="X167" s="30" t="str">
        <x:v>نیازمند تکمیل و تأیید مالک</x:v>
      </x:c>
      <x:c r="Y167" s="30" t="str">
        <x:v>Senior Data Engineer</x:v>
      </x:c>
      <x:c r="Z167" s="30" t="n">
        <x:v>7</x:v>
      </x:c>
      <x:c r="AA167" s="30" t="n">
        <x:v>166</x:v>
      </x:c>
      <x:c r="AB167" s="30" t="str">
        <x:v>فرمول «(Audited URLs with Tags / Total Active URLs) × 100» در Semantic Layer + تطبیق با پنل منبع؛ تارگت: ۱۰۰٪ قیف فروش | &gt; 98٪ کل وبلاگ</x:v>
      </x:c>
      <x:c r="AC167" s="30" t="str">
        <x:v>نیازمند تکمیل و تأیید مالک</x:v>
      </x:c>
      <x:c r="AD167" s="30" t="str">
        <x:v>نیازمند تکمیل و تأیید مالک</x:v>
      </x:c>
      <x:c r="AE167" s="30" t="str">
        <x:v>فرمول «(Audited URLs with Tags / Total Active URLs) × 100» در Semantic Layer + تطبیق با پنل منبع؛ تارگت: ۱۰۰٪ قیف فروش | &gt; 98٪ کل وبلاگ</x:v>
      </x:c>
      <x:c r="AF167" s="30" t="str"/>
      <x:c r="AG167" s="30" t="str">
        <x:v>KPI-75</x:v>
      </x:c>
      <x:c r="AH167" s="30" t="str"/>
    </x:row>
    <x:row r="168">
      <x:c r="A168" s="17" t="inlineStr">
        <x:is>
          <x:t xml:space="preserve">TK-167</x:t>
        </x:is>
      </x:c>
      <x:c r="B168" s="4" t="inlineStr">
        <x:is>
          <x:t xml:space="preserve">پیاده‌سازی KPI: Miss-Evt% (Missing Events Rate)</x:t>
        </x:is>
      </x:c>
      <x:c r="C168" s="4" t="inlineStr">
        <x:is>
          <x:t xml:space="preserve">Implement KPI: Missing Events Rate</x:t>
        </x:is>
      </x:c>
      <x:c r="D168" s="4" t="inlineStr">
        <x:is>
          <x:t xml:space="preserve">KPI</x:t>
        </x:is>
      </x:c>
      <x:c r="E168" s="4" t="inlineStr">
        <x:is>
          <x:t xml:space="preserve">KPI-76</x:t>
        </x:is>
      </x:c>
      <x:c r="F168" s="17" t="inlineStr">
        <x:is>
          <x:t xml:space="preserve">W4</x:t>
        </x:is>
      </x:c>
      <x:c r="G168" s="4" t="inlineStr">
        <x:is>
          <x:t xml:space="preserve">S2</x:t>
        </x:is>
      </x:c>
      <x:c r="H168" s="17" t="inlineStr">
        <x:is>
          <x:t xml:space="preserve">Critical</x:t>
        </x:is>
      </x:c>
      <x:c r="I168" s="4" t="inlineStr">
        <x:is>
          <x:t xml:space="preserve">Senior Data Engineer</x:t>
        </x:is>
      </x:c>
      <x:c r="J168" s="17" t="n">
        <x:v>5</x:v>
      </x:c>
      <x:c r="K168" s="17" t="n">
        <x:v>2</x:v>
      </x:c>
      <x:c r="L168" s="18" t="n">
        <x:f>J168*2-K168</x:f>
        <x:v>8</x:v>
      </x:c>
      <x:c r="M168" s="4" t="inlineStr">
        <x:is>
          <x:t xml:space="preserve">TK-089..091</x:t>
        </x:is>
      </x:c>
      <x:c r="N168" s="4" t="inlineStr">
        <x:is>
          <x:t xml:space="preserve">فرمول «((DB Actions − Tracked Events) / DB Actions) × 100» در Semantic Layer + تطبیق با پنل منبع؛ تارگت: Purchase &lt; 4.0٪ با Server GTM</x:t>
        </x:is>
      </x:c>
      <x:c r="O168" s="17" t="inlineStr">
        <x:is>
          <x:t xml:space="preserve">Proposed</x:t>
        </x:is>
      </x:c>
      <x:c r="P168" s="4" t="inlineStr">
        <x:is>
          <x:t xml:space="preserve">ترکینگ و حاکمیت داده</x:t>
        </x:is>
      </x:c>
      <x:c r="Q168" s="30" t="str">
        <x:v>TK-167</x:v>
      </x:c>
      <x:c r="R168" s="30" t="str"/>
      <x:c r="S168" s="30" t="str">
        <x:v>KPI</x:v>
      </x:c>
      <x:c r="T168" s="30" t="str">
        <x:v>KPI-76</x:v>
      </x:c>
      <x:c r="U168" s="30" t="str">
        <x:v>پیاده‌سازی KPI: Miss-Evt% (Missing Events Rate)</x:v>
      </x:c>
      <x:c r="V168" s="30" t="str">
        <x:v>Pending dependency review</x:v>
      </x:c>
      <x:c r="W168" s="30" t="str">
        <x:v>نیازمند تکمیل و تأیید مالک</x:v>
      </x:c>
      <x:c r="X168" s="30" t="str">
        <x:v>نیازمند تکمیل و تأیید مالک</x:v>
      </x:c>
      <x:c r="Y168" s="30" t="str">
        <x:v>Senior Data Engineer</x:v>
      </x:c>
      <x:c r="Z168" s="30" t="n">
        <x:v>7</x:v>
      </x:c>
      <x:c r="AA168" s="30" t="n">
        <x:v>167</x:v>
      </x:c>
      <x:c r="AB168" s="30" t="str">
        <x:v>فرمول «((DB Actions − Tracked Events) / DB Actions) × 100» در Semantic Layer + تطبیق با پنل منبع؛ تارگت: Purchase &lt; 4.0٪ با Server GTM</x:v>
      </x:c>
      <x:c r="AC168" s="30" t="str">
        <x:v>نیازمند تکمیل و تأیید مالک</x:v>
      </x:c>
      <x:c r="AD168" s="30" t="str">
        <x:v>نیازمند تکمیل و تأیید مالک</x:v>
      </x:c>
      <x:c r="AE168" s="30" t="str">
        <x:v>فرمول «((DB Actions − Tracked Events) / DB Actions) × 100» در Semantic Layer + تطبیق با پنل منبع؛ تارگت: Purchase &lt; 4.0٪ با Server GTM</x:v>
      </x:c>
      <x:c r="AF168" s="30" t="str"/>
      <x:c r="AG168" s="30" t="str">
        <x:v>KPI-76</x:v>
      </x:c>
      <x:c r="AH168" s="30" t="str"/>
    </x:row>
    <x:row r="169">
      <x:c r="A169" s="19" t="inlineStr">
        <x:is>
          <x:t xml:space="preserve">TK-168</x:t>
        </x:is>
      </x:c>
      <x:c r="B169" s="6" t="inlineStr">
        <x:is>
          <x:t xml:space="preserve">پیاده‌سازی KPI: Dup-Evt% (Duplicate Events Rate)</x:t>
        </x:is>
      </x:c>
      <x:c r="C169" s="6" t="inlineStr">
        <x:is>
          <x:t xml:space="preserve">Implement KPI: Duplicate Events Rate</x:t>
        </x:is>
      </x:c>
      <x:c r="D169" s="6" t="inlineStr">
        <x:is>
          <x:t xml:space="preserve">KPI</x:t>
        </x:is>
      </x:c>
      <x:c r="E169" s="6" t="inlineStr">
        <x:is>
          <x:t xml:space="preserve">KPI-77</x:t>
        </x:is>
      </x:c>
      <x:c r="F169" s="19" t="inlineStr">
        <x:is>
          <x:t xml:space="preserve">W4</x:t>
        </x:is>
      </x:c>
      <x:c r="G169" s="6" t="inlineStr">
        <x:is>
          <x:t xml:space="preserve">S2</x:t>
        </x:is>
      </x:c>
      <x:c r="H169" s="19" t="inlineStr">
        <x:is>
          <x:t xml:space="preserve">Critical</x:t>
        </x:is>
      </x:c>
      <x:c r="I169" s="6" t="inlineStr">
        <x:is>
          <x:t xml:space="preserve">Senior Data Engineer</x:t>
        </x:is>
      </x:c>
      <x:c r="J169" s="19" t="n">
        <x:v>5</x:v>
      </x:c>
      <x:c r="K169" s="19" t="n">
        <x:v>2</x:v>
      </x:c>
      <x:c r="L169" s="18" t="n">
        <x:f>J169*2-K169</x:f>
        <x:v>8</x:v>
      </x:c>
      <x:c r="M169" s="6" t="inlineStr">
        <x:is>
          <x:t xml:space="preserve">TK-089..091</x:t>
        </x:is>
      </x:c>
      <x:c r="N169" s="6" t="inlineStr">
        <x:is>
          <x:t xml:space="preserve">فرمول «((Total Events − Unique TxIDs) / Total Events) × 100» در Semantic Layer + تطبیق با پنل منبع؛ تارگت: Purchase دقیقاً 0.0٪</x:t>
        </x:is>
      </x:c>
      <x:c r="O169" s="19" t="inlineStr">
        <x:is>
          <x:t xml:space="preserve">Proposed</x:t>
        </x:is>
      </x:c>
      <x:c r="P169" s="6" t="inlineStr">
        <x:is>
          <x:t xml:space="preserve">ترکینگ و حاکمیت داده</x:t>
        </x:is>
      </x:c>
      <x:c r="Q169" s="30" t="str">
        <x:v>TK-168</x:v>
      </x:c>
      <x:c r="R169" s="30" t="str"/>
      <x:c r="S169" s="30" t="str">
        <x:v>KPI</x:v>
      </x:c>
      <x:c r="T169" s="30" t="str">
        <x:v>KPI-77</x:v>
      </x:c>
      <x:c r="U169" s="30" t="str">
        <x:v>پیاده‌سازی KPI: Dup-Evt% (Duplicate Events Rate)</x:v>
      </x:c>
      <x:c r="V169" s="30" t="str">
        <x:v>Pending dependency review</x:v>
      </x:c>
      <x:c r="W169" s="30" t="str">
        <x:v>نیازمند تکمیل و تأیید مالک</x:v>
      </x:c>
      <x:c r="X169" s="30" t="str">
        <x:v>نیازمند تکمیل و تأیید مالک</x:v>
      </x:c>
      <x:c r="Y169" s="30" t="str">
        <x:v>Senior Data Engineer</x:v>
      </x:c>
      <x:c r="Z169" s="30" t="n">
        <x:v>7</x:v>
      </x:c>
      <x:c r="AA169" s="30" t="n">
        <x:v>168</x:v>
      </x:c>
      <x:c r="AB169" s="30" t="str">
        <x:v>فرمول «((Total Events − Unique TxIDs) / Total Events) × 100» در Semantic Layer + تطبیق با پنل منبع؛ تارگت: Purchase دقیقاً 0.0٪</x:v>
      </x:c>
      <x:c r="AC169" s="30" t="str">
        <x:v>نیازمند تکمیل و تأیید مالک</x:v>
      </x:c>
      <x:c r="AD169" s="30" t="str">
        <x:v>نیازمند تکمیل و تأیید مالک</x:v>
      </x:c>
      <x:c r="AE169" s="30" t="str">
        <x:v>فرمول «((Total Events − Unique TxIDs) / Total Events) × 100» در Semantic Layer + تطبیق با پنل منبع؛ تارگت: Purchase دقیقاً 0.0٪</x:v>
      </x:c>
      <x:c r="AF169" s="30" t="str"/>
      <x:c r="AG169" s="30" t="str">
        <x:v>KPI-77</x:v>
      </x:c>
      <x:c r="AH169" s="30" t="str"/>
    </x:row>
    <x:row r="170">
      <x:c r="A170" s="17" t="inlineStr">
        <x:is>
          <x:t xml:space="preserve">TK-169</x:t>
        </x:is>
      </x:c>
      <x:c r="B170" s="4" t="inlineStr">
        <x:is>
          <x:t xml:space="preserve">پیاده‌سازی KPI: UTM-Comp% (UTM Completeness Rate)</x:t>
        </x:is>
      </x:c>
      <x:c r="C170" s="4" t="inlineStr">
        <x:is>
          <x:t xml:space="preserve">Implement KPI: UTM Completeness Rate</x:t>
        </x:is>
      </x:c>
      <x:c r="D170" s="4" t="inlineStr">
        <x:is>
          <x:t xml:space="preserve">KPI</x:t>
        </x:is>
      </x:c>
      <x:c r="E170" s="4" t="inlineStr">
        <x:is>
          <x:t xml:space="preserve">KPI-78</x:t>
        </x:is>
      </x:c>
      <x:c r="F170" s="17" t="inlineStr">
        <x:is>
          <x:t xml:space="preserve">W4</x:t>
        </x:is>
      </x:c>
      <x:c r="G170" s="4" t="inlineStr">
        <x:is>
          <x:t xml:space="preserve">S2</x:t>
        </x:is>
      </x:c>
      <x:c r="H170" s="17" t="inlineStr">
        <x:is>
          <x:t xml:space="preserve">Critical</x:t>
        </x:is>
      </x:c>
      <x:c r="I170" s="4" t="inlineStr">
        <x:is>
          <x:t xml:space="preserve">Senior Data Engineer</x:t>
        </x:is>
      </x:c>
      <x:c r="J170" s="17" t="n">
        <x:v>5</x:v>
      </x:c>
      <x:c r="K170" s="17" t="n">
        <x:v>2</x:v>
      </x:c>
      <x:c r="L170" s="18" t="n">
        <x:f>J170*2-K170</x:f>
        <x:v>8</x:v>
      </x:c>
      <x:c r="M170" s="4" t="inlineStr">
        <x:is>
          <x:t xml:space="preserve">TK-089..091</x:t>
        </x:is>
      </x:c>
      <x:c r="N170" s="4" t="inlineStr">
        <x:is>
          <x:t xml:space="preserve">فرمول «(Paid Sessions valid 5-UTM / Total Paid Sessions) × 100» در Semantic Layer + تطبیق با پنل منبع؛ تارگت: &gt; 98٪ کمپین‌های پولی</x:t>
        </x:is>
      </x:c>
      <x:c r="O170" s="17" t="inlineStr">
        <x:is>
          <x:t xml:space="preserve">Proposed</x:t>
        </x:is>
      </x:c>
      <x:c r="P170" s="4" t="inlineStr">
        <x:is>
          <x:t xml:space="preserve">ترکینگ و حاکمیت داده</x:t>
        </x:is>
      </x:c>
      <x:c r="Q170" s="30" t="str">
        <x:v>TK-169</x:v>
      </x:c>
      <x:c r="R170" s="30" t="str"/>
      <x:c r="S170" s="30" t="str">
        <x:v>KPI</x:v>
      </x:c>
      <x:c r="T170" s="30" t="str">
        <x:v>KPI-78</x:v>
      </x:c>
      <x:c r="U170" s="30" t="str">
        <x:v>پیاده‌سازی KPI: UTM-Comp% (UTM Completeness Rate)</x:v>
      </x:c>
      <x:c r="V170" s="30" t="str">
        <x:v>Pending dependency review</x:v>
      </x:c>
      <x:c r="W170" s="30" t="str">
        <x:v>نیازمند تکمیل و تأیید مالک</x:v>
      </x:c>
      <x:c r="X170" s="30" t="str">
        <x:v>نیازمند تکمیل و تأیید مالک</x:v>
      </x:c>
      <x:c r="Y170" s="30" t="str">
        <x:v>Senior Data Engineer</x:v>
      </x:c>
      <x:c r="Z170" s="30" t="n">
        <x:v>7</x:v>
      </x:c>
      <x:c r="AA170" s="30" t="n">
        <x:v>169</x:v>
      </x:c>
      <x:c r="AB170" s="30" t="str">
        <x:v>فرمول «(Paid Sessions valid 5-UTM / Total Paid Sessions) × 100» در Semantic Layer + تطبیق با پنل منبع؛ تارگت: &gt; 98٪ کمپین‌های پولی</x:v>
      </x:c>
      <x:c r="AC170" s="30" t="str">
        <x:v>نیازمند تکمیل و تأیید مالک</x:v>
      </x:c>
      <x:c r="AD170" s="30" t="str">
        <x:v>نیازمند تکمیل و تأیید مالک</x:v>
      </x:c>
      <x:c r="AE170" s="30" t="str">
        <x:v>فرمول «(Paid Sessions valid 5-UTM / Total Paid Sessions) × 100» در Semantic Layer + تطبیق با پنل منبع؛ تارگت: &gt; 98٪ کمپین‌های پولی</x:v>
      </x:c>
      <x:c r="AF170" s="30" t="str"/>
      <x:c r="AG170" s="30" t="str">
        <x:v>KPI-78</x:v>
      </x:c>
      <x:c r="AH170" s="30" t="str"/>
    </x:row>
    <x:row r="171">
      <x:c r="A171" s="19" t="inlineStr">
        <x:is>
          <x:t xml:space="preserve">TK-170</x:t>
        </x:is>
      </x:c>
      <x:c r="B171" s="6" t="inlineStr">
        <x:is>
          <x:t xml:space="preserve">پیاده‌سازی KPI: Data-Lag (Data Freshness Lag)</x:t>
        </x:is>
      </x:c>
      <x:c r="C171" s="6" t="inlineStr">
        <x:is>
          <x:t xml:space="preserve">Implement KPI: Data Freshness Lag</x:t>
        </x:is>
      </x:c>
      <x:c r="D171" s="6" t="inlineStr">
        <x:is>
          <x:t xml:space="preserve">KPI</x:t>
        </x:is>
      </x:c>
      <x:c r="E171" s="6" t="inlineStr">
        <x:is>
          <x:t xml:space="preserve">KPI-79</x:t>
        </x:is>
      </x:c>
      <x:c r="F171" s="19" t="inlineStr">
        <x:is>
          <x:t xml:space="preserve">W4</x:t>
        </x:is>
      </x:c>
      <x:c r="G171" s="6" t="inlineStr">
        <x:is>
          <x:t xml:space="preserve">S2</x:t>
        </x:is>
      </x:c>
      <x:c r="H171" s="19" t="inlineStr">
        <x:is>
          <x:t xml:space="preserve">High</x:t>
        </x:is>
      </x:c>
      <x:c r="I171" s="6" t="inlineStr">
        <x:is>
          <x:t xml:space="preserve">Senior Data Engineer</x:t>
        </x:is>
      </x:c>
      <x:c r="J171" s="19" t="n">
        <x:v>4</x:v>
      </x:c>
      <x:c r="K171" s="19" t="n">
        <x:v>2</x:v>
      </x:c>
      <x:c r="L171" s="18" t="n">
        <x:f>J171*2-K171</x:f>
        <x:v>6</x:v>
      </x:c>
      <x:c r="M171" s="6" t="inlineStr">
        <x:is>
          <x:t xml:space="preserve">TK-089..091</x:t>
        </x:is>
      </x:c>
      <x:c r="N171" s="6" t="inlineStr">
        <x:is>
          <x:t xml:space="preserve">فرمول «Dashboard Ts − Event Ts» در Semantic Layer + تطبیق با پنل منبع؛ تارگت: ترافیک/لید &lt; 30 دقیقه | فروش تا ۹ صبح</x:t>
        </x:is>
      </x:c>
      <x:c r="O171" s="19" t="inlineStr">
        <x:is>
          <x:t xml:space="preserve">Proposed</x:t>
        </x:is>
      </x:c>
      <x:c r="P171" s="6" t="inlineStr">
        <x:is>
          <x:t xml:space="preserve">ترکینگ و حاکمیت داده</x:t>
        </x:is>
      </x:c>
      <x:c r="Q171" s="30" t="str">
        <x:v>TK-170</x:v>
      </x:c>
      <x:c r="R171" s="30" t="str"/>
      <x:c r="S171" s="30" t="str">
        <x:v>KPI</x:v>
      </x:c>
      <x:c r="T171" s="30" t="str">
        <x:v>KPI-79</x:v>
      </x:c>
      <x:c r="U171" s="30" t="str">
        <x:v>پیاده‌سازی KPI: Data-Lag (Data Freshness Lag)</x:v>
      </x:c>
      <x:c r="V171" s="30" t="str">
        <x:v>Pending dependency review</x:v>
      </x:c>
      <x:c r="W171" s="30" t="str">
        <x:v>نیازمند تکمیل و تأیید مالک</x:v>
      </x:c>
      <x:c r="X171" s="30" t="str">
        <x:v>نیازمند تکمیل و تأیید مالک</x:v>
      </x:c>
      <x:c r="Y171" s="30" t="str">
        <x:v>Senior Data Engineer</x:v>
      </x:c>
      <x:c r="Z171" s="30" t="n">
        <x:v>7</x:v>
      </x:c>
      <x:c r="AA171" s="30" t="n">
        <x:v>170</x:v>
      </x:c>
      <x:c r="AB171" s="30" t="str">
        <x:v>فرمول «Dashboard Ts − Event Ts» در Semantic Layer + تطبیق با پنل منبع؛ تارگت: ترافیک/لید &lt; 30 دقیقه | فروش تا ۹ صبح</x:v>
      </x:c>
      <x:c r="AC171" s="30" t="str">
        <x:v>نیازمند تکمیل و تأیید مالک</x:v>
      </x:c>
      <x:c r="AD171" s="30" t="str">
        <x:v>نیازمند تکمیل و تأیید مالک</x:v>
      </x:c>
      <x:c r="AE171" s="30" t="str">
        <x:v>فرمول «Dashboard Ts − Event Ts» در Semantic Layer + تطبیق با پنل منبع؛ تارگت: ترافیک/لید &lt; 30 دقیقه | فروش تا ۹ صبح</x:v>
      </x:c>
      <x:c r="AF171" s="30" t="str"/>
      <x:c r="AG171" s="30" t="str">
        <x:v>KPI-79</x:v>
      </x:c>
      <x:c r="AH171" s="30" t="str"/>
    </x:row>
    <x:row r="172">
      <x:c r="A172" s="17" t="inlineStr">
        <x:is>
          <x:t xml:space="preserve">TK-171</x:t>
        </x:is>
      </x:c>
      <x:c r="B172" s="4" t="inlineStr">
        <x:is>
          <x:t xml:space="preserve">پیاده‌سازی KPI: FTA (First-Touch Attribution)</x:t>
        </x:is>
      </x:c>
      <x:c r="C172" s="4" t="inlineStr">
        <x:is>
          <x:t xml:space="preserve">Implement KPI: First-Touch Attribution</x:t>
        </x:is>
      </x:c>
      <x:c r="D172" s="4" t="inlineStr">
        <x:is>
          <x:t xml:space="preserve">KPI</x:t>
        </x:is>
      </x:c>
      <x:c r="E172" s="4" t="inlineStr">
        <x:is>
          <x:t xml:space="preserve">KPI-80</x:t>
        </x:is>
      </x:c>
      <x:c r="F172" s="17" t="inlineStr">
        <x:is>
          <x:t xml:space="preserve">W4</x:t>
        </x:is>
      </x:c>
      <x:c r="G172" s="4" t="inlineStr">
        <x:is>
          <x:t xml:space="preserve">S2</x:t>
        </x:is>
      </x:c>
      <x:c r="H172" s="17" t="inlineStr">
        <x:is>
          <x:t xml:space="preserve">High</x:t>
        </x:is>
      </x:c>
      <x:c r="I172" s="4" t="inlineStr">
        <x:is>
          <x:t xml:space="preserve">Data Scientist</x:t>
        </x:is>
      </x:c>
      <x:c r="J172" s="17" t="n">
        <x:v>4</x:v>
      </x:c>
      <x:c r="K172" s="17" t="n">
        <x:v>2</x:v>
      </x:c>
      <x:c r="L172" s="18" t="n">
        <x:f>J172*2-K172</x:f>
        <x:v>6</x:v>
      </x:c>
      <x:c r="M172" s="4" t="inlineStr">
        <x:is>
          <x:t xml:space="preserve">TK-089..091</x:t>
        </x:is>
      </x:c>
      <x:c r="N172" s="4" t="inlineStr">
        <x:is>
          <x:t xml:space="preserve">فرمول «SUM(Revenue where Channel = Step 1)» در Semantic Layer + تطبیق با پنل منبع؛ تارگت: همزمان با LTA برای تنوع سبد</x:t>
        </x:is>
      </x:c>
      <x:c r="O172" s="17" t="inlineStr">
        <x:is>
          <x:t xml:space="preserve">Proposed</x:t>
        </x:is>
      </x:c>
      <x:c r="P172" s="4" t="inlineStr">
        <x:is>
          <x:t xml:space="preserve">انتساب (Attribution)</x:t>
        </x:is>
      </x:c>
      <x:c r="Q172" s="30" t="str">
        <x:v>TK-171</x:v>
      </x:c>
      <x:c r="R172" s="30" t="str"/>
      <x:c r="S172" s="30" t="str">
        <x:v>KPI</x:v>
      </x:c>
      <x:c r="T172" s="30" t="str">
        <x:v>KPI-80</x:v>
      </x:c>
      <x:c r="U172" s="30" t="str">
        <x:v>پیاده‌سازی KPI: FTA (First-Touch Attribution)</x:v>
      </x:c>
      <x:c r="V172" s="30" t="str">
        <x:v>Pending dependency review</x:v>
      </x:c>
      <x:c r="W172" s="30" t="str">
        <x:v>نیازمند تکمیل و تأیید مالک</x:v>
      </x:c>
      <x:c r="X172" s="30" t="str">
        <x:v>نیازمند تکمیل و تأیید مالک</x:v>
      </x:c>
      <x:c r="Y172" s="30" t="str">
        <x:v>Data Scientist</x:v>
      </x:c>
      <x:c r="Z172" s="30" t="n">
        <x:v>7</x:v>
      </x:c>
      <x:c r="AA172" s="30" t="n">
        <x:v>171</x:v>
      </x:c>
      <x:c r="AB172" s="30" t="str">
        <x:v>فرمول «SUM(Revenue where Channel = Step 1)» در Semantic Layer + تطبیق با پنل منبع؛ تارگت: همزمان با LTA برای تنوع سبد</x:v>
      </x:c>
      <x:c r="AC172" s="30" t="str">
        <x:v>نیازمند تکمیل و تأیید مالک</x:v>
      </x:c>
      <x:c r="AD172" s="30" t="str">
        <x:v>نیازمند تکمیل و تأیید مالک</x:v>
      </x:c>
      <x:c r="AE172" s="30" t="str">
        <x:v>فرمول «SUM(Revenue where Channel = Step 1)» در Semantic Layer + تطبیق با پنل منبع؛ تارگت: همزمان با LTA برای تنوع سبد</x:v>
      </x:c>
      <x:c r="AF172" s="30" t="str"/>
      <x:c r="AG172" s="30" t="str">
        <x:v>KPI-80</x:v>
      </x:c>
      <x:c r="AH172" s="30" t="str"/>
    </x:row>
    <x:row r="173">
      <x:c r="A173" s="19" t="inlineStr">
        <x:is>
          <x:t xml:space="preserve">TK-172</x:t>
        </x:is>
      </x:c>
      <x:c r="B173" s="6" t="inlineStr">
        <x:is>
          <x:t xml:space="preserve">پیاده‌سازی KPI: LTA (Last-Touch Attribution)</x:t>
        </x:is>
      </x:c>
      <x:c r="C173" s="6" t="inlineStr">
        <x:is>
          <x:t xml:space="preserve">Implement KPI: Last-Touch Attribution</x:t>
        </x:is>
      </x:c>
      <x:c r="D173" s="6" t="inlineStr">
        <x:is>
          <x:t xml:space="preserve">KPI</x:t>
        </x:is>
      </x:c>
      <x:c r="E173" s="6" t="inlineStr">
        <x:is>
          <x:t xml:space="preserve">KPI-81</x:t>
        </x:is>
      </x:c>
      <x:c r="F173" s="19" t="inlineStr">
        <x:is>
          <x:t xml:space="preserve">W4</x:t>
        </x:is>
      </x:c>
      <x:c r="G173" s="6" t="inlineStr">
        <x:is>
          <x:t xml:space="preserve">S2</x:t>
        </x:is>
      </x:c>
      <x:c r="H173" s="19" t="inlineStr">
        <x:is>
          <x:t xml:space="preserve">High</x:t>
        </x:is>
      </x:c>
      <x:c r="I173" s="6" t="inlineStr">
        <x:is>
          <x:t xml:space="preserve">Data Scientist</x:t>
        </x:is>
      </x:c>
      <x:c r="J173" s="19" t="n">
        <x:v>4</x:v>
      </x:c>
      <x:c r="K173" s="19" t="n">
        <x:v>2</x:v>
      </x:c>
      <x:c r="L173" s="18" t="n">
        <x:f>J173*2-K173</x:f>
        <x:v>6</x:v>
      </x:c>
      <x:c r="M173" s="6" t="inlineStr">
        <x:is>
          <x:t xml:space="preserve">TK-089..091</x:t>
        </x:is>
      </x:c>
      <x:c r="N173" s="6" t="inlineStr">
        <x:is>
          <x:t xml:space="preserve">فرمول «SUM(Revenue where Channel = Step N)» در Semantic Layer + تطبیق با پنل منبع؛ تارگت: &lt; 50٪ فروش وابسته به ارگانیک/مستقیم</x:t>
        </x:is>
      </x:c>
      <x:c r="O173" s="19" t="inlineStr">
        <x:is>
          <x:t xml:space="preserve">Proposed</x:t>
        </x:is>
      </x:c>
      <x:c r="P173" s="6" t="inlineStr">
        <x:is>
          <x:t xml:space="preserve">انتساب (Attribution)</x:t>
        </x:is>
      </x:c>
      <x:c r="Q173" s="30" t="str">
        <x:v>TK-172</x:v>
      </x:c>
      <x:c r="R173" s="30" t="str"/>
      <x:c r="S173" s="30" t="str">
        <x:v>KPI</x:v>
      </x:c>
      <x:c r="T173" s="30" t="str">
        <x:v>KPI-81</x:v>
      </x:c>
      <x:c r="U173" s="30" t="str">
        <x:v>پیاده‌سازی KPI: LTA (Last-Touch Attribution)</x:v>
      </x:c>
      <x:c r="V173" s="30" t="str">
        <x:v>Pending dependency review</x:v>
      </x:c>
      <x:c r="W173" s="30" t="str">
        <x:v>نیازمند تکمیل و تأیید مالک</x:v>
      </x:c>
      <x:c r="X173" s="30" t="str">
        <x:v>نیازمند تکمیل و تأیید مالک</x:v>
      </x:c>
      <x:c r="Y173" s="30" t="str">
        <x:v>Data Scientist</x:v>
      </x:c>
      <x:c r="Z173" s="30" t="n">
        <x:v>7</x:v>
      </x:c>
      <x:c r="AA173" s="30" t="n">
        <x:v>172</x:v>
      </x:c>
      <x:c r="AB173" s="30" t="str">
        <x:v>فرمول «SUM(Revenue where Channel = Step N)» در Semantic Layer + تطبیق با پنل منبع؛ تارگت: &lt; 50٪ فروش وابسته به ارگانیک/مستقیم</x:v>
      </x:c>
      <x:c r="AC173" s="30" t="str">
        <x:v>نیازمند تکمیل و تأیید مالک</x:v>
      </x:c>
      <x:c r="AD173" s="30" t="str">
        <x:v>نیازمند تکمیل و تأیید مالک</x:v>
      </x:c>
      <x:c r="AE173" s="30" t="str">
        <x:v>فرمول «SUM(Revenue where Channel = Step N)» در Semantic Layer + تطبیق با پنل منبع؛ تارگت: &lt; 50٪ فروش وابسته به ارگانیک/مستقیم</x:v>
      </x:c>
      <x:c r="AF173" s="30" t="str"/>
      <x:c r="AG173" s="30" t="str">
        <x:v>KPI-81</x:v>
      </x:c>
      <x:c r="AH173" s="30" t="str"/>
    </x:row>
    <x:row r="174">
      <x:c r="A174" s="17" t="inlineStr">
        <x:is>
          <x:t xml:space="preserve">TK-173</x:t>
        </x:is>
      </x:c>
      <x:c r="B174" s="4" t="inlineStr">
        <x:is>
          <x:t xml:space="preserve">پیاده‌سازی KPI: LIN-Attr (Linear Attribution)</x:t>
        </x:is>
      </x:c>
      <x:c r="C174" s="4" t="inlineStr">
        <x:is>
          <x:t xml:space="preserve">Implement KPI: Linear Attribution</x:t>
        </x:is>
      </x:c>
      <x:c r="D174" s="4" t="inlineStr">
        <x:is>
          <x:t xml:space="preserve">KPI</x:t>
        </x:is>
      </x:c>
      <x:c r="E174" s="4" t="inlineStr">
        <x:is>
          <x:t xml:space="preserve">KPI-82</x:t>
        </x:is>
      </x:c>
      <x:c r="F174" s="17" t="inlineStr">
        <x:is>
          <x:t xml:space="preserve">W4</x:t>
        </x:is>
      </x:c>
      <x:c r="G174" s="4" t="inlineStr">
        <x:is>
          <x:t xml:space="preserve">S2</x:t>
        </x:is>
      </x:c>
      <x:c r="H174" s="17" t="inlineStr">
        <x:is>
          <x:t xml:space="preserve">Medium</x:t>
        </x:is>
      </x:c>
      <x:c r="I174" s="4" t="inlineStr">
        <x:is>
          <x:t xml:space="preserve">Data Scientist</x:t>
        </x:is>
      </x:c>
      <x:c r="J174" s="17" t="n">
        <x:v>3</x:v>
      </x:c>
      <x:c r="K174" s="17" t="n">
        <x:v>2</x:v>
      </x:c>
      <x:c r="L174" s="18" t="n">
        <x:f>J174*2-K174</x:f>
        <x:v>4</x:v>
      </x:c>
      <x:c r="M174" s="4" t="inlineStr">
        <x:is>
          <x:t xml:space="preserve">TK-089..091</x:t>
        </x:is>
      </x:c>
      <x:c r="N174" s="4" t="inlineStr">
        <x:is>
          <x:t xml:space="preserve">فرمول «W_i = 1/N» در Semantic Layer + تطبیق با پنل منبع؛ تارگت: سناریوی پایه برای هم‌افزایی</x:t>
        </x:is>
      </x:c>
      <x:c r="O174" s="17" t="inlineStr">
        <x:is>
          <x:t xml:space="preserve">Proposed</x:t>
        </x:is>
      </x:c>
      <x:c r="P174" s="4" t="inlineStr">
        <x:is>
          <x:t xml:space="preserve">انتساب (Attribution)</x:t>
        </x:is>
      </x:c>
      <x:c r="Q174" s="30" t="str">
        <x:v>TK-173</x:v>
      </x:c>
      <x:c r="R174" s="30" t="str"/>
      <x:c r="S174" s="30" t="str">
        <x:v>KPI</x:v>
      </x:c>
      <x:c r="T174" s="30" t="str">
        <x:v>KPI-82</x:v>
      </x:c>
      <x:c r="U174" s="30" t="str">
        <x:v>پیاده‌سازی KPI: LIN-Attr (Linear Attribution)</x:v>
      </x:c>
      <x:c r="V174" s="30" t="str">
        <x:v>Pending dependency review</x:v>
      </x:c>
      <x:c r="W174" s="30" t="str">
        <x:v>نیازمند تکمیل و تأیید مالک</x:v>
      </x:c>
      <x:c r="X174" s="30" t="str">
        <x:v>نیازمند تکمیل و تأیید مالک</x:v>
      </x:c>
      <x:c r="Y174" s="30" t="str">
        <x:v>Data Scientist</x:v>
      </x:c>
      <x:c r="Z174" s="30" t="n">
        <x:v>7</x:v>
      </x:c>
      <x:c r="AA174" s="30" t="n">
        <x:v>173</x:v>
      </x:c>
      <x:c r="AB174" s="30" t="str">
        <x:v>فرمول «W_i = 1/N» در Semantic Layer + تطبیق با پنل منبع؛ تارگت: سناریوی پایه برای هم‌افزایی</x:v>
      </x:c>
      <x:c r="AC174" s="30" t="str">
        <x:v>نیازمند تکمیل و تأیید مالک</x:v>
      </x:c>
      <x:c r="AD174" s="30" t="str">
        <x:v>نیازمند تکمیل و تأیید مالک</x:v>
      </x:c>
      <x:c r="AE174" s="30" t="str">
        <x:v>فرمول «W_i = 1/N» در Semantic Layer + تطبیق با پنل منبع؛ تارگت: سناریوی پایه برای هم‌افزایی</x:v>
      </x:c>
      <x:c r="AF174" s="30" t="str"/>
      <x:c r="AG174" s="30" t="str">
        <x:v>KPI-82</x:v>
      </x:c>
      <x:c r="AH174" s="30" t="str"/>
    </x:row>
    <x:row r="175">
      <x:c r="A175" s="19" t="inlineStr">
        <x:is>
          <x:t xml:space="preserve">TK-174</x:t>
        </x:is>
      </x:c>
      <x:c r="B175" s="6" t="inlineStr">
        <x:is>
          <x:t xml:space="preserve">پیاده‌سازی KPI: TD-Attr (Time-Decay Attribution)</x:t>
        </x:is>
      </x:c>
      <x:c r="C175" s="6" t="inlineStr">
        <x:is>
          <x:t xml:space="preserve">Implement KPI: Time-Decay Attribution</x:t>
        </x:is>
      </x:c>
      <x:c r="D175" s="6" t="inlineStr">
        <x:is>
          <x:t xml:space="preserve">KPI</x:t>
        </x:is>
      </x:c>
      <x:c r="E175" s="6" t="inlineStr">
        <x:is>
          <x:t xml:space="preserve">KPI-83</x:t>
        </x:is>
      </x:c>
      <x:c r="F175" s="19" t="inlineStr">
        <x:is>
          <x:t xml:space="preserve">W4</x:t>
        </x:is>
      </x:c>
      <x:c r="G175" s="6" t="inlineStr">
        <x:is>
          <x:t xml:space="preserve">S2</x:t>
        </x:is>
      </x:c>
      <x:c r="H175" s="19" t="inlineStr">
        <x:is>
          <x:t xml:space="preserve">Medium</x:t>
        </x:is>
      </x:c>
      <x:c r="I175" s="6" t="inlineStr">
        <x:is>
          <x:t xml:space="preserve">Data Scientist</x:t>
        </x:is>
      </x:c>
      <x:c r="J175" s="19" t="n">
        <x:v>3</x:v>
      </x:c>
      <x:c r="K175" s="19" t="n">
        <x:v>2</x:v>
      </x:c>
      <x:c r="L175" s="18" t="n">
        <x:f>J175*2-K175</x:f>
        <x:v>4</x:v>
      </x:c>
      <x:c r="M175" s="6" t="inlineStr">
        <x:is>
          <x:t xml:space="preserve">TK-089..091</x:t>
        </x:is>
      </x:c>
      <x:c r="N175" s="6" t="inlineStr">
        <x:is>
          <x:t xml:space="preserve">فرمول «W(t) = 2^(−Δt/λ), λ=7d» در Semantic Layer + تطبیق با پنل منبع؛ تارگت: λ=7d مواد | 21d تجهیزات</x:t>
        </x:is>
      </x:c>
      <x:c r="O175" s="19" t="inlineStr">
        <x:is>
          <x:t xml:space="preserve">Proposed</x:t>
        </x:is>
      </x:c>
      <x:c r="P175" s="6" t="inlineStr">
        <x:is>
          <x:t xml:space="preserve">انتساب (Attribution)</x:t>
        </x:is>
      </x:c>
      <x:c r="Q175" s="30" t="str">
        <x:v>TK-174</x:v>
      </x:c>
      <x:c r="R175" s="30" t="str"/>
      <x:c r="S175" s="30" t="str">
        <x:v>KPI</x:v>
      </x:c>
      <x:c r="T175" s="30" t="str">
        <x:v>KPI-83</x:v>
      </x:c>
      <x:c r="U175" s="30" t="str">
        <x:v>پیاده‌سازی KPI: TD-Attr (Time-Decay Attribution)</x:v>
      </x:c>
      <x:c r="V175" s="30" t="str">
        <x:v>Pending dependency review</x:v>
      </x:c>
      <x:c r="W175" s="30" t="str">
        <x:v>نیازمند تکمیل و تأیید مالک</x:v>
      </x:c>
      <x:c r="X175" s="30" t="str">
        <x:v>نیازمند تکمیل و تأیید مالک</x:v>
      </x:c>
      <x:c r="Y175" s="30" t="str">
        <x:v>Data Scientist</x:v>
      </x:c>
      <x:c r="Z175" s="30" t="n">
        <x:v>7</x:v>
      </x:c>
      <x:c r="AA175" s="30" t="n">
        <x:v>174</x:v>
      </x:c>
      <x:c r="AB175" s="30" t="str">
        <x:v>فرمول «W(t) = 2^(−Δt/λ), λ=7d» در Semantic Layer + تطبیق با پنل منبع؛ تارگت: λ=7d مواد | 21d تجهیزات</x:v>
      </x:c>
      <x:c r="AC175" s="30" t="str">
        <x:v>نیازمند تکمیل و تأیید مالک</x:v>
      </x:c>
      <x:c r="AD175" s="30" t="str">
        <x:v>نیازمند تکمیل و تأیید مالک</x:v>
      </x:c>
      <x:c r="AE175" s="30" t="str">
        <x:v>فرمول «W(t) = 2^(−Δt/λ), λ=7d» در Semantic Layer + تطبیق با پنل منبع؛ تارگت: λ=7d مواد | 21d تجهیزات</x:v>
      </x:c>
      <x:c r="AF175" s="30" t="str"/>
      <x:c r="AG175" s="30" t="str">
        <x:v>KPI-83</x:v>
      </x:c>
      <x:c r="AH175" s="30" t="str"/>
    </x:row>
    <x:row r="176">
      <x:c r="A176" s="17" t="inlineStr">
        <x:is>
          <x:t xml:space="preserve">TK-175</x:t>
        </x:is>
      </x:c>
      <x:c r="B176" s="4" t="inlineStr">
        <x:is>
          <x:t xml:space="preserve">پیاده‌سازی KPI: Pos-Attr (Position-Based Attribution)</x:t>
        </x:is>
      </x:c>
      <x:c r="C176" s="4" t="inlineStr">
        <x:is>
          <x:t xml:space="preserve">Implement KPI: Position-Based Attribution</x:t>
        </x:is>
      </x:c>
      <x:c r="D176" s="4" t="inlineStr">
        <x:is>
          <x:t xml:space="preserve">KPI</x:t>
        </x:is>
      </x:c>
      <x:c r="E176" s="4" t="inlineStr">
        <x:is>
          <x:t xml:space="preserve">KPI-84</x:t>
        </x:is>
      </x:c>
      <x:c r="F176" s="17" t="inlineStr">
        <x:is>
          <x:t xml:space="preserve">W4</x:t>
        </x:is>
      </x:c>
      <x:c r="G176" s="4" t="inlineStr">
        <x:is>
          <x:t xml:space="preserve">S2</x:t>
        </x:is>
      </x:c>
      <x:c r="H176" s="17" t="inlineStr">
        <x:is>
          <x:t xml:space="preserve">Medium</x:t>
        </x:is>
      </x:c>
      <x:c r="I176" s="4" t="inlineStr">
        <x:is>
          <x:t xml:space="preserve">Data Scientist</x:t>
        </x:is>
      </x:c>
      <x:c r="J176" s="17" t="n">
        <x:v>3</x:v>
      </x:c>
      <x:c r="K176" s="17" t="n">
        <x:v>2</x:v>
      </x:c>
      <x:c r="L176" s="18" t="n">
        <x:f>J176*2-K176</x:f>
        <x:v>4</x:v>
      </x:c>
      <x:c r="M176" s="4" t="inlineStr">
        <x:is>
          <x:t xml:space="preserve">TK-089..091</x:t>
        </x:is>
      </x:c>
      <x:c r="N176" s="4" t="inlineStr">
        <x:is>
          <x:t xml:space="preserve">فرمول «W_First=0.40, W_Last=0.40, W_Middle=0.20/(N−2)» در Semantic Layer + تطبیق با پنل منبع؛ تارگت: همگرایی منطقی با DDA</x:t>
        </x:is>
      </x:c>
      <x:c r="O176" s="17" t="inlineStr">
        <x:is>
          <x:t xml:space="preserve">Proposed</x:t>
        </x:is>
      </x:c>
      <x:c r="P176" s="4" t="inlineStr">
        <x:is>
          <x:t xml:space="preserve">انتساب (Attribution)</x:t>
        </x:is>
      </x:c>
      <x:c r="Q176" s="30" t="str">
        <x:v>TK-175</x:v>
      </x:c>
      <x:c r="R176" s="30" t="str"/>
      <x:c r="S176" s="30" t="str">
        <x:v>KPI</x:v>
      </x:c>
      <x:c r="T176" s="30" t="str">
        <x:v>KPI-84</x:v>
      </x:c>
      <x:c r="U176" s="30" t="str">
        <x:v>پیاده‌سازی KPI: Pos-Attr (Position-Based Attribution)</x:v>
      </x:c>
      <x:c r="V176" s="30" t="str">
        <x:v>Pending dependency review</x:v>
      </x:c>
      <x:c r="W176" s="30" t="str">
        <x:v>نیازمند تکمیل و تأیید مالک</x:v>
      </x:c>
      <x:c r="X176" s="30" t="str">
        <x:v>نیازمند تکمیل و تأیید مالک</x:v>
      </x:c>
      <x:c r="Y176" s="30" t="str">
        <x:v>Data Scientist</x:v>
      </x:c>
      <x:c r="Z176" s="30" t="n">
        <x:v>7</x:v>
      </x:c>
      <x:c r="AA176" s="30" t="n">
        <x:v>175</x:v>
      </x:c>
      <x:c r="AB176" s="30" t="str">
        <x:v>فرمول «W_First=0.40, W_Last=0.40, W_Middle=0.20/(N−2)» در Semantic Layer + تطبیق با پنل منبع؛ تارگت: همگرایی منطقی با DDA</x:v>
      </x:c>
      <x:c r="AC176" s="30" t="str">
        <x:v>نیازمند تکمیل و تأیید مالک</x:v>
      </x:c>
      <x:c r="AD176" s="30" t="str">
        <x:v>نیازمند تکمیل و تأیید مالک</x:v>
      </x:c>
      <x:c r="AE176" s="30" t="str">
        <x:v>فرمول «W_First=0.40, W_Last=0.40, W_Middle=0.20/(N−2)» در Semantic Layer + تطبیق با پنل منبع؛ تارگت: همگرایی منطقی با DDA</x:v>
      </x:c>
      <x:c r="AF176" s="30" t="str"/>
      <x:c r="AG176" s="30" t="str">
        <x:v>KPI-84</x:v>
      </x:c>
      <x:c r="AH176" s="30" t="str"/>
    </x:row>
    <x:row r="177">
      <x:c r="A177" s="19" t="inlineStr">
        <x:is>
          <x:t xml:space="preserve">TK-176</x:t>
        </x:is>
      </x:c>
      <x:c r="B177" s="6" t="inlineStr">
        <x:is>
          <x:t xml:space="preserve">پیاده‌سازی KPI: DDA (Data-Driven Attribution)</x:t>
        </x:is>
      </x:c>
      <x:c r="C177" s="6" t="inlineStr">
        <x:is>
          <x:t xml:space="preserve">Implement KPI: Data-Driven Attribution</x:t>
        </x:is>
      </x:c>
      <x:c r="D177" s="6" t="inlineStr">
        <x:is>
          <x:t xml:space="preserve">KPI</x:t>
        </x:is>
      </x:c>
      <x:c r="E177" s="6" t="inlineStr">
        <x:is>
          <x:t xml:space="preserve">KPI-85</x:t>
        </x:is>
      </x:c>
      <x:c r="F177" s="19" t="inlineStr">
        <x:is>
          <x:t xml:space="preserve">W4</x:t>
        </x:is>
      </x:c>
      <x:c r="G177" s="6" t="inlineStr">
        <x:is>
          <x:t xml:space="preserve">S2</x:t>
        </x:is>
      </x:c>
      <x:c r="H177" s="19" t="inlineStr">
        <x:is>
          <x:t xml:space="preserve">Critical</x:t>
        </x:is>
      </x:c>
      <x:c r="I177" s="6" t="inlineStr">
        <x:is>
          <x:t xml:space="preserve">Data Scientist</x:t>
        </x:is>
      </x:c>
      <x:c r="J177" s="19" t="n">
        <x:v>5</x:v>
      </x:c>
      <x:c r="K177" s="19" t="n">
        <x:v>2</x:v>
      </x:c>
      <x:c r="L177" s="18" t="n">
        <x:f>J177*2-K177</x:f>
        <x:v>8</x:v>
      </x:c>
      <x:c r="M177" s="6" t="inlineStr">
        <x:is>
          <x:t xml:space="preserve">TK-089..091</x:t>
        </x:is>
      </x:c>
      <x:c r="N177" s="6" t="inlineStr">
        <x:is>
          <x:t xml:space="preserve">فرمول «φ_i(v) = Σ S⊆N\{i} [w(S)·(v(S∪i)−v(S))]» در Semantic Layer + تطبیق با پنل منبع؛ تارگت: مدل پیش‌فرض تصمیمات کلان فاز ۳</x:t>
        </x:is>
      </x:c>
      <x:c r="O177" s="19" t="inlineStr">
        <x:is>
          <x:t xml:space="preserve">Proposed</x:t>
        </x:is>
      </x:c>
      <x:c r="P177" s="6" t="inlineStr">
        <x:is>
          <x:t xml:space="preserve">انتساب (Attribution)</x:t>
        </x:is>
      </x:c>
      <x:c r="Q177" s="30" t="str">
        <x:v>TK-176</x:v>
      </x:c>
      <x:c r="R177" s="30" t="str"/>
      <x:c r="S177" s="30" t="str">
        <x:v>KPI</x:v>
      </x:c>
      <x:c r="T177" s="30" t="str">
        <x:v>KPI-85</x:v>
      </x:c>
      <x:c r="U177" s="30" t="str">
        <x:v>پیاده‌سازی KPI: DDA (Data-Driven Attribution)</x:v>
      </x:c>
      <x:c r="V177" s="30" t="str">
        <x:v>Pending dependency review</x:v>
      </x:c>
      <x:c r="W177" s="30" t="str">
        <x:v>نیازمند تکمیل و تأیید مالک</x:v>
      </x:c>
      <x:c r="X177" s="30" t="str">
        <x:v>نیازمند تکمیل و تأیید مالک</x:v>
      </x:c>
      <x:c r="Y177" s="30" t="str">
        <x:v>Data Scientist</x:v>
      </x:c>
      <x:c r="Z177" s="30" t="n">
        <x:v>7</x:v>
      </x:c>
      <x:c r="AA177" s="30" t="n">
        <x:v>176</x:v>
      </x:c>
      <x:c r="AB177" s="30" t="str">
        <x:v>فرمول «φ_i(v) = Σ S⊆N\{i} [w(S)·(v(S∪i)−v(S))]» در Semantic Layer + تطبیق با پنل منبع؛ تارگت: مدل پیش‌فرض تصمیمات کلان فاز ۳</x:v>
      </x:c>
      <x:c r="AC177" s="30" t="str">
        <x:v>نیازمند تکمیل و تأیید مالک</x:v>
      </x:c>
      <x:c r="AD177" s="30" t="str">
        <x:v>نیازمند تکمیل و تأیید مالک</x:v>
      </x:c>
      <x:c r="AE177" s="30" t="str">
        <x:v>فرمول «φ_i(v) = Σ S⊆N\{i} [w(S)·(v(S∪i)−v(S))]» در Semantic Layer + تطبیق با پنل منبع؛ تارگت: مدل پیش‌فرض تصمیمات کلان فاز ۳</x:v>
      </x:c>
      <x:c r="AF177" s="30" t="str"/>
      <x:c r="AG177" s="30" t="str">
        <x:v>KPI-85</x:v>
      </x:c>
      <x:c r="AH177" s="30" t="str"/>
    </x:row>
    <x:row r="178">
      <x:c r="A178" s="17" t="inlineStr">
        <x:is>
          <x:t xml:space="preserve">TK-177</x:t>
        </x:is>
      </x:c>
      <x:c r="B178" s="4" t="inlineStr">
        <x:is>
          <x:t xml:space="preserve">دروازه کیفیت KPI: تطبیق درآمد و EMQ</x:t>
        </x:is>
      </x:c>
      <x:c r="C178" s="4" t="inlineStr">
        <x:is>
          <x:t xml:space="preserve">KPI Quality Gate: Revenue Reconciliation &amp; EMQ</x:t>
        </x:is>
      </x:c>
      <x:c r="D178" s="4" t="inlineStr">
        <x:is>
          <x:t xml:space="preserve">Gate</x:t>
        </x:is>
      </x:c>
      <x:c r="E178" s="4" t="inlineStr">
        <x:is>
          <x:t xml:space="preserve">KPI-65,66</x:t>
        </x:is>
      </x:c>
      <x:c r="F178" s="17" t="inlineStr">
        <x:is>
          <x:t xml:space="preserve">W4</x:t>
        </x:is>
      </x:c>
      <x:c r="G178" s="4" t="inlineStr">
        <x:is>
          <x:t xml:space="preserve">S2</x:t>
        </x:is>
      </x:c>
      <x:c r="H178" s="17" t="inlineStr">
        <x:is>
          <x:t xml:space="preserve">Critical</x:t>
        </x:is>
      </x:c>
      <x:c r="I178" s="4" t="inlineStr">
        <x:is>
          <x:t xml:space="preserve">Senior Data Engineer</x:t>
        </x:is>
      </x:c>
      <x:c r="J178" s="17" t="n">
        <x:v>5</x:v>
      </x:c>
      <x:c r="K178" s="17" t="n">
        <x:v>2</x:v>
      </x:c>
      <x:c r="L178" s="18" t="n">
        <x:f>J178*2-K178</x:f>
        <x:v>8</x:v>
      </x:c>
      <x:c r="M178" s="4" t="inlineStr">
        <x:is>
          <x:t xml:space="preserve">TK-092..176</x:t>
        </x:is>
      </x:c>
      <x:c r="N178" s="4" t="inlineStr">
        <x:is>
          <x:t xml:space="preserve">مغایرت درآمد صفر ریالی (TST-07) + EMQ≥8 + Dedup=0؛ بدون عبور دروازه، گزارش‌های W5 باز نمی‌شوند</x:t>
        </x:is>
      </x:c>
      <x:c r="O178" s="17" t="inlineStr">
        <x:is>
          <x:t xml:space="preserve">Proposed</x:t>
        </x:is>
      </x:c>
      <x:c r="P178" s="4" t="inlineStr">
        <x:is>
          <x:t xml:space="preserve">Milestone C-suite</x:t>
        </x:is>
      </x:c>
      <x:c r="Q178" s="30" t="str">
        <x:v>TK-177</x:v>
      </x:c>
      <x:c r="R178" s="30" t="str"/>
      <x:c r="S178" s="30" t="str">
        <x:v>Gate</x:v>
      </x:c>
      <x:c r="T178" s="30" t="str">
        <x:v>KPI-65,66</x:v>
      </x:c>
      <x:c r="U178" s="30" t="str">
        <x:v>دروازه کیفیت KPI: تطبیق درآمد و EMQ</x:v>
      </x:c>
      <x:c r="V178" s="30" t="str">
        <x:v>Pending dependency review</x:v>
      </x:c>
      <x:c r="W178" s="30" t="str">
        <x:v>نیازمند تکمیل و تأیید مالک</x:v>
      </x:c>
      <x:c r="X178" s="30" t="str">
        <x:v>نیازمند تکمیل و تأیید مالک</x:v>
      </x:c>
      <x:c r="Y178" s="30" t="str">
        <x:v>Senior Data Engineer</x:v>
      </x:c>
      <x:c r="Z178" s="30" t="n">
        <x:v>7</x:v>
      </x:c>
      <x:c r="AA178" s="30" t="n">
        <x:v>177</x:v>
      </x:c>
      <x:c r="AB178" s="30" t="str">
        <x:v>مغایرت درآمد صفر ریالی (TST-07) + EMQ≥8 + Dedup=0؛ بدون عبور دروازه، گزارش‌های W5 باز نمی‌شوند</x:v>
      </x:c>
      <x:c r="AC178" s="30" t="str">
        <x:v>نیازمند تکمیل و تأیید مالک</x:v>
      </x:c>
      <x:c r="AD178" s="30" t="str">
        <x:v>نیازمند تکمیل و تأیید مالک</x:v>
      </x:c>
      <x:c r="AE178" s="30" t="str">
        <x:v>مغایرت درآمد صفر ریالی (TST-07) + EMQ≥8 + Dedup=0؛ بدون عبور دروازه، گزارش‌های W5 باز نمی‌شوند</x:v>
      </x:c>
      <x:c r="AF178" s="30" t="str"/>
      <x:c r="AG178" s="30" t="str">
        <x:v>KPI-65,66</x:v>
      </x:c>
      <x:c r="AH178" s="30" t="str"/>
    </x:row>
    <x:row r="179">
      <x:c r="A179" s="19" t="inlineStr">
        <x:is>
          <x:t xml:space="preserve">TK-178</x:t>
        </x:is>
      </x:c>
      <x:c r="B179" s="6" t="inlineStr">
        <x:is>
          <x:t xml:space="preserve">گزارش دیده‌بانی استراتژیک رشد، درآمد و اقتصاد واحد مدیرعامل</x:t>
        </x:is>
      </x:c>
      <x:c r="C179" s="6" t="inlineStr">
        <x:is>
          <x:t xml:space="preserve">C-Suite Growth &amp; Unit Economics Dashboard</x:t>
        </x:is>
      </x:c>
      <x:c r="D179" s="6" t="inlineStr">
        <x:is>
          <x:t xml:space="preserve">Report</x:t>
        </x:is>
      </x:c>
      <x:c r="E179" s="6" t="inlineStr">
        <x:is>
          <x:t xml:space="preserve">REP-01</x:t>
        </x:is>
      </x:c>
      <x:c r="F179" s="19" t="inlineStr">
        <x:is>
          <x:t xml:space="preserve">W5</x:t>
        </x:is>
      </x:c>
      <x:c r="G179" s="6" t="inlineStr">
        <x:is>
          <x:t xml:space="preserve">S2</x:t>
        </x:is>
      </x:c>
      <x:c r="H179" s="19" t="inlineStr">
        <x:is>
          <x:t xml:space="preserve">Critical</x:t>
        </x:is>
      </x:c>
      <x:c r="I179" s="6" t="inlineStr">
        <x:is>
          <x:t xml:space="preserve">BI Lead</x:t>
        </x:is>
      </x:c>
      <x:c r="J179" s="19" t="n">
        <x:v>5</x:v>
      </x:c>
      <x:c r="K179" s="19" t="n">
        <x:v>2</x:v>
      </x:c>
      <x:c r="L179" s="18" t="n">
        <x:f>J179*2-K179</x:f>
        <x:v>8</x:v>
      </x:c>
      <x:c r="M179" s="6" t="inlineStr">
        <x:is>
          <x:t xml:space="preserve">TK-092..176</x:t>
        </x:is>
      </x:c>
      <x:c r="N179" s="6" t="inlineStr">
        <x:is>
          <x:t xml:space="preserve">گزارش با Scorecard کارتی، نمودار ترند خ، تناوب «روزانه (تلفیق نهایی تا سا»، کاربران: مدیرعامل، هیئت‌مدیره، CMO، CFO</x:t>
        </x:is>
      </x:c>
      <x:c r="O179" s="19" t="inlineStr">
        <x:is>
          <x:t xml:space="preserve">Proposed</x:t>
        </x:is>
      </x:c>
      <x:c r="P179" s="6" t="inlineStr">
        <x:is>
          <x:t xml:space="preserve">Executive Marketing Overview</x:t>
        </x:is>
      </x:c>
      <x:c r="Q179" s="30" t="str">
        <x:v>TK-178</x:v>
      </x:c>
      <x:c r="R179" s="30" t="str"/>
      <x:c r="S179" s="30" t="str">
        <x:v>Report</x:v>
      </x:c>
      <x:c r="T179" s="30" t="str">
        <x:v>REP-01</x:v>
      </x:c>
      <x:c r="U179" s="30" t="str">
        <x:v>گزارش دیده‌بانی استراتژیک رشد، درآمد و اقتصاد واحد مدیرعامل</x:v>
      </x:c>
      <x:c r="V179" s="30" t="str">
        <x:v>Pending dependency review</x:v>
      </x:c>
      <x:c r="W179" s="30" t="str">
        <x:v>نیازمند تکمیل و تأیید مالک</x:v>
      </x:c>
      <x:c r="X179" s="30" t="str">
        <x:v>نیازمند تکمیل و تأیید مالک</x:v>
      </x:c>
      <x:c r="Y179" s="30" t="str">
        <x:v>BI Lead</x:v>
      </x:c>
      <x:c r="Z179" s="30" t="n">
        <x:v>7</x:v>
      </x:c>
      <x:c r="AA179" s="30" t="n">
        <x:v>178</x:v>
      </x:c>
      <x:c r="AB179" s="30" t="str">
        <x:v>گزارش با Scorecard کارتی، نمودار ترند خ، تناوب «روزانه (تلفیق نهایی تا سا»، کاربران: مدیرعامل، هیئت‌مدیره، CMO، CFO</x:v>
      </x:c>
      <x:c r="AC179" s="30" t="str">
        <x:v>نیازمند تکمیل و تأیید مالک</x:v>
      </x:c>
      <x:c r="AD179" s="30" t="str">
        <x:v>نیازمند تکمیل و تأیید مالک</x:v>
      </x:c>
      <x:c r="AE179" s="30" t="str">
        <x:v>گزارش با Scorecard کارتی، نمودار ترند خ، تناوب «روزانه (تلفیق نهایی تا سا»، کاربران: مدیرعامل، هیئت‌مدیره، CMO، CFO</x:v>
      </x:c>
      <x:c r="AF179" s="30" t="str"/>
      <x:c r="AG179" s="30" t="str"/>
      <x:c r="AH179" s="30" t="str">
        <x:v>REP-01</x:v>
      </x:c>
    </x:row>
    <x:row r="180">
      <x:c r="A180" s="17" t="inlineStr">
        <x:is>
          <x:t xml:space="preserve">TK-179</x:t>
        </x:is>
      </x:c>
      <x:c r="B180" s="4" t="inlineStr">
        <x:is>
          <x:t xml:space="preserve">گزارش جامع ترافیک و کانال‌های جذب ورودی</x:t>
        </x:is>
      </x:c>
      <x:c r="C180" s="4" t="inlineStr">
        <x:is>
          <x:t xml:space="preserve">Inbound Traffic &amp; Acquisition Channel Mix Report</x:t>
        </x:is>
      </x:c>
      <x:c r="D180" s="4" t="inlineStr">
        <x:is>
          <x:t xml:space="preserve">Report</x:t>
        </x:is>
      </x:c>
      <x:c r="E180" s="4" t="inlineStr">
        <x:is>
          <x:t xml:space="preserve">REP-02</x:t>
        </x:is>
      </x:c>
      <x:c r="F180" s="17" t="inlineStr">
        <x:is>
          <x:t xml:space="preserve">W5</x:t>
        </x:is>
      </x:c>
      <x:c r="G180" s="4" t="inlineStr">
        <x:is>
          <x:t xml:space="preserve">S2</x:t>
        </x:is>
      </x:c>
      <x:c r="H180" s="17" t="inlineStr">
        <x:is>
          <x:t xml:space="preserve">High</x:t>
        </x:is>
      </x:c>
      <x:c r="I180" s="4" t="inlineStr">
        <x:is>
          <x:t xml:space="preserve">Data Analyst</x:t>
        </x:is>
      </x:c>
      <x:c r="J180" s="17" t="n">
        <x:v>4</x:v>
      </x:c>
      <x:c r="K180" s="17" t="n">
        <x:v>2</x:v>
      </x:c>
      <x:c r="L180" s="18" t="n">
        <x:f>J180*2-K180</x:f>
        <x:v>6</x:v>
      </x:c>
      <x:c r="M180" s="4" t="inlineStr">
        <x:is>
          <x:t xml:space="preserve">TK-092..176</x:t>
        </x:is>
      </x:c>
      <x:c r="N180" s="4" t="inlineStr">
        <x:is>
          <x:t xml:space="preserve">گزارش با Area Chart انباشته سهم کانال‌ه، تناوب «روزانه»، کاربران: CMO، Performance Marketing Lea</x:t>
        </x:is>
      </x:c>
      <x:c r="O180" s="17" t="inlineStr">
        <x:is>
          <x:t xml:space="preserve">Proposed</x:t>
        </x:is>
      </x:c>
      <x:c r="P180" s="4" t="inlineStr">
        <x:is>
          <x:t xml:space="preserve">Acquisition &amp; Traffic</x:t>
        </x:is>
      </x:c>
      <x:c r="Q180" s="30" t="str">
        <x:v>TK-179</x:v>
      </x:c>
      <x:c r="R180" s="30" t="str"/>
      <x:c r="S180" s="30" t="str">
        <x:v>Report</x:v>
      </x:c>
      <x:c r="T180" s="30" t="str">
        <x:v>REP-02</x:v>
      </x:c>
      <x:c r="U180" s="30" t="str">
        <x:v>گزارش جامع ترافیک و کانال‌های جذب ورودی</x:v>
      </x:c>
      <x:c r="V180" s="30" t="str">
        <x:v>Pending dependency review</x:v>
      </x:c>
      <x:c r="W180" s="30" t="str">
        <x:v>نیازمند تکمیل و تأیید مالک</x:v>
      </x:c>
      <x:c r="X180" s="30" t="str">
        <x:v>نیازمند تکمیل و تأیید مالک</x:v>
      </x:c>
      <x:c r="Y180" s="30" t="str">
        <x:v>Data Analyst</x:v>
      </x:c>
      <x:c r="Z180" s="30" t="n">
        <x:v>7</x:v>
      </x:c>
      <x:c r="AA180" s="30" t="n">
        <x:v>179</x:v>
      </x:c>
      <x:c r="AB180" s="30" t="str">
        <x:v>گزارش با Area Chart انباشته سهم کانال‌ه، تناوب «روزانه»، کاربران: CMO، Performance Marketing Lea</x:v>
      </x:c>
      <x:c r="AC180" s="30" t="str">
        <x:v>نیازمند تکمیل و تأیید مالک</x:v>
      </x:c>
      <x:c r="AD180" s="30" t="str">
        <x:v>نیازمند تکمیل و تأیید مالک</x:v>
      </x:c>
      <x:c r="AE180" s="30" t="str">
        <x:v>گزارش با Area Chart انباشته سهم کانال‌ه، تناوب «روزانه»، کاربران: CMO، Performance Marketing Lea</x:v>
      </x:c>
      <x:c r="AF180" s="30" t="str"/>
      <x:c r="AG180" s="30" t="str"/>
      <x:c r="AH180" s="30" t="str">
        <x:v>REP-02</x:v>
      </x:c>
    </x:row>
    <x:row r="181">
      <x:c r="A181" s="19" t="inlineStr">
        <x:is>
          <x:t xml:space="preserve">TK-180</x:t>
        </x:is>
      </x:c>
      <x:c r="B181" s="6" t="inlineStr">
        <x:is>
          <x:t xml:space="preserve">گزارش عملکرد تجمیعی رسانه‌های پولی و تبلیغات کلیکی</x:t>
        </x:is>
      </x:c>
      <x:c r="C181" s="6" t="inlineStr">
        <x:is>
          <x:t xml:space="preserve">Blended Paid Media &amp; Acquisition Efficiency Report</x:t>
        </x:is>
      </x:c>
      <x:c r="D181" s="6" t="inlineStr">
        <x:is>
          <x:t xml:space="preserve">Report</x:t>
        </x:is>
      </x:c>
      <x:c r="E181" s="6" t="inlineStr">
        <x:is>
          <x:t xml:space="preserve">REP-03</x:t>
        </x:is>
      </x:c>
      <x:c r="F181" s="19" t="inlineStr">
        <x:is>
          <x:t xml:space="preserve">W5</x:t>
        </x:is>
      </x:c>
      <x:c r="G181" s="6" t="inlineStr">
        <x:is>
          <x:t xml:space="preserve">S2</x:t>
        </x:is>
      </x:c>
      <x:c r="H181" s="19" t="inlineStr">
        <x:is>
          <x:t xml:space="preserve">Critical</x:t>
        </x:is>
      </x:c>
      <x:c r="I181" s="6" t="inlineStr">
        <x:is>
          <x:t xml:space="preserve">BI Lead</x:t>
        </x:is>
      </x:c>
      <x:c r="J181" s="19" t="n">
        <x:v>5</x:v>
      </x:c>
      <x:c r="K181" s="19" t="n">
        <x:v>2</x:v>
      </x:c>
      <x:c r="L181" s="18" t="n">
        <x:f>J181*2-K181</x:f>
        <x:v>8</x:v>
      </x:c>
      <x:c r="M181" s="6" t="inlineStr">
        <x:is>
          <x:t xml:space="preserve">TK-092..176</x:t>
        </x:is>
      </x:c>
      <x:c r="N181" s="6" t="inlineStr">
        <x:is>
          <x:t xml:space="preserve">گزارش با Combo Chart (هزینه در برابر در، تناوب «روزانه»، کاربران: Performance Marketing Lead، Pa</x:t>
        </x:is>
      </x:c>
      <x:c r="O181" s="19" t="inlineStr">
        <x:is>
          <x:t xml:space="preserve">Proposed</x:t>
        </x:is>
      </x:c>
      <x:c r="P181" s="6" t="inlineStr">
        <x:is>
          <x:t xml:space="preserve">Paid Media</x:t>
        </x:is>
      </x:c>
      <x:c r="Q181" s="30" t="str">
        <x:v>TK-180</x:v>
      </x:c>
      <x:c r="R181" s="30" t="str"/>
      <x:c r="S181" s="30" t="str">
        <x:v>Report</x:v>
      </x:c>
      <x:c r="T181" s="30" t="str">
        <x:v>REP-03</x:v>
      </x:c>
      <x:c r="U181" s="30" t="str">
        <x:v>گزارش عملکرد تجمیعی رسانه‌های پولی و تبلیغات کلیکی</x:v>
      </x:c>
      <x:c r="V181" s="30" t="str">
        <x:v>Pending dependency review</x:v>
      </x:c>
      <x:c r="W181" s="30" t="str">
        <x:v>نیازمند تکمیل و تأیید مالک</x:v>
      </x:c>
      <x:c r="X181" s="30" t="str">
        <x:v>نیازمند تکمیل و تأیید مالک</x:v>
      </x:c>
      <x:c r="Y181" s="30" t="str">
        <x:v>BI Lead</x:v>
      </x:c>
      <x:c r="Z181" s="30" t="n">
        <x:v>7</x:v>
      </x:c>
      <x:c r="AA181" s="30" t="n">
        <x:v>180</x:v>
      </x:c>
      <x:c r="AB181" s="30" t="str">
        <x:v>گزارش با Combo Chart (هزینه در برابر در، تناوب «روزانه»، کاربران: Performance Marketing Lead، Pa</x:v>
      </x:c>
      <x:c r="AC181" s="30" t="str">
        <x:v>نیازمند تکمیل و تأیید مالک</x:v>
      </x:c>
      <x:c r="AD181" s="30" t="str">
        <x:v>نیازمند تکمیل و تأیید مالک</x:v>
      </x:c>
      <x:c r="AE181" s="30" t="str">
        <x:v>گزارش با Combo Chart (هزینه در برابر در، تناوب «روزانه»، کاربران: Performance Marketing Lead، Pa</x:v>
      </x:c>
      <x:c r="AF181" s="30" t="str"/>
      <x:c r="AG181" s="30" t="str"/>
      <x:c r="AH181" s="30" t="str">
        <x:v>REP-03</x:v>
      </x:c>
    </x:row>
    <x:row r="182">
      <x:c r="A182" s="17" t="inlineStr">
        <x:is>
          <x:t xml:space="preserve">TK-181</x:t>
        </x:is>
      </x:c>
      <x:c r="B182" s="4" t="inlineStr">
        <x:is>
          <x:t xml:space="preserve">گزارش تخصصی کمپین‌های جستجو، شاپینگ و کلمات کلیدی گوگل</x:t>
        </x:is>
      </x:c>
      <x:c r="C182" s="4" t="inlineStr">
        <x:is>
          <x:t xml:space="preserve">Google Ads Search, Shopping &amp; Intent Keyword Report</x:t>
        </x:is>
      </x:c>
      <x:c r="D182" s="4" t="inlineStr">
        <x:is>
          <x:t xml:space="preserve">Report</x:t>
        </x:is>
      </x:c>
      <x:c r="E182" s="4" t="inlineStr">
        <x:is>
          <x:t xml:space="preserve">REP-04</x:t>
        </x:is>
      </x:c>
      <x:c r="F182" s="17" t="inlineStr">
        <x:is>
          <x:t xml:space="preserve">W5</x:t>
        </x:is>
      </x:c>
      <x:c r="G182" s="4" t="inlineStr">
        <x:is>
          <x:t xml:space="preserve">S2</x:t>
        </x:is>
      </x:c>
      <x:c r="H182" s="17" t="inlineStr">
        <x:is>
          <x:t xml:space="preserve">Critical</x:t>
        </x:is>
      </x:c>
      <x:c r="I182" s="4" t="inlineStr">
        <x:is>
          <x:t xml:space="preserve">BI Lead</x:t>
        </x:is>
      </x:c>
      <x:c r="J182" s="17" t="n">
        <x:v>5</x:v>
      </x:c>
      <x:c r="K182" s="17" t="n">
        <x:v>2</x:v>
      </x:c>
      <x:c r="L182" s="18" t="n">
        <x:f>J182*2-K182</x:f>
        <x:v>8</x:v>
      </x:c>
      <x:c r="M182" s="4" t="inlineStr">
        <x:is>
          <x:t xml:space="preserve">TK-092..176</x:t>
        </x:is>
      </x:c>
      <x:c r="N182" s="4" t="inlineStr">
        <x:is>
          <x:t xml:space="preserve">گزارش با Table تعاملی فیلتردار، Scatter، تناوب «روزانه»، کاربران: SEM Specialist، Performance Ma</x:t>
        </x:is>
      </x:c>
      <x:c r="O182" s="17" t="inlineStr">
        <x:is>
          <x:t xml:space="preserve">Proposed</x:t>
        </x:is>
      </x:c>
      <x:c r="P182" s="4" t="inlineStr">
        <x:is>
          <x:t xml:space="preserve">Google Ads</x:t>
        </x:is>
      </x:c>
      <x:c r="Q182" s="30" t="str">
        <x:v>TK-181</x:v>
      </x:c>
      <x:c r="R182" s="30" t="str"/>
      <x:c r="S182" s="30" t="str">
        <x:v>Report</x:v>
      </x:c>
      <x:c r="T182" s="30" t="str">
        <x:v>REP-04</x:v>
      </x:c>
      <x:c r="U182" s="30" t="str">
        <x:v>گزارش تخصصی کمپین‌های جستجو، شاپینگ و کلمات کلیدی گوگل</x:v>
      </x:c>
      <x:c r="V182" s="30" t="str">
        <x:v>Pending dependency review</x:v>
      </x:c>
      <x:c r="W182" s="30" t="str">
        <x:v>نیازمند تکمیل و تأیید مالک</x:v>
      </x:c>
      <x:c r="X182" s="30" t="str">
        <x:v>نیازمند تکمیل و تأیید مالک</x:v>
      </x:c>
      <x:c r="Y182" s="30" t="str">
        <x:v>BI Lead</x:v>
      </x:c>
      <x:c r="Z182" s="30" t="n">
        <x:v>7</x:v>
      </x:c>
      <x:c r="AA182" s="30" t="n">
        <x:v>181</x:v>
      </x:c>
      <x:c r="AB182" s="30" t="str">
        <x:v>گزارش با Table تعاملی فیلتردار، Scatter، تناوب «روزانه»، کاربران: SEM Specialist، Performance Ma</x:v>
      </x:c>
      <x:c r="AC182" s="30" t="str">
        <x:v>نیازمند تکمیل و تأیید مالک</x:v>
      </x:c>
      <x:c r="AD182" s="30" t="str">
        <x:v>نیازمند تکمیل و تأیید مالک</x:v>
      </x:c>
      <x:c r="AE182" s="30" t="str">
        <x:v>گزارش با Table تعاملی فیلتردار، Scatter، تناوب «روزانه»، کاربران: SEM Specialist، Performance Ma</x:v>
      </x:c>
      <x:c r="AF182" s="30" t="str"/>
      <x:c r="AG182" s="30" t="str"/>
      <x:c r="AH182" s="30" t="str">
        <x:v>REP-04</x:v>
      </x:c>
    </x:row>
    <x:row r="183">
      <x:c r="A183" s="19" t="inlineStr">
        <x:is>
          <x:t xml:space="preserve">TK-182</x:t>
        </x:is>
      </x:c>
      <x:c r="B183" s="6" t="inlineStr">
        <x:is>
          <x:t xml:space="preserve">گزارش عملکرد بصری و کمپین‌های شبکه‌های اجتماعی متا و اینستاگرام</x:t>
        </x:is>
      </x:c>
      <x:c r="C183" s="6" t="inlineStr">
        <x:is>
          <x:t xml:space="preserve">Meta Ads Creative, Catalog &amp; Social Media Report</x:t>
        </x:is>
      </x:c>
      <x:c r="D183" s="6" t="inlineStr">
        <x:is>
          <x:t xml:space="preserve">Report</x:t>
        </x:is>
      </x:c>
      <x:c r="E183" s="6" t="inlineStr">
        <x:is>
          <x:t xml:space="preserve">REP-05</x:t>
        </x:is>
      </x:c>
      <x:c r="F183" s="19" t="inlineStr">
        <x:is>
          <x:t xml:space="preserve">W5</x:t>
        </x:is>
      </x:c>
      <x:c r="G183" s="6" t="inlineStr">
        <x:is>
          <x:t xml:space="preserve">S2</x:t>
        </x:is>
      </x:c>
      <x:c r="H183" s="19" t="inlineStr">
        <x:is>
          <x:t xml:space="preserve">Critical</x:t>
        </x:is>
      </x:c>
      <x:c r="I183" s="6" t="inlineStr">
        <x:is>
          <x:t xml:space="preserve">BI Lead</x:t>
        </x:is>
      </x:c>
      <x:c r="J183" s="19" t="n">
        <x:v>5</x:v>
      </x:c>
      <x:c r="K183" s="19" t="n">
        <x:v>2</x:v>
      </x:c>
      <x:c r="L183" s="18" t="n">
        <x:f>J183*2-K183</x:f>
        <x:v>8</x:v>
      </x:c>
      <x:c r="M183" s="6" t="inlineStr">
        <x:is>
          <x:t xml:space="preserve">TK-092..176</x:t>
        </x:is>
      </x:c>
      <x:c r="N183" s="6" t="inlineStr">
        <x:is>
          <x:t xml:space="preserve">گزارش با گالری تصویری پیش‌نمایش به همرا، تناوب «روزانه»، کاربران: Paid Social Specialist، Creati</x:t>
        </x:is>
      </x:c>
      <x:c r="O183" s="19" t="inlineStr">
        <x:is>
          <x:t xml:space="preserve">Proposed</x:t>
        </x:is>
      </x:c>
      <x:c r="P183" s="6" t="inlineStr">
        <x:is>
          <x:t xml:space="preserve">Meta Ads &amp; Social Media</x:t>
        </x:is>
      </x:c>
      <x:c r="Q183" s="30" t="str">
        <x:v>TK-182</x:v>
      </x:c>
      <x:c r="R183" s="30" t="str"/>
      <x:c r="S183" s="30" t="str">
        <x:v>Report</x:v>
      </x:c>
      <x:c r="T183" s="30" t="str">
        <x:v>REP-05</x:v>
      </x:c>
      <x:c r="U183" s="30" t="str">
        <x:v>گزارش عملکرد بصری و کمپین‌های شبکه‌های اجتماعی متا و اینستاگرام</x:v>
      </x:c>
      <x:c r="V183" s="30" t="str">
        <x:v>Pending dependency review</x:v>
      </x:c>
      <x:c r="W183" s="30" t="str">
        <x:v>نیازمند تکمیل و تأیید مالک</x:v>
      </x:c>
      <x:c r="X183" s="30" t="str">
        <x:v>نیازمند تکمیل و تأیید مالک</x:v>
      </x:c>
      <x:c r="Y183" s="30" t="str">
        <x:v>BI Lead</x:v>
      </x:c>
      <x:c r="Z183" s="30" t="n">
        <x:v>7</x:v>
      </x:c>
      <x:c r="AA183" s="30" t="n">
        <x:v>182</x:v>
      </x:c>
      <x:c r="AB183" s="30" t="str">
        <x:v>گزارش با گالری تصویری پیش‌نمایش به همرا، تناوب «روزانه»، کاربران: Paid Social Specialist، Creati</x:v>
      </x:c>
      <x:c r="AC183" s="30" t="str">
        <x:v>نیازمند تکمیل و تأیید مالک</x:v>
      </x:c>
      <x:c r="AD183" s="30" t="str">
        <x:v>نیازمند تکمیل و تأیید مالک</x:v>
      </x:c>
      <x:c r="AE183" s="30" t="str">
        <x:v>گزارش با گالری تصویری پیش‌نمایش به همرا، تناوب «روزانه»، کاربران: Paid Social Specialist، Creati</x:v>
      </x:c>
      <x:c r="AF183" s="30" t="str"/>
      <x:c r="AG183" s="30" t="str"/>
      <x:c r="AH183" s="30" t="str">
        <x:v>REP-05</x:v>
      </x:c>
    </x:row>
    <x:row r="184">
      <x:c r="A184" s="17" t="inlineStr">
        <x:is>
          <x:t xml:space="preserve">TK-183</x:t>
        </x:is>
      </x:c>
      <x:c r="B184" s="4" t="inlineStr">
        <x:is>
          <x:t xml:space="preserve">گزارش عمیق عملکرد و بازدهی کمپین‌ها</x:t>
        </x:is>
      </x:c>
      <x:c r="C184" s="4" t="inlineStr">
        <x:is>
          <x:t xml:space="preserve">Deep-Dive Multi-Channel Campaign Performance Report</x:t>
        </x:is>
      </x:c>
      <x:c r="D184" s="4" t="inlineStr">
        <x:is>
          <x:t xml:space="preserve">Report</x:t>
        </x:is>
      </x:c>
      <x:c r="E184" s="4" t="inlineStr">
        <x:is>
          <x:t xml:space="preserve">REP-06</x:t>
        </x:is>
      </x:c>
      <x:c r="F184" s="17" t="inlineStr">
        <x:is>
          <x:t xml:space="preserve">W5</x:t>
        </x:is>
      </x:c>
      <x:c r="G184" s="4" t="inlineStr">
        <x:is>
          <x:t xml:space="preserve">S2</x:t>
        </x:is>
      </x:c>
      <x:c r="H184" s="17" t="inlineStr">
        <x:is>
          <x:t xml:space="preserve">High</x:t>
        </x:is>
      </x:c>
      <x:c r="I184" s="4" t="inlineStr">
        <x:is>
          <x:t xml:space="preserve">Data Analyst</x:t>
        </x:is>
      </x:c>
      <x:c r="J184" s="17" t="n">
        <x:v>4</x:v>
      </x:c>
      <x:c r="K184" s="17" t="n">
        <x:v>2</x:v>
      </x:c>
      <x:c r="L184" s="18" t="n">
        <x:f>J184*2-K184</x:f>
        <x:v>6</x:v>
      </x:c>
      <x:c r="M184" s="4" t="inlineStr">
        <x:is>
          <x:t xml:space="preserve">TK-092..176</x:t>
        </x:is>
      </x:c>
      <x:c r="N184" s="4" t="inlineStr">
        <x:is>
          <x:t xml:space="preserve">گزارش با Pivot Table چندبعدی، Bubble Ch، تناوب «روزانه»، کاربران: Performance Marketer، Campaign</x:t>
        </x:is>
      </x:c>
      <x:c r="O184" s="17" t="inlineStr">
        <x:is>
          <x:t xml:space="preserve">Proposed</x:t>
        </x:is>
      </x:c>
      <x:c r="P184" s="4" t="inlineStr">
        <x:is>
          <x:t xml:space="preserve">Campaign Performance</x:t>
        </x:is>
      </x:c>
      <x:c r="Q184" s="30" t="str">
        <x:v>TK-183</x:v>
      </x:c>
      <x:c r="R184" s="30" t="str"/>
      <x:c r="S184" s="30" t="str">
        <x:v>Report</x:v>
      </x:c>
      <x:c r="T184" s="30" t="str">
        <x:v>REP-06</x:v>
      </x:c>
      <x:c r="U184" s="30" t="str">
        <x:v>گزارش عمیق عملکرد و بازدهی کمپین‌ها</x:v>
      </x:c>
      <x:c r="V184" s="30" t="str">
        <x:v>Pending dependency review</x:v>
      </x:c>
      <x:c r="W184" s="30" t="str">
        <x:v>نیازمند تکمیل و تأیید مالک</x:v>
      </x:c>
      <x:c r="X184" s="30" t="str">
        <x:v>نیازمند تکمیل و تأیید مالک</x:v>
      </x:c>
      <x:c r="Y184" s="30" t="str">
        <x:v>Data Analyst</x:v>
      </x:c>
      <x:c r="Z184" s="30" t="n">
        <x:v>7</x:v>
      </x:c>
      <x:c r="AA184" s="30" t="n">
        <x:v>183</x:v>
      </x:c>
      <x:c r="AB184" s="30" t="str">
        <x:v>گزارش با Pivot Table چندبعدی، Bubble Ch، تناوب «روزانه»، کاربران: Performance Marketer، Campaign</x:v>
      </x:c>
      <x:c r="AC184" s="30" t="str">
        <x:v>نیازمند تکمیل و تأیید مالک</x:v>
      </x:c>
      <x:c r="AD184" s="30" t="str">
        <x:v>نیازمند تکمیل و تأیید مالک</x:v>
      </x:c>
      <x:c r="AE184" s="30" t="str">
        <x:v>گزارش با Pivot Table چندبعدی، Bubble Ch، تناوب «روزانه»، کاربران: Performance Marketer، Campaign</x:v>
      </x:c>
      <x:c r="AF184" s="30" t="str"/>
      <x:c r="AG184" s="30" t="str"/>
      <x:c r="AH184" s="30" t="str">
        <x:v>REP-06</x:v>
      </x:c>
    </x:row>
    <x:row r="185">
      <x:c r="A185" s="19" t="inlineStr">
        <x:is>
          <x:t xml:space="preserve">TK-184</x:t>
        </x:is>
      </x:c>
      <x:c r="B185" s="6" t="inlineStr">
        <x:is>
          <x:t xml:space="preserve">گزارش تحلیل محتواهای خلاقه و دارایی‌های تبلیغاتی</x:t>
        </x:is>
      </x:c>
      <x:c r="C185" s="6" t="inlineStr">
        <x:is>
          <x:t xml:space="preserve">Creative Asset &amp; Ad Copy Performance Report</x:t>
        </x:is>
      </x:c>
      <x:c r="D185" s="6" t="inlineStr">
        <x:is>
          <x:t xml:space="preserve">Report</x:t>
        </x:is>
      </x:c>
      <x:c r="E185" s="6" t="inlineStr">
        <x:is>
          <x:t xml:space="preserve">REP-07</x:t>
        </x:is>
      </x:c>
      <x:c r="F185" s="19" t="inlineStr">
        <x:is>
          <x:t xml:space="preserve">W5</x:t>
        </x:is>
      </x:c>
      <x:c r="G185" s="6" t="inlineStr">
        <x:is>
          <x:t xml:space="preserve">S2</x:t>
        </x:is>
      </x:c>
      <x:c r="H185" s="19" t="inlineStr">
        <x:is>
          <x:t xml:space="preserve">High</x:t>
        </x:is>
      </x:c>
      <x:c r="I185" s="6" t="inlineStr">
        <x:is>
          <x:t xml:space="preserve">Data Analyst</x:t>
        </x:is>
      </x:c>
      <x:c r="J185" s="19" t="n">
        <x:v>4</x:v>
      </x:c>
      <x:c r="K185" s="19" t="n">
        <x:v>2</x:v>
      </x:c>
      <x:c r="L185" s="18" t="n">
        <x:f>J185*2-K185</x:f>
        <x:v>6</x:v>
      </x:c>
      <x:c r="M185" s="6" t="inlineStr">
        <x:is>
          <x:t xml:space="preserve">TK-092..176</x:t>
        </x:is>
      </x:c>
      <x:c r="N185" s="6" t="inlineStr">
        <x:is>
          <x:t xml:space="preserve">گزارش با Creative Leaderboard Table، نم، تناوب «هفتگی»، کاربران: Creative Lead، Copywriter، Per</x:t>
        </x:is>
      </x:c>
      <x:c r="O185" s="19" t="inlineStr">
        <x:is>
          <x:t xml:space="preserve">Proposed</x:t>
        </x:is>
      </x:c>
      <x:c r="P185" s="6" t="inlineStr">
        <x:is>
          <x:t xml:space="preserve">Creative Performance</x:t>
        </x:is>
      </x:c>
      <x:c r="Q185" s="30" t="str">
        <x:v>TK-184</x:v>
      </x:c>
      <x:c r="R185" s="30" t="str"/>
      <x:c r="S185" s="30" t="str">
        <x:v>Report</x:v>
      </x:c>
      <x:c r="T185" s="30" t="str">
        <x:v>REP-07</x:v>
      </x:c>
      <x:c r="U185" s="30" t="str">
        <x:v>گزارش تحلیل محتواهای خلاقه و دارایی‌های تبلیغاتی</x:v>
      </x:c>
      <x:c r="V185" s="30" t="str">
        <x:v>Pending dependency review</x:v>
      </x:c>
      <x:c r="W185" s="30" t="str">
        <x:v>نیازمند تکمیل و تأیید مالک</x:v>
      </x:c>
      <x:c r="X185" s="30" t="str">
        <x:v>نیازمند تکمیل و تأیید مالک</x:v>
      </x:c>
      <x:c r="Y185" s="30" t="str">
        <x:v>Data Analyst</x:v>
      </x:c>
      <x:c r="Z185" s="30" t="n">
        <x:v>7</x:v>
      </x:c>
      <x:c r="AA185" s="30" t="n">
        <x:v>184</x:v>
      </x:c>
      <x:c r="AB185" s="30" t="str">
        <x:v>گزارش با Creative Leaderboard Table، نم، تناوب «هفتگی»، کاربران: Creative Lead، Copywriter، Per</x:v>
      </x:c>
      <x:c r="AC185" s="30" t="str">
        <x:v>نیازمند تکمیل و تأیید مالک</x:v>
      </x:c>
      <x:c r="AD185" s="30" t="str">
        <x:v>نیازمند تکمیل و تأیید مالک</x:v>
      </x:c>
      <x:c r="AE185" s="30" t="str">
        <x:v>گزارش با Creative Leaderboard Table، نم، تناوب «هفتگی»، کاربران: Creative Lead، Copywriter، Per</x:v>
      </x:c>
      <x:c r="AF185" s="30" t="str"/>
      <x:c r="AG185" s="30" t="str"/>
      <x:c r="AH185" s="30" t="str">
        <x:v>REP-07</x:v>
      </x:c>
    </x:row>
    <x:row r="186">
      <x:c r="A186" s="17" t="inlineStr">
        <x:is>
          <x:t xml:space="preserve">TK-185</x:t>
        </x:is>
      </x:c>
      <x:c r="B186" s="4" t="inlineStr">
        <x:is>
          <x:t xml:space="preserve">گزارش فرسایش، خستگی و اشباع خلاقه‌ها</x:t>
        </x:is>
      </x:c>
      <x:c r="C186" s="4" t="inlineStr">
        <x:is>
          <x:t xml:space="preserve">Creative Fatigue, Saturation &amp; Decay Report</x:t>
        </x:is>
      </x:c>
      <x:c r="D186" s="4" t="inlineStr">
        <x:is>
          <x:t xml:space="preserve">Report</x:t>
        </x:is>
      </x:c>
      <x:c r="E186" s="4" t="inlineStr">
        <x:is>
          <x:t xml:space="preserve">REP-08</x:t>
        </x:is>
      </x:c>
      <x:c r="F186" s="17" t="inlineStr">
        <x:is>
          <x:t xml:space="preserve">W5</x:t>
        </x:is>
      </x:c>
      <x:c r="G186" s="4" t="inlineStr">
        <x:is>
          <x:t xml:space="preserve">S2</x:t>
        </x:is>
      </x:c>
      <x:c r="H186" s="17" t="inlineStr">
        <x:is>
          <x:t xml:space="preserve">Critical</x:t>
        </x:is>
      </x:c>
      <x:c r="I186" s="4" t="inlineStr">
        <x:is>
          <x:t xml:space="preserve">BI Lead</x:t>
        </x:is>
      </x:c>
      <x:c r="J186" s="17" t="n">
        <x:v>5</x:v>
      </x:c>
      <x:c r="K186" s="17" t="n">
        <x:v>2</x:v>
      </x:c>
      <x:c r="L186" s="18" t="n">
        <x:f>J186*2-K186</x:f>
        <x:v>8</x:v>
      </x:c>
      <x:c r="M186" s="4" t="inlineStr">
        <x:is>
          <x:t xml:space="preserve">TK-092..176</x:t>
        </x:is>
      </x:c>
      <x:c r="N186" s="4" t="inlineStr">
        <x:is>
          <x:t xml:space="preserve">گزارش با Line Chart روند معکوس CTR و Fr، تناوب «روزانه»، کاربران: Performance Marketer، Creative</x:t>
        </x:is>
      </x:c>
      <x:c r="O186" s="17" t="inlineStr">
        <x:is>
          <x:t xml:space="preserve">Proposed</x:t>
        </x:is>
      </x:c>
      <x:c r="P186" s="4" t="inlineStr">
        <x:is>
          <x:t xml:space="preserve">Creative Saturation</x:t>
        </x:is>
      </x:c>
      <x:c r="Q186" s="30" t="str">
        <x:v>TK-185</x:v>
      </x:c>
      <x:c r="R186" s="30" t="str"/>
      <x:c r="S186" s="30" t="str">
        <x:v>Report</x:v>
      </x:c>
      <x:c r="T186" s="30" t="str">
        <x:v>REP-08</x:v>
      </x:c>
      <x:c r="U186" s="30" t="str">
        <x:v>گزارش فرسایش، خستگی و اشباع خلاقه‌ها</x:v>
      </x:c>
      <x:c r="V186" s="30" t="str">
        <x:v>Pending dependency review</x:v>
      </x:c>
      <x:c r="W186" s="30" t="str">
        <x:v>نیازمند تکمیل و تأیید مالک</x:v>
      </x:c>
      <x:c r="X186" s="30" t="str">
        <x:v>نیازمند تکمیل و تأیید مالک</x:v>
      </x:c>
      <x:c r="Y186" s="30" t="str">
        <x:v>BI Lead</x:v>
      </x:c>
      <x:c r="Z186" s="30" t="n">
        <x:v>7</x:v>
      </x:c>
      <x:c r="AA186" s="30" t="n">
        <x:v>185</x:v>
      </x:c>
      <x:c r="AB186" s="30" t="str">
        <x:v>گزارش با Line Chart روند معکوس CTR و Fr، تناوب «روزانه»، کاربران: Performance Marketer، Creative</x:v>
      </x:c>
      <x:c r="AC186" s="30" t="str">
        <x:v>نیازمند تکمیل و تأیید مالک</x:v>
      </x:c>
      <x:c r="AD186" s="30" t="str">
        <x:v>نیازمند تکمیل و تأیید مالک</x:v>
      </x:c>
      <x:c r="AE186" s="30" t="str">
        <x:v>گزارش با Line Chart روند معکوس CTR و Fr، تناوب «روزانه»، کاربران: Performance Marketer، Creative</x:v>
      </x:c>
      <x:c r="AF186" s="30" t="str"/>
      <x:c r="AG186" s="30" t="str"/>
      <x:c r="AH186" s="30" t="str">
        <x:v>REP-08</x:v>
      </x:c>
    </x:row>
    <x:row r="187">
      <x:c r="A187" s="19" t="inlineStr">
        <x:is>
          <x:t xml:space="preserve">TK-186</x:t>
        </x:is>
      </x:c>
      <x:c r="B187" s="6" t="inlineStr">
        <x:is>
          <x:t xml:space="preserve">گزارش عملکرد مخاطبان و سگمنت‌های هدف‌گیری</x:t>
        </x:is>
      </x:c>
      <x:c r="C187" s="6" t="inlineStr">
        <x:is>
          <x:t xml:space="preserve">Audience Segment &amp; Targeting Efficiency Report</x:t>
        </x:is>
      </x:c>
      <x:c r="D187" s="6" t="inlineStr">
        <x:is>
          <x:t xml:space="preserve">Report</x:t>
        </x:is>
      </x:c>
      <x:c r="E187" s="6" t="inlineStr">
        <x:is>
          <x:t xml:space="preserve">REP-09</x:t>
        </x:is>
      </x:c>
      <x:c r="F187" s="19" t="inlineStr">
        <x:is>
          <x:t xml:space="preserve">W5</x:t>
        </x:is>
      </x:c>
      <x:c r="G187" s="6" t="inlineStr">
        <x:is>
          <x:t xml:space="preserve">S2</x:t>
        </x:is>
      </x:c>
      <x:c r="H187" s="19" t="inlineStr">
        <x:is>
          <x:t xml:space="preserve">High</x:t>
        </x:is>
      </x:c>
      <x:c r="I187" s="6" t="inlineStr">
        <x:is>
          <x:t xml:space="preserve">Data Analyst</x:t>
        </x:is>
      </x:c>
      <x:c r="J187" s="19" t="n">
        <x:v>4</x:v>
      </x:c>
      <x:c r="K187" s="19" t="n">
        <x:v>2</x:v>
      </x:c>
      <x:c r="L187" s="18" t="n">
        <x:f>J187*2-K187</x:f>
        <x:v>6</x:v>
      </x:c>
      <x:c r="M187" s="6" t="inlineStr">
        <x:is>
          <x:t xml:space="preserve">TK-092..176</x:t>
        </x:is>
      </x:c>
      <x:c r="N187" s="6" t="inlineStr">
        <x:is>
          <x:t xml:space="preserve">گزارش با Horizontal Bar Chart مقایسه CA، تناوب «هفتگی»، کاربران: Performance Marketer، CRM Spec</x:t>
        </x:is>
      </x:c>
      <x:c r="O187" s="19" t="inlineStr">
        <x:is>
          <x:t xml:space="preserve">Proposed</x:t>
        </x:is>
      </x:c>
      <x:c r="P187" s="6" t="inlineStr">
        <x:is>
          <x:t xml:space="preserve">Audience Performance</x:t>
        </x:is>
      </x:c>
      <x:c r="Q187" s="30" t="str">
        <x:v>TK-186</x:v>
      </x:c>
      <x:c r="R187" s="30" t="str"/>
      <x:c r="S187" s="30" t="str">
        <x:v>Report</x:v>
      </x:c>
      <x:c r="T187" s="30" t="str">
        <x:v>REP-09</x:v>
      </x:c>
      <x:c r="U187" s="30" t="str">
        <x:v>گزارش عملکرد مخاطبان و سگمنت‌های هدف‌گیری</x:v>
      </x:c>
      <x:c r="V187" s="30" t="str">
        <x:v>Pending dependency review</x:v>
      </x:c>
      <x:c r="W187" s="30" t="str">
        <x:v>نیازمند تکمیل و تأیید مالک</x:v>
      </x:c>
      <x:c r="X187" s="30" t="str">
        <x:v>نیازمند تکمیل و تأیید مالک</x:v>
      </x:c>
      <x:c r="Y187" s="30" t="str">
        <x:v>Data Analyst</x:v>
      </x:c>
      <x:c r="Z187" s="30" t="n">
        <x:v>7</x:v>
      </x:c>
      <x:c r="AA187" s="30" t="n">
        <x:v>186</x:v>
      </x:c>
      <x:c r="AB187" s="30" t="str">
        <x:v>گزارش با Horizontal Bar Chart مقایسه CA، تناوب «هفتگی»، کاربران: Performance Marketer، CRM Spec</x:v>
      </x:c>
      <x:c r="AC187" s="30" t="str">
        <x:v>نیازمند تکمیل و تأیید مالک</x:v>
      </x:c>
      <x:c r="AD187" s="30" t="str">
        <x:v>نیازمند تکمیل و تأیید مالک</x:v>
      </x:c>
      <x:c r="AE187" s="30" t="str">
        <x:v>گزارش با Horizontal Bar Chart مقایسه CA، تناوب «هفتگی»، کاربران: Performance Marketer، CRM Spec</x:v>
      </x:c>
      <x:c r="AF187" s="30" t="str"/>
      <x:c r="AG187" s="30" t="str"/>
      <x:c r="AH187" s="30" t="str">
        <x:v>REP-09</x:v>
      </x:c>
    </x:row>
    <x:row r="188">
      <x:c r="A188" s="17" t="inlineStr">
        <x:is>
          <x:t xml:space="preserve">TK-187</x:t>
        </x:is>
      </x:c>
      <x:c r="B188" s="4" t="inlineStr">
        <x:is>
          <x:t xml:space="preserve">گزارش عملکرد وب‌سایت، صفحات فرود و تجربه کاربری</x:t>
        </x:is>
      </x:c>
      <x:c r="C188" s="4" t="inlineStr">
        <x:is>
          <x:t xml:space="preserve">Landing Page Experience &amp; CRO Diagnostic Report</x:t>
        </x:is>
      </x:c>
      <x:c r="D188" s="4" t="inlineStr">
        <x:is>
          <x:t xml:space="preserve">Report</x:t>
        </x:is>
      </x:c>
      <x:c r="E188" s="4" t="inlineStr">
        <x:is>
          <x:t xml:space="preserve">REP-10</x:t>
        </x:is>
      </x:c>
      <x:c r="F188" s="17" t="inlineStr">
        <x:is>
          <x:t xml:space="preserve">W5</x:t>
        </x:is>
      </x:c>
      <x:c r="G188" s="4" t="inlineStr">
        <x:is>
          <x:t xml:space="preserve">S2</x:t>
        </x:is>
      </x:c>
      <x:c r="H188" s="17" t="inlineStr">
        <x:is>
          <x:t xml:space="preserve">Critical</x:t>
        </x:is>
      </x:c>
      <x:c r="I188" s="4" t="inlineStr">
        <x:is>
          <x:t xml:space="preserve">BI Lead</x:t>
        </x:is>
      </x:c>
      <x:c r="J188" s="17" t="n">
        <x:v>5</x:v>
      </x:c>
      <x:c r="K188" s="17" t="n">
        <x:v>2</x:v>
      </x:c>
      <x:c r="L188" s="18" t="n">
        <x:f>J188*2-K188</x:f>
        <x:v>8</x:v>
      </x:c>
      <x:c r="M188" s="4" t="inlineStr">
        <x:is>
          <x:t xml:space="preserve">TK-092..176</x:t>
        </x:is>
      </x:c>
      <x:c r="N188" s="4" t="inlineStr">
        <x:is>
          <x:t xml:space="preserve">گزارش با Heatmap کلیک و اسکرول، Funnel ، تناوب «هفتگی»، کاربران: CRO Lead، Webmaster، UX Design</x:t>
        </x:is>
      </x:c>
      <x:c r="O188" s="17" t="inlineStr">
        <x:is>
          <x:t xml:space="preserve">Proposed</x:t>
        </x:is>
      </x:c>
      <x:c r="P188" s="4" t="inlineStr">
        <x:is>
          <x:t xml:space="preserve">Website &amp; Landing Page</x:t>
        </x:is>
      </x:c>
      <x:c r="Q188" s="30" t="str">
        <x:v>TK-187</x:v>
      </x:c>
      <x:c r="R188" s="30" t="str"/>
      <x:c r="S188" s="30" t="str">
        <x:v>Report</x:v>
      </x:c>
      <x:c r="T188" s="30" t="str">
        <x:v>REP-10</x:v>
      </x:c>
      <x:c r="U188" s="30" t="str">
        <x:v>گزارش عملکرد وب‌سایت، صفحات فرود و تجربه کاربری</x:v>
      </x:c>
      <x:c r="V188" s="30" t="str">
        <x:v>Pending dependency review</x:v>
      </x:c>
      <x:c r="W188" s="30" t="str">
        <x:v>نیازمند تکمیل و تأیید مالک</x:v>
      </x:c>
      <x:c r="X188" s="30" t="str">
        <x:v>نیازمند تکمیل و تأیید مالک</x:v>
      </x:c>
      <x:c r="Y188" s="30" t="str">
        <x:v>BI Lead</x:v>
      </x:c>
      <x:c r="Z188" s="30" t="n">
        <x:v>7</x:v>
      </x:c>
      <x:c r="AA188" s="30" t="n">
        <x:v>187</x:v>
      </x:c>
      <x:c r="AB188" s="30" t="str">
        <x:v>گزارش با Heatmap کلیک و اسکرول، Funnel ، تناوب «هفتگی»، کاربران: CRO Lead، Webmaster، UX Design</x:v>
      </x:c>
      <x:c r="AC188" s="30" t="str">
        <x:v>نیازمند تکمیل و تأیید مالک</x:v>
      </x:c>
      <x:c r="AD188" s="30" t="str">
        <x:v>نیازمند تکمیل و تأیید مالک</x:v>
      </x:c>
      <x:c r="AE188" s="30" t="str">
        <x:v>گزارش با Heatmap کلیک و اسکرول، Funnel ، تناوب «هفتگی»، کاربران: CRO Lead، Webmaster، UX Design</x:v>
      </x:c>
      <x:c r="AF188" s="30" t="str"/>
      <x:c r="AG188" s="30" t="str"/>
      <x:c r="AH188" s="30" t="str">
        <x:v>REP-10</x:v>
      </x:c>
    </x:row>
    <x:row r="189">
      <x:c r="A189" s="19" t="inlineStr">
        <x:is>
          <x:t xml:space="preserve">TK-188</x:t>
        </x:is>
      </x:c>
      <x:c r="B189" s="6" t="inlineStr">
        <x:is>
          <x:t xml:space="preserve">گزارش قیف ریزش فروشگاه آنلاین و اصطکاک سبد خرید</x:t>
        </x:is>
      </x:c>
      <x:c r="C189" s="6" t="inlineStr">
        <x:is>
          <x:t xml:space="preserve">Full-Funnel E-commerce Drop-off &amp; Checkout Friction Report</x:t>
        </x:is>
      </x:c>
      <x:c r="D189" s="6" t="inlineStr">
        <x:is>
          <x:t xml:space="preserve">Report</x:t>
        </x:is>
      </x:c>
      <x:c r="E189" s="6" t="inlineStr">
        <x:is>
          <x:t xml:space="preserve">REP-11</x:t>
        </x:is>
      </x:c>
      <x:c r="F189" s="19" t="inlineStr">
        <x:is>
          <x:t xml:space="preserve">W5</x:t>
        </x:is>
      </x:c>
      <x:c r="G189" s="6" t="inlineStr">
        <x:is>
          <x:t xml:space="preserve">S2</x:t>
        </x:is>
      </x:c>
      <x:c r="H189" s="19" t="inlineStr">
        <x:is>
          <x:t xml:space="preserve">Critical</x:t>
        </x:is>
      </x:c>
      <x:c r="I189" s="6" t="inlineStr">
        <x:is>
          <x:t xml:space="preserve">BI Lead</x:t>
        </x:is>
      </x:c>
      <x:c r="J189" s="19" t="n">
        <x:v>5</x:v>
      </x:c>
      <x:c r="K189" s="19" t="n">
        <x:v>2</x:v>
      </x:c>
      <x:c r="L189" s="18" t="n">
        <x:f>J189*2-K189</x:f>
        <x:v>8</x:v>
      </x:c>
      <x:c r="M189" s="6" t="inlineStr">
        <x:is>
          <x:t xml:space="preserve">TK-092..176</x:t>
        </x:is>
      </x:c>
      <x:c r="N189" s="6" t="inlineStr">
        <x:is>
          <x:t xml:space="preserve">گزارش با 3D Funnel Chart ریزش، Trendlin، تناوب «روزانه»، کاربران: CRO Specialist، E-commerce Pro</x:t>
        </x:is>
      </x:c>
      <x:c r="O189" s="19" t="inlineStr">
        <x:is>
          <x:t xml:space="preserve">Proposed</x:t>
        </x:is>
      </x:c>
      <x:c r="P189" s="6" t="inlineStr">
        <x:is>
          <x:t xml:space="preserve">Conversion Funnel</x:t>
        </x:is>
      </x:c>
      <x:c r="Q189" s="30" t="str">
        <x:v>TK-188</x:v>
      </x:c>
      <x:c r="R189" s="30" t="str"/>
      <x:c r="S189" s="30" t="str">
        <x:v>Report</x:v>
      </x:c>
      <x:c r="T189" s="30" t="str">
        <x:v>REP-11</x:v>
      </x:c>
      <x:c r="U189" s="30" t="str">
        <x:v>گزارش قیف ریزش فروشگاه آنلاین و اصطکاک سبد خرید</x:v>
      </x:c>
      <x:c r="V189" s="30" t="str">
        <x:v>Pending dependency review</x:v>
      </x:c>
      <x:c r="W189" s="30" t="str">
        <x:v>نیازمند تکمیل و تأیید مالک</x:v>
      </x:c>
      <x:c r="X189" s="30" t="str">
        <x:v>نیازمند تکمیل و تأیید مالک</x:v>
      </x:c>
      <x:c r="Y189" s="30" t="str">
        <x:v>BI Lead</x:v>
      </x:c>
      <x:c r="Z189" s="30" t="n">
        <x:v>7</x:v>
      </x:c>
      <x:c r="AA189" s="30" t="n">
        <x:v>188</x:v>
      </x:c>
      <x:c r="AB189" s="30" t="str">
        <x:v>گزارش با 3D Funnel Chart ریزش، Trendlin، تناوب «روزانه»، کاربران: CRO Specialist، E-commerce Pro</x:v>
      </x:c>
      <x:c r="AC189" s="30" t="str">
        <x:v>نیازمند تکمیل و تأیید مالک</x:v>
      </x:c>
      <x:c r="AD189" s="30" t="str">
        <x:v>نیازمند تکمیل و تأیید مالک</x:v>
      </x:c>
      <x:c r="AE189" s="30" t="str">
        <x:v>گزارش با 3D Funnel Chart ریزش، Trendlin، تناوب «روزانه»، کاربران: CRO Specialist، E-commerce Pro</x:v>
      </x:c>
      <x:c r="AF189" s="30" t="str"/>
      <x:c r="AG189" s="30" t="str"/>
      <x:c r="AH189" s="30" t="str">
        <x:v>REP-11</x:v>
      </x:c>
    </x:row>
    <x:row r="190">
      <x:c r="A190" s="17" t="inlineStr">
        <x:is>
          <x:t xml:space="preserve">TK-189</x:t>
        </x:is>
      </x:c>
      <x:c r="B190" s="4" t="inlineStr">
        <x:is>
          <x:t xml:space="preserve">گزارش عملکرد تجارت الکترونیک، درآمد خالص و سود سفارش‌ها</x:t>
        </x:is>
      </x:c>
      <x:c r="C190" s="4" t="inlineStr">
        <x:is>
          <x:t xml:space="preserve">E-commerce Net Revenue &amp; Order Contribution Margin Report</x:t>
        </x:is>
      </x:c>
      <x:c r="D190" s="4" t="inlineStr">
        <x:is>
          <x:t xml:space="preserve">Report</x:t>
        </x:is>
      </x:c>
      <x:c r="E190" s="4" t="inlineStr">
        <x:is>
          <x:t xml:space="preserve">REP-12</x:t>
        </x:is>
      </x:c>
      <x:c r="F190" s="17" t="inlineStr">
        <x:is>
          <x:t xml:space="preserve">W5</x:t>
        </x:is>
      </x:c>
      <x:c r="G190" s="4" t="inlineStr">
        <x:is>
          <x:t xml:space="preserve">S2</x:t>
        </x:is>
      </x:c>
      <x:c r="H190" s="17" t="inlineStr">
        <x:is>
          <x:t xml:space="preserve">Critical</x:t>
        </x:is>
      </x:c>
      <x:c r="I190" s="4" t="inlineStr">
        <x:is>
          <x:t xml:space="preserve">BI Lead</x:t>
        </x:is>
      </x:c>
      <x:c r="J190" s="17" t="n">
        <x:v>5</x:v>
      </x:c>
      <x:c r="K190" s="17" t="n">
        <x:v>2</x:v>
      </x:c>
      <x:c r="L190" s="18" t="n">
        <x:f>J190*2-K190</x:f>
        <x:v>8</x:v>
      </x:c>
      <x:c r="M190" s="4" t="inlineStr">
        <x:is>
          <x:t xml:space="preserve">TK-092..176</x:t>
        </x:is>
      </x:c>
      <x:c r="N190" s="4" t="inlineStr">
        <x:is>
          <x:t xml:space="preserve">گزارش با Waterfall Chart درآمد به سود خ، تناوب «روزانه»، کاربران: E-commerce Manager، CFO، CMO</x:t>
        </x:is>
      </x:c>
      <x:c r="O190" s="17" t="inlineStr">
        <x:is>
          <x:t xml:space="preserve">Proposed</x:t>
        </x:is>
      </x:c>
      <x:c r="P190" s="4" t="inlineStr">
        <x:is>
          <x:t xml:space="preserve">E-commerce &amp; Revenue</x:t>
        </x:is>
      </x:c>
      <x:c r="Q190" s="30" t="str">
        <x:v>TK-189</x:v>
      </x:c>
      <x:c r="R190" s="30" t="str"/>
      <x:c r="S190" s="30" t="str">
        <x:v>Report</x:v>
      </x:c>
      <x:c r="T190" s="30" t="str">
        <x:v>REP-12</x:v>
      </x:c>
      <x:c r="U190" s="30" t="str">
        <x:v>گزارش عملکرد تجارت الکترونیک، درآمد خالص و سود سفارش‌ها</x:v>
      </x:c>
      <x:c r="V190" s="30" t="str">
        <x:v>Pending dependency review</x:v>
      </x:c>
      <x:c r="W190" s="30" t="str">
        <x:v>نیازمند تکمیل و تأیید مالک</x:v>
      </x:c>
      <x:c r="X190" s="30" t="str">
        <x:v>نیازمند تکمیل و تأیید مالک</x:v>
      </x:c>
      <x:c r="Y190" s="30" t="str">
        <x:v>BI Lead</x:v>
      </x:c>
      <x:c r="Z190" s="30" t="n">
        <x:v>7</x:v>
      </x:c>
      <x:c r="AA190" s="30" t="n">
        <x:v>189</x:v>
      </x:c>
      <x:c r="AB190" s="30" t="str">
        <x:v>گزارش با Waterfall Chart درآمد به سود خ، تناوب «روزانه»، کاربران: E-commerce Manager، CFO، CMO</x:v>
      </x:c>
      <x:c r="AC190" s="30" t="str">
        <x:v>نیازمند تکمیل و تأیید مالک</x:v>
      </x:c>
      <x:c r="AD190" s="30" t="str">
        <x:v>نیازمند تکمیل و تأیید مالک</x:v>
      </x:c>
      <x:c r="AE190" s="30" t="str">
        <x:v>گزارش با Waterfall Chart درآمد به سود خ، تناوب «روزانه»، کاربران: E-commerce Manager، CFO، CMO</x:v>
      </x:c>
      <x:c r="AF190" s="30" t="str"/>
      <x:c r="AG190" s="30" t="str"/>
      <x:c r="AH190" s="30" t="str">
        <x:v>REP-12</x:v>
      </x:c>
    </x:row>
    <x:row r="191">
      <x:c r="A191" s="19" t="inlineStr">
        <x:is>
          <x:t xml:space="preserve">TK-190</x:t>
        </x:is>
      </x:c>
      <x:c r="B191" s="6" t="inlineStr">
        <x:is>
          <x:t xml:space="preserve">گزارش سرعت فروش کالا و سودآوری بر پایه SKU</x:t>
        </x:is>
      </x:c>
      <x:c r="C191" s="6" t="inlineStr">
        <x:is>
          <x:t xml:space="preserve">SKU-Level Sales Velocity &amp; Margin Contribution Report</x:t>
        </x:is>
      </x:c>
      <x:c r="D191" s="6" t="inlineStr">
        <x:is>
          <x:t xml:space="preserve">Report</x:t>
        </x:is>
      </x:c>
      <x:c r="E191" s="6" t="inlineStr">
        <x:is>
          <x:t xml:space="preserve">REP-13</x:t>
        </x:is>
      </x:c>
      <x:c r="F191" s="19" t="inlineStr">
        <x:is>
          <x:t xml:space="preserve">W5</x:t>
        </x:is>
      </x:c>
      <x:c r="G191" s="6" t="inlineStr">
        <x:is>
          <x:t xml:space="preserve">S2</x:t>
        </x:is>
      </x:c>
      <x:c r="H191" s="19" t="inlineStr">
        <x:is>
          <x:t xml:space="preserve">Critical</x:t>
        </x:is>
      </x:c>
      <x:c r="I191" s="6" t="inlineStr">
        <x:is>
          <x:t xml:space="preserve">BI Lead</x:t>
        </x:is>
      </x:c>
      <x:c r="J191" s="19" t="n">
        <x:v>5</x:v>
      </x:c>
      <x:c r="K191" s="19" t="n">
        <x:v>2</x:v>
      </x:c>
      <x:c r="L191" s="18" t="n">
        <x:f>J191*2-K191</x:f>
        <x:v>8</x:v>
      </x:c>
      <x:c r="M191" s="6" t="inlineStr">
        <x:is>
          <x:t xml:space="preserve">TK-092..176</x:t>
        </x:is>
      </x:c>
      <x:c r="N191" s="6" t="inlineStr">
        <x:is>
          <x:t xml:space="preserve">گزارش با Matrix Scatter Plot (حاشیه سود، تناوب «هفتگی»، کاربران: Category Manager، E-commerce L</x:t>
        </x:is>
      </x:c>
      <x:c r="O191" s="19" t="inlineStr">
        <x:is>
          <x:t xml:space="preserve">Proposed</x:t>
        </x:is>
      </x:c>
      <x:c r="P191" s="6" t="inlineStr">
        <x:is>
          <x:t xml:space="preserve">Product Performance</x:t>
        </x:is>
      </x:c>
      <x:c r="Q191" s="30" t="str">
        <x:v>TK-190</x:v>
      </x:c>
      <x:c r="R191" s="30" t="str"/>
      <x:c r="S191" s="30" t="str">
        <x:v>Report</x:v>
      </x:c>
      <x:c r="T191" s="30" t="str">
        <x:v>REP-13</x:v>
      </x:c>
      <x:c r="U191" s="30" t="str">
        <x:v>گزارش سرعت فروش کالا و سودآوری بر پایه SKU</x:v>
      </x:c>
      <x:c r="V191" s="30" t="str">
        <x:v>Pending dependency review</x:v>
      </x:c>
      <x:c r="W191" s="30" t="str">
        <x:v>نیازمند تکمیل و تأیید مالک</x:v>
      </x:c>
      <x:c r="X191" s="30" t="str">
        <x:v>نیازمند تکمیل و تأیید مالک</x:v>
      </x:c>
      <x:c r="Y191" s="30" t="str">
        <x:v>BI Lead</x:v>
      </x:c>
      <x:c r="Z191" s="30" t="n">
        <x:v>7</x:v>
      </x:c>
      <x:c r="AA191" s="30" t="n">
        <x:v>190</x:v>
      </x:c>
      <x:c r="AB191" s="30" t="str">
        <x:v>گزارش با Matrix Scatter Plot (حاشیه سود، تناوب «هفتگی»، کاربران: Category Manager، E-commerce L</x:v>
      </x:c>
      <x:c r="AC191" s="30" t="str">
        <x:v>نیازمند تکمیل و تأیید مالک</x:v>
      </x:c>
      <x:c r="AD191" s="30" t="str">
        <x:v>نیازمند تکمیل و تأیید مالک</x:v>
      </x:c>
      <x:c r="AE191" s="30" t="str">
        <x:v>گزارش با Matrix Scatter Plot (حاشیه سود، تناوب «هفتگی»، کاربران: Category Manager، E-commerce L</x:v>
      </x:c>
      <x:c r="AF191" s="30" t="str"/>
      <x:c r="AG191" s="30" t="str"/>
      <x:c r="AH191" s="30" t="str">
        <x:v>REP-13</x:v>
      </x:c>
    </x:row>
    <x:row r="192">
      <x:c r="A192" s="17" t="inlineStr">
        <x:is>
          <x:t xml:space="preserve">TK-191</x:t>
        </x:is>
      </x:c>
      <x:c r="B192" s="4" t="inlineStr">
        <x:is>
          <x:t xml:space="preserve">گزارش عملکرد برندهای سازنده و دسته‌بندی‌های کالایی</x:t>
        </x:is>
      </x:c>
      <x:c r="C192" s="4" t="inlineStr">
        <x:is>
          <x:t xml:space="preserve">Brand Manufacturer &amp; Category Profitability Report</x:t>
        </x:is>
      </x:c>
      <x:c r="D192" s="4" t="inlineStr">
        <x:is>
          <x:t xml:space="preserve">Report</x:t>
        </x:is>
      </x:c>
      <x:c r="E192" s="4" t="inlineStr">
        <x:is>
          <x:t xml:space="preserve">REP-14</x:t>
        </x:is>
      </x:c>
      <x:c r="F192" s="17" t="inlineStr">
        <x:is>
          <x:t xml:space="preserve">W5</x:t>
        </x:is>
      </x:c>
      <x:c r="G192" s="4" t="inlineStr">
        <x:is>
          <x:t xml:space="preserve">S2</x:t>
        </x:is>
      </x:c>
      <x:c r="H192" s="17" t="inlineStr">
        <x:is>
          <x:t xml:space="preserve">High</x:t>
        </x:is>
      </x:c>
      <x:c r="I192" s="4" t="inlineStr">
        <x:is>
          <x:t xml:space="preserve">Data Analyst</x:t>
        </x:is>
      </x:c>
      <x:c r="J192" s="17" t="n">
        <x:v>4</x:v>
      </x:c>
      <x:c r="K192" s="17" t="n">
        <x:v>2</x:v>
      </x:c>
      <x:c r="L192" s="18" t="n">
        <x:f>J192*2-K192</x:f>
        <x:v>6</x:v>
      </x:c>
      <x:c r="M192" s="4" t="inlineStr">
        <x:is>
          <x:t xml:space="preserve">TK-092..176</x:t>
        </x:is>
      </x:c>
      <x:c r="N192" s="4" t="inlineStr">
        <x:is>
          <x:t xml:space="preserve">گزارش با Treemap سهم فروش دسته‌ها، Bar ، تناوب «ماهانه»، کاربران: Commercial Director، Category </x:t>
        </x:is>
      </x:c>
      <x:c r="O192" s="17" t="inlineStr">
        <x:is>
          <x:t xml:space="preserve">Proposed</x:t>
        </x:is>
      </x:c>
      <x:c r="P192" s="4" t="inlineStr">
        <x:is>
          <x:t xml:space="preserve">Brand &amp; Category</x:t>
        </x:is>
      </x:c>
      <x:c r="Q192" s="30" t="str">
        <x:v>TK-191</x:v>
      </x:c>
      <x:c r="R192" s="30" t="str"/>
      <x:c r="S192" s="30" t="str">
        <x:v>Report</x:v>
      </x:c>
      <x:c r="T192" s="30" t="str">
        <x:v>REP-14</x:v>
      </x:c>
      <x:c r="U192" s="30" t="str">
        <x:v>گزارش عملکرد برندهای سازنده و دسته‌بندی‌های کالایی</x:v>
      </x:c>
      <x:c r="V192" s="30" t="str">
        <x:v>Pending dependency review</x:v>
      </x:c>
      <x:c r="W192" s="30" t="str">
        <x:v>نیازمند تکمیل و تأیید مالک</x:v>
      </x:c>
      <x:c r="X192" s="30" t="str">
        <x:v>نیازمند تکمیل و تأیید مالک</x:v>
      </x:c>
      <x:c r="Y192" s="30" t="str">
        <x:v>Data Analyst</x:v>
      </x:c>
      <x:c r="Z192" s="30" t="n">
        <x:v>7</x:v>
      </x:c>
      <x:c r="AA192" s="30" t="n">
        <x:v>191</x:v>
      </x:c>
      <x:c r="AB192" s="30" t="str">
        <x:v>گزارش با Treemap سهم فروش دسته‌ها، Bar ، تناوب «ماهانه»، کاربران: Commercial Director، Category </x:v>
      </x:c>
      <x:c r="AC192" s="30" t="str">
        <x:v>نیازمند تکمیل و تأیید مالک</x:v>
      </x:c>
      <x:c r="AD192" s="30" t="str">
        <x:v>نیازمند تکمیل و تأیید مالک</x:v>
      </x:c>
      <x:c r="AE192" s="30" t="str">
        <x:v>گزارش با Treemap سهم فروش دسته‌ها، Bar ، تناوب «ماهانه»، کاربران: Commercial Director، Category </x:v>
      </x:c>
      <x:c r="AF192" s="30" t="str"/>
      <x:c r="AG192" s="30" t="str"/>
      <x:c r="AH192" s="30" t="str">
        <x:v>REP-14</x:v>
      </x:c>
    </x:row>
    <x:row r="193">
      <x:c r="A193" s="19" t="inlineStr">
        <x:is>
          <x:t xml:space="preserve">TK-192</x:t>
        </x:is>
      </x:c>
      <x:c r="B193" s="6" t="inlineStr">
        <x:is>
          <x:t xml:space="preserve">گزارش بهره‌وری تیم فروش تلفنی و تبدیل‌های آفلاین</x:t>
        </x:is>
      </x:c>
      <x:c r="C193" s="6" t="inlineStr">
        <x:is>
          <x:t xml:space="preserve">B2B Sales Rep Productivity &amp; Offline Deal Conversion Report</x:t>
        </x:is>
      </x:c>
      <x:c r="D193" s="6" t="inlineStr">
        <x:is>
          <x:t xml:space="preserve">Report</x:t>
        </x:is>
      </x:c>
      <x:c r="E193" s="6" t="inlineStr">
        <x:is>
          <x:t xml:space="preserve">REP-15</x:t>
        </x:is>
      </x:c>
      <x:c r="F193" s="19" t="inlineStr">
        <x:is>
          <x:t xml:space="preserve">W5</x:t>
        </x:is>
      </x:c>
      <x:c r="G193" s="6" t="inlineStr">
        <x:is>
          <x:t xml:space="preserve">S2</x:t>
        </x:is>
      </x:c>
      <x:c r="H193" s="19" t="inlineStr">
        <x:is>
          <x:t xml:space="preserve">Critical</x:t>
        </x:is>
      </x:c>
      <x:c r="I193" s="6" t="inlineStr">
        <x:is>
          <x:t xml:space="preserve">BI Lead</x:t>
        </x:is>
      </x:c>
      <x:c r="J193" s="19" t="n">
        <x:v>5</x:v>
      </x:c>
      <x:c r="K193" s="19" t="n">
        <x:v>2</x:v>
      </x:c>
      <x:c r="L193" s="18" t="n">
        <x:f>J193*2-K193</x:f>
        <x:v>8</x:v>
      </x:c>
      <x:c r="M193" s="6" t="inlineStr">
        <x:is>
          <x:t xml:space="preserve">TK-092..176</x:t>
        </x:is>
      </x:c>
      <x:c r="N193" s="6" t="inlineStr">
        <x:is>
          <x:t xml:space="preserve">گزارش با Sales Pipeline Funnel، نمودار ، تناوب «هفتگی»، کاربران: B2B Sales Director، CRM Manage</x:t>
        </x:is>
      </x:c>
      <x:c r="O193" s="19" t="inlineStr">
        <x:is>
          <x:t xml:space="preserve">Proposed</x:t>
        </x:is>
      </x:c>
      <x:c r="P193" s="6" t="inlineStr">
        <x:is>
          <x:t xml:space="preserve">Sales Team &amp; Offline</x:t>
        </x:is>
      </x:c>
      <x:c r="Q193" s="30" t="str">
        <x:v>TK-192</x:v>
      </x:c>
      <x:c r="R193" s="30" t="str"/>
      <x:c r="S193" s="30" t="str">
        <x:v>Report</x:v>
      </x:c>
      <x:c r="T193" s="30" t="str">
        <x:v>REP-15</x:v>
      </x:c>
      <x:c r="U193" s="30" t="str">
        <x:v>گزارش بهره‌وری تیم فروش تلفنی و تبدیل‌های آفلاین</x:v>
      </x:c>
      <x:c r="V193" s="30" t="str">
        <x:v>Pending dependency review</x:v>
      </x:c>
      <x:c r="W193" s="30" t="str">
        <x:v>نیازمند تکمیل و تأیید مالک</x:v>
      </x:c>
      <x:c r="X193" s="30" t="str">
        <x:v>نیازمند تکمیل و تأیید مالک</x:v>
      </x:c>
      <x:c r="Y193" s="30" t="str">
        <x:v>BI Lead</x:v>
      </x:c>
      <x:c r="Z193" s="30" t="n">
        <x:v>7</x:v>
      </x:c>
      <x:c r="AA193" s="30" t="n">
        <x:v>192</x:v>
      </x:c>
      <x:c r="AB193" s="30" t="str">
        <x:v>گزارش با Sales Pipeline Funnel، نمودار ، تناوب «هفتگی»، کاربران: B2B Sales Director، CRM Manage</x:v>
      </x:c>
      <x:c r="AC193" s="30" t="str">
        <x:v>نیازمند تکمیل و تأیید مالک</x:v>
      </x:c>
      <x:c r="AD193" s="30" t="str">
        <x:v>نیازمند تکمیل و تأیید مالک</x:v>
      </x:c>
      <x:c r="AE193" s="30" t="str">
        <x:v>گزارش با Sales Pipeline Funnel، نمودار ، تناوب «هفتگی»، کاربران: B2B Sales Director، CRM Manage</x:v>
      </x:c>
      <x:c r="AF193" s="30" t="str"/>
      <x:c r="AG193" s="30" t="str"/>
      <x:c r="AH193" s="30" t="str">
        <x:v>REP-15</x:v>
      </x:c>
    </x:row>
    <x:row r="194">
      <x:c r="A194" s="17" t="inlineStr">
        <x:is>
          <x:t xml:space="preserve">TK-193</x:t>
        </x:is>
      </x:c>
      <x:c r="B194" s="4" t="inlineStr">
        <x:is>
          <x:t xml:space="preserve">گزارش تولید لید، کیفیت سرنخ‌ها و توزیع MQL/SQL</x:t>
        </x:is>
      </x:c>
      <x:c r="C194" s="4" t="inlineStr">
        <x:is>
          <x:t xml:space="preserve">Lead Quality Scoring &amp; Pipeline Progression Report</x:t>
        </x:is>
      </x:c>
      <x:c r="D194" s="4" t="inlineStr">
        <x:is>
          <x:t xml:space="preserve">Report</x:t>
        </x:is>
      </x:c>
      <x:c r="E194" s="4" t="inlineStr">
        <x:is>
          <x:t xml:space="preserve">REP-16</x:t>
        </x:is>
      </x:c>
      <x:c r="F194" s="17" t="inlineStr">
        <x:is>
          <x:t xml:space="preserve">W5</x:t>
        </x:is>
      </x:c>
      <x:c r="G194" s="4" t="inlineStr">
        <x:is>
          <x:t xml:space="preserve">S2</x:t>
        </x:is>
      </x:c>
      <x:c r="H194" s="17" t="inlineStr">
        <x:is>
          <x:t xml:space="preserve">Critical</x:t>
        </x:is>
      </x:c>
      <x:c r="I194" s="4" t="inlineStr">
        <x:is>
          <x:t xml:space="preserve">BI Lead</x:t>
        </x:is>
      </x:c>
      <x:c r="J194" s="17" t="n">
        <x:v>5</x:v>
      </x:c>
      <x:c r="K194" s="17" t="n">
        <x:v>2</x:v>
      </x:c>
      <x:c r="L194" s="18" t="n">
        <x:f>J194*2-K194</x:f>
        <x:v>8</x:v>
      </x:c>
      <x:c r="M194" s="4" t="inlineStr">
        <x:is>
          <x:t xml:space="preserve">TK-092..176</x:t>
        </x:is>
      </x:c>
      <x:c r="N194" s="4" t="inlineStr">
        <x:is>
          <x:t xml:space="preserve">گزارش با Funnel تبدیل لید به قرارداد، P، تناوب «روزانه»، کاربران: Performance Marketer، Sales Le</x:t>
        </x:is>
      </x:c>
      <x:c r="O194" s="17" t="inlineStr">
        <x:is>
          <x:t xml:space="preserve">Proposed</x:t>
        </x:is>
      </x:c>
      <x:c r="P194" s="4" t="inlineStr">
        <x:is>
          <x:t xml:space="preserve">Lead Generation</x:t>
        </x:is>
      </x:c>
      <x:c r="Q194" s="30" t="str">
        <x:v>TK-193</x:v>
      </x:c>
      <x:c r="R194" s="30" t="str"/>
      <x:c r="S194" s="30" t="str">
        <x:v>Report</x:v>
      </x:c>
      <x:c r="T194" s="30" t="str">
        <x:v>REP-16</x:v>
      </x:c>
      <x:c r="U194" s="30" t="str">
        <x:v>گزارش تولید لید، کیفیت سرنخ‌ها و توزیع MQL/SQL</x:v>
      </x:c>
      <x:c r="V194" s="30" t="str">
        <x:v>Pending dependency review</x:v>
      </x:c>
      <x:c r="W194" s="30" t="str">
        <x:v>نیازمند تکمیل و تأیید مالک</x:v>
      </x:c>
      <x:c r="X194" s="30" t="str">
        <x:v>نیازمند تکمیل و تأیید مالک</x:v>
      </x:c>
      <x:c r="Y194" s="30" t="str">
        <x:v>BI Lead</x:v>
      </x:c>
      <x:c r="Z194" s="30" t="n">
        <x:v>7</x:v>
      </x:c>
      <x:c r="AA194" s="30" t="n">
        <x:v>193</x:v>
      </x:c>
      <x:c r="AB194" s="30" t="str">
        <x:v>گزارش با Funnel تبدیل لید به قرارداد، P، تناوب «روزانه»، کاربران: Performance Marketer، Sales Le</x:v>
      </x:c>
      <x:c r="AC194" s="30" t="str">
        <x:v>نیازمند تکمیل و تأیید مالک</x:v>
      </x:c>
      <x:c r="AD194" s="30" t="str">
        <x:v>نیازمند تکمیل و تأیید مالک</x:v>
      </x:c>
      <x:c r="AE194" s="30" t="str">
        <x:v>گزارش با Funnel تبدیل لید به قرارداد، P، تناوب «روزانه»، کاربران: Performance Marketer، Sales Le</x:v>
      </x:c>
      <x:c r="AF194" s="30" t="str"/>
      <x:c r="AG194" s="30" t="str"/>
      <x:c r="AH194" s="30" t="str">
        <x:v>REP-16</x:v>
      </x:c>
    </x:row>
    <x:row r="195">
      <x:c r="A195" s="19" t="inlineStr">
        <x:is>
          <x:t xml:space="preserve">TK-194</x:t>
        </x:is>
      </x:c>
      <x:c r="B195" s="6" t="inlineStr">
        <x:is>
          <x:t xml:space="preserve">گزارش تعاملات CRM و پرونده‌های فعال مشتریان</x:t>
        </x:is>
      </x:c>
      <x:c r="C195" s="6" t="inlineStr">
        <x:is>
          <x:t xml:space="preserve">CRM Lifecycle &amp; Clinic Account Engagement Report</x:t>
        </x:is>
      </x:c>
      <x:c r="D195" s="6" t="inlineStr">
        <x:is>
          <x:t xml:space="preserve">Report</x:t>
        </x:is>
      </x:c>
      <x:c r="E195" s="6" t="inlineStr">
        <x:is>
          <x:t xml:space="preserve">REP-17</x:t>
        </x:is>
      </x:c>
      <x:c r="F195" s="19" t="inlineStr">
        <x:is>
          <x:t xml:space="preserve">W5</x:t>
        </x:is>
      </x:c>
      <x:c r="G195" s="6" t="inlineStr">
        <x:is>
          <x:t xml:space="preserve">S2</x:t>
        </x:is>
      </x:c>
      <x:c r="H195" s="19" t="inlineStr">
        <x:is>
          <x:t xml:space="preserve">High</x:t>
        </x:is>
      </x:c>
      <x:c r="I195" s="6" t="inlineStr">
        <x:is>
          <x:t xml:space="preserve">Data Analyst</x:t>
        </x:is>
      </x:c>
      <x:c r="J195" s="19" t="n">
        <x:v>4</x:v>
      </x:c>
      <x:c r="K195" s="19" t="n">
        <x:v>2</x:v>
      </x:c>
      <x:c r="L195" s="18" t="n">
        <x:f>J195*2-K195</x:f>
        <x:v>6</x:v>
      </x:c>
      <x:c r="M195" s="6" t="inlineStr">
        <x:is>
          <x:t xml:space="preserve">TK-092..176</x:t>
        </x:is>
      </x:c>
      <x:c r="N195" s="6" t="inlineStr">
        <x:is>
          <x:t xml:space="preserve">گزارش با Sankey Diagram جابجایی مراحل م، تناوب «ماهانه»، کاربران: CRM Lead، Customer Success Man</x:t>
        </x:is>
      </x:c>
      <x:c r="O195" s="19" t="inlineStr">
        <x:is>
          <x:t xml:space="preserve">Proposed</x:t>
        </x:is>
      </x:c>
      <x:c r="P195" s="6" t="inlineStr">
        <x:is>
          <x:t xml:space="preserve">CRM &amp; Customer Analytics</x:t>
        </x:is>
      </x:c>
      <x:c r="Q195" s="30" t="str">
        <x:v>TK-194</x:v>
      </x:c>
      <x:c r="R195" s="30" t="str"/>
      <x:c r="S195" s="30" t="str">
        <x:v>Report</x:v>
      </x:c>
      <x:c r="T195" s="30" t="str">
        <x:v>REP-17</x:v>
      </x:c>
      <x:c r="U195" s="30" t="str">
        <x:v>گزارش تعاملات CRM و پرونده‌های فعال مشتریان</x:v>
      </x:c>
      <x:c r="V195" s="30" t="str">
        <x:v>Pending dependency review</x:v>
      </x:c>
      <x:c r="W195" s="30" t="str">
        <x:v>نیازمند تکمیل و تأیید مالک</x:v>
      </x:c>
      <x:c r="X195" s="30" t="str">
        <x:v>نیازمند تکمیل و تأیید مالک</x:v>
      </x:c>
      <x:c r="Y195" s="30" t="str">
        <x:v>Data Analyst</x:v>
      </x:c>
      <x:c r="Z195" s="30" t="n">
        <x:v>7</x:v>
      </x:c>
      <x:c r="AA195" s="30" t="n">
        <x:v>194</x:v>
      </x:c>
      <x:c r="AB195" s="30" t="str">
        <x:v>گزارش با Sankey Diagram جابجایی مراحل م، تناوب «ماهانه»، کاربران: CRM Lead، Customer Success Man</x:v>
      </x:c>
      <x:c r="AC195" s="30" t="str">
        <x:v>نیازمند تکمیل و تأیید مالک</x:v>
      </x:c>
      <x:c r="AD195" s="30" t="str">
        <x:v>نیازمند تکمیل و تأیید مالک</x:v>
      </x:c>
      <x:c r="AE195" s="30" t="str">
        <x:v>گزارش با Sankey Diagram جابجایی مراحل م، تناوب «ماهانه»، کاربران: CRM Lead، Customer Success Man</x:v>
      </x:c>
      <x:c r="AF195" s="30" t="str"/>
      <x:c r="AG195" s="30" t="str"/>
      <x:c r="AH195" s="30" t="str">
        <x:v>REP-17</x:v>
      </x:c>
    </x:row>
    <x:row r="196">
      <x:c r="A196" s="17" t="inlineStr">
        <x:is>
          <x:t xml:space="preserve">TK-195</x:t>
        </x:is>
      </x:c>
      <x:c r="B196" s="4" t="inlineStr">
        <x:is>
          <x:t xml:space="preserve">گزارش بخش‌بندی چندبعدی دندان‌پزشکان و کلینیک‌ها</x:t>
        </x:is>
      </x:c>
      <x:c r="C196" s="4" t="inlineStr">
        <x:is>
          <x:t xml:space="preserve">Multi-Dimensional Dental Customer Segmentation Report</x:t>
        </x:is>
      </x:c>
      <x:c r="D196" s="4" t="inlineStr">
        <x:is>
          <x:t xml:space="preserve">Report</x:t>
        </x:is>
      </x:c>
      <x:c r="E196" s="4" t="inlineStr">
        <x:is>
          <x:t xml:space="preserve">REP-18</x:t>
        </x:is>
      </x:c>
      <x:c r="F196" s="17" t="inlineStr">
        <x:is>
          <x:t xml:space="preserve">W5</x:t>
        </x:is>
      </x:c>
      <x:c r="G196" s="4" t="inlineStr">
        <x:is>
          <x:t xml:space="preserve">S2</x:t>
        </x:is>
      </x:c>
      <x:c r="H196" s="17" t="inlineStr">
        <x:is>
          <x:t xml:space="preserve">High</x:t>
        </x:is>
      </x:c>
      <x:c r="I196" s="4" t="inlineStr">
        <x:is>
          <x:t xml:space="preserve">Data Analyst</x:t>
        </x:is>
      </x:c>
      <x:c r="J196" s="17" t="n">
        <x:v>4</x:v>
      </x:c>
      <x:c r="K196" s="17" t="n">
        <x:v>2</x:v>
      </x:c>
      <x:c r="L196" s="18" t="n">
        <x:f>J196*2-K196</x:f>
        <x:v>6</x:v>
      </x:c>
      <x:c r="M196" s="4" t="inlineStr">
        <x:is>
          <x:t xml:space="preserve">TK-092..176</x:t>
        </x:is>
      </x:c>
      <x:c r="N196" s="4" t="inlineStr">
        <x:is>
          <x:t xml:space="preserve">گزارش با Cluster Scatter Plot، جدول مات، تناوب «فصلی»، کاربران: CMO، CRM Lead، Data Analyst</x:t>
        </x:is>
      </x:c>
      <x:c r="O196" s="17" t="inlineStr">
        <x:is>
          <x:t xml:space="preserve">Proposed</x:t>
        </x:is>
      </x:c>
      <x:c r="P196" s="4" t="inlineStr">
        <x:is>
          <x:t xml:space="preserve">Customer Segmentation</x:t>
        </x:is>
      </x:c>
      <x:c r="Q196" s="30" t="str">
        <x:v>TK-195</x:v>
      </x:c>
      <x:c r="R196" s="30" t="str"/>
      <x:c r="S196" s="30" t="str">
        <x:v>Report</x:v>
      </x:c>
      <x:c r="T196" s="30" t="str">
        <x:v>REP-18</x:v>
      </x:c>
      <x:c r="U196" s="30" t="str">
        <x:v>گزارش بخش‌بندی چندبعدی دندان‌پزشکان و کلینیک‌ها</x:v>
      </x:c>
      <x:c r="V196" s="30" t="str">
        <x:v>Pending dependency review</x:v>
      </x:c>
      <x:c r="W196" s="30" t="str">
        <x:v>نیازمند تکمیل و تأیید مالک</x:v>
      </x:c>
      <x:c r="X196" s="30" t="str">
        <x:v>نیازمند تکمیل و تأیید مالک</x:v>
      </x:c>
      <x:c r="Y196" s="30" t="str">
        <x:v>Data Analyst</x:v>
      </x:c>
      <x:c r="Z196" s="30" t="n">
        <x:v>7</x:v>
      </x:c>
      <x:c r="AA196" s="30" t="n">
        <x:v>195</x:v>
      </x:c>
      <x:c r="AB196" s="30" t="str">
        <x:v>گزارش با Cluster Scatter Plot، جدول مات، تناوب «فصلی»، کاربران: CMO، CRM Lead، Data Analyst</x:v>
      </x:c>
      <x:c r="AC196" s="30" t="str">
        <x:v>نیازمند تکمیل و تأیید مالک</x:v>
      </x:c>
      <x:c r="AD196" s="30" t="str">
        <x:v>نیازمند تکمیل و تأیید مالک</x:v>
      </x:c>
      <x:c r="AE196" s="30" t="str">
        <x:v>گزارش با Cluster Scatter Plot، جدول مات، تناوب «فصلی»، کاربران: CMO، CRM Lead، Data Analyst</x:v>
      </x:c>
      <x:c r="AF196" s="30" t="str"/>
      <x:c r="AG196" s="30" t="str"/>
      <x:c r="AH196" s="30" t="str">
        <x:v>REP-18</x:v>
      </x:c>
    </x:row>
    <x:row r="197">
      <x:c r="A197" s="19" t="inlineStr">
        <x:is>
          <x:t xml:space="preserve">TK-196</x:t>
        </x:is>
      </x:c>
      <x:c r="B197" s="6" t="inlineStr">
        <x:is>
          <x:t xml:space="preserve">گزارش بخش‌بندی و ماتریس RFM مشتریان</x:t>
        </x:is>
      </x:c>
      <x:c r="C197" s="6" t="inlineStr">
        <x:is>
          <x:t xml:space="preserve">Dental RFM Matrix &amp; Customer Value Migration Report</x:t>
        </x:is>
      </x:c>
      <x:c r="D197" s="6" t="inlineStr">
        <x:is>
          <x:t xml:space="preserve">Report</x:t>
        </x:is>
      </x:c>
      <x:c r="E197" s="6" t="inlineStr">
        <x:is>
          <x:t xml:space="preserve">REP-19</x:t>
        </x:is>
      </x:c>
      <x:c r="F197" s="19" t="inlineStr">
        <x:is>
          <x:t xml:space="preserve">W5</x:t>
        </x:is>
      </x:c>
      <x:c r="G197" s="6" t="inlineStr">
        <x:is>
          <x:t xml:space="preserve">S2</x:t>
        </x:is>
      </x:c>
      <x:c r="H197" s="19" t="inlineStr">
        <x:is>
          <x:t xml:space="preserve">Critical</x:t>
        </x:is>
      </x:c>
      <x:c r="I197" s="6" t="inlineStr">
        <x:is>
          <x:t xml:space="preserve">BI Lead</x:t>
        </x:is>
      </x:c>
      <x:c r="J197" s="19" t="n">
        <x:v>5</x:v>
      </x:c>
      <x:c r="K197" s="19" t="n">
        <x:v>2</x:v>
      </x:c>
      <x:c r="L197" s="18" t="n">
        <x:f>J197*2-K197</x:f>
        <x:v>8</x:v>
      </x:c>
      <x:c r="M197" s="6" t="inlineStr">
        <x:is>
          <x:t xml:space="preserve">TK-092..176</x:t>
        </x:is>
      </x:c>
      <x:c r="N197" s="6" t="inlineStr">
        <x:is>
          <x:t xml:space="preserve">گزارش با RFM 2D Grid Heatmap، Bubble Ch، تناوب «هفتگی»، کاربران: CRM Specialist، Performance Ma</x:t>
        </x:is>
      </x:c>
      <x:c r="O197" s="19" t="inlineStr">
        <x:is>
          <x:t xml:space="preserve">Proposed</x:t>
        </x:is>
      </x:c>
      <x:c r="P197" s="6" t="inlineStr">
        <x:is>
          <x:t xml:space="preserve">RFM Analysis</x:t>
        </x:is>
      </x:c>
      <x:c r="Q197" s="30" t="str">
        <x:v>TK-196</x:v>
      </x:c>
      <x:c r="R197" s="30" t="str"/>
      <x:c r="S197" s="30" t="str">
        <x:v>Report</x:v>
      </x:c>
      <x:c r="T197" s="30" t="str">
        <x:v>REP-19</x:v>
      </x:c>
      <x:c r="U197" s="30" t="str">
        <x:v>گزارش بخش‌بندی و ماتریس RFM مشتریان</x:v>
      </x:c>
      <x:c r="V197" s="30" t="str">
        <x:v>Pending dependency review</x:v>
      </x:c>
      <x:c r="W197" s="30" t="str">
        <x:v>نیازمند تکمیل و تأیید مالک</x:v>
      </x:c>
      <x:c r="X197" s="30" t="str">
        <x:v>نیازمند تکمیل و تأیید مالک</x:v>
      </x:c>
      <x:c r="Y197" s="30" t="str">
        <x:v>BI Lead</x:v>
      </x:c>
      <x:c r="Z197" s="30" t="n">
        <x:v>7</x:v>
      </x:c>
      <x:c r="AA197" s="30" t="n">
        <x:v>196</x:v>
      </x:c>
      <x:c r="AB197" s="30" t="str">
        <x:v>گزارش با RFM 2D Grid Heatmap، Bubble Ch، تناوب «هفتگی»، کاربران: CRM Specialist، Performance Ma</x:v>
      </x:c>
      <x:c r="AC197" s="30" t="str">
        <x:v>نیازمند تکمیل و تأیید مالک</x:v>
      </x:c>
      <x:c r="AD197" s="30" t="str">
        <x:v>نیازمند تکمیل و تأیید مالک</x:v>
      </x:c>
      <x:c r="AE197" s="30" t="str">
        <x:v>گزارش با RFM 2D Grid Heatmap، Bubble Ch، تناوب «هفتگی»، کاربران: CRM Specialist، Performance Ma</x:v>
      </x:c>
      <x:c r="AF197" s="30" t="str"/>
      <x:c r="AG197" s="30" t="str"/>
      <x:c r="AH197" s="30" t="str">
        <x:v>REP-19</x:v>
      </x:c>
    </x:row>
    <x:row r="198">
      <x:c r="A198" s="17" t="inlineStr">
        <x:is>
          <x:t xml:space="preserve">TK-197</x:t>
        </x:is>
      </x:c>
      <x:c r="B198" s="4" t="inlineStr">
        <x:is>
          <x:t xml:space="preserve">گزارش وفاداری، تکرار خرید و چرخه شارژ مواد مصرفی</x:t>
        </x:is>
      </x:c>
      <x:c r="C198" s="4" t="inlineStr">
        <x:is>
          <x:t xml:space="preserve">Consumables Retention &amp; Replenishment Cycle Report</x:t>
        </x:is>
      </x:c>
      <x:c r="D198" s="4" t="inlineStr">
        <x:is>
          <x:t xml:space="preserve">Report</x:t>
        </x:is>
      </x:c>
      <x:c r="E198" s="4" t="inlineStr">
        <x:is>
          <x:t xml:space="preserve">REP-20</x:t>
        </x:is>
      </x:c>
      <x:c r="F198" s="17" t="inlineStr">
        <x:is>
          <x:t xml:space="preserve">W5</x:t>
        </x:is>
      </x:c>
      <x:c r="G198" s="4" t="inlineStr">
        <x:is>
          <x:t xml:space="preserve">S2</x:t>
        </x:is>
      </x:c>
      <x:c r="H198" s="17" t="inlineStr">
        <x:is>
          <x:t xml:space="preserve">Critical</x:t>
        </x:is>
      </x:c>
      <x:c r="I198" s="4" t="inlineStr">
        <x:is>
          <x:t xml:space="preserve">BI Lead</x:t>
        </x:is>
      </x:c>
      <x:c r="J198" s="17" t="n">
        <x:v>5</x:v>
      </x:c>
      <x:c r="K198" s="17" t="n">
        <x:v>2</x:v>
      </x:c>
      <x:c r="L198" s="18" t="n">
        <x:f>J198*2-K198</x:f>
        <x:v>8</x:v>
      </x:c>
      <x:c r="M198" s="4" t="inlineStr">
        <x:is>
          <x:t xml:space="preserve">TK-092..176</x:t>
        </x:is>
      </x:c>
      <x:c r="N198" s="4" t="inlineStr">
        <x:is>
          <x:t xml:space="preserve">گزارش با Line Chart روند Retention در م، تناوب «ماهانه»، کاربران: CRM Specialist، Performance Ma</x:t>
        </x:is>
      </x:c>
      <x:c r="O198" s="17" t="inlineStr">
        <x:is>
          <x:t xml:space="preserve">Proposed</x:t>
        </x:is>
      </x:c>
      <x:c r="P198" s="4" t="inlineStr">
        <x:is>
          <x:t xml:space="preserve">Retention &amp; Replenishment</x:t>
        </x:is>
      </x:c>
      <x:c r="Q198" s="30" t="str">
        <x:v>TK-197</x:v>
      </x:c>
      <x:c r="R198" s="30" t="str"/>
      <x:c r="S198" s="30" t="str">
        <x:v>Report</x:v>
      </x:c>
      <x:c r="T198" s="30" t="str">
        <x:v>REP-20</x:v>
      </x:c>
      <x:c r="U198" s="30" t="str">
        <x:v>گزارش وفاداری، تکرار خرید و چرخه شارژ مواد مصرفی</x:v>
      </x:c>
      <x:c r="V198" s="30" t="str">
        <x:v>Pending dependency review</x:v>
      </x:c>
      <x:c r="W198" s="30" t="str">
        <x:v>نیازمند تکمیل و تأیید مالک</x:v>
      </x:c>
      <x:c r="X198" s="30" t="str">
        <x:v>نیازمند تکمیل و تأیید مالک</x:v>
      </x:c>
      <x:c r="Y198" s="30" t="str">
        <x:v>BI Lead</x:v>
      </x:c>
      <x:c r="Z198" s="30" t="n">
        <x:v>7</x:v>
      </x:c>
      <x:c r="AA198" s="30" t="n">
        <x:v>197</x:v>
      </x:c>
      <x:c r="AB198" s="30" t="str">
        <x:v>گزارش با Line Chart روند Retention در م، تناوب «ماهانه»، کاربران: CRM Specialist، Performance Ma</x:v>
      </x:c>
      <x:c r="AC198" s="30" t="str">
        <x:v>نیازمند تکمیل و تأیید مالک</x:v>
      </x:c>
      <x:c r="AD198" s="30" t="str">
        <x:v>نیازمند تکمیل و تأیید مالک</x:v>
      </x:c>
      <x:c r="AE198" s="30" t="str">
        <x:v>گزارش با Line Chart روند Retention در م، تناوب «ماهانه»، کاربران: CRM Specialist، Performance Ma</x:v>
      </x:c>
      <x:c r="AF198" s="30" t="str"/>
      <x:c r="AG198" s="30" t="str"/>
      <x:c r="AH198" s="30" t="str">
        <x:v>REP-20</x:v>
      </x:c>
    </x:row>
    <x:row r="199">
      <x:c r="A199" s="19" t="inlineStr">
        <x:is>
          <x:t xml:space="preserve">TK-198</x:t>
        </x:is>
      </x:c>
      <x:c r="B199" s="6" t="inlineStr">
        <x:is>
          <x:t xml:space="preserve">گزارش تحلیلی هم‌دوره‌ها، بقا و نرخ بازگشت</x:t>
        </x:is>
      </x:c>
      <x:c r="C199" s="6" t="inlineStr">
        <x:is>
          <x:t xml:space="preserve">Multi-Cohort Retention &amp; Cumulative Margin Report</x:t>
        </x:is>
      </x:c>
      <x:c r="D199" s="6" t="inlineStr">
        <x:is>
          <x:t xml:space="preserve">Report</x:t>
        </x:is>
      </x:c>
      <x:c r="E199" s="6" t="inlineStr">
        <x:is>
          <x:t xml:space="preserve">REP-21</x:t>
        </x:is>
      </x:c>
      <x:c r="F199" s="19" t="inlineStr">
        <x:is>
          <x:t xml:space="preserve">W5</x:t>
        </x:is>
      </x:c>
      <x:c r="G199" s="6" t="inlineStr">
        <x:is>
          <x:t xml:space="preserve">S2</x:t>
        </x:is>
      </x:c>
      <x:c r="H199" s="19" t="inlineStr">
        <x:is>
          <x:t xml:space="preserve">High</x:t>
        </x:is>
      </x:c>
      <x:c r="I199" s="6" t="inlineStr">
        <x:is>
          <x:t xml:space="preserve">Data Analyst</x:t>
        </x:is>
      </x:c>
      <x:c r="J199" s="19" t="n">
        <x:v>4</x:v>
      </x:c>
      <x:c r="K199" s="19" t="n">
        <x:v>2</x:v>
      </x:c>
      <x:c r="L199" s="18" t="n">
        <x:f>J199*2-K199</x:f>
        <x:v>6</x:v>
      </x:c>
      <x:c r="M199" s="6" t="inlineStr">
        <x:is>
          <x:t xml:space="preserve">TK-092..176</x:t>
        </x:is>
      </x:c>
      <x:c r="N199" s="6" t="inlineStr">
        <x:is>
          <x:t xml:space="preserve">گزارش با ماتریس رنگی مثلثی کوهورت (Coho، تناوب «ماهانه»، کاربران: Marketing Analytics Lead، CMO،</x:t>
        </x:is>
      </x:c>
      <x:c r="O199" s="19" t="inlineStr">
        <x:is>
          <x:t xml:space="preserve">Proposed</x:t>
        </x:is>
      </x:c>
      <x:c r="P199" s="6" t="inlineStr">
        <x:is>
          <x:t xml:space="preserve">Cohort Analysis</x:t>
        </x:is>
      </x:c>
      <x:c r="Q199" s="30" t="str">
        <x:v>TK-198</x:v>
      </x:c>
      <x:c r="R199" s="30" t="str"/>
      <x:c r="S199" s="30" t="str">
        <x:v>Report</x:v>
      </x:c>
      <x:c r="T199" s="30" t="str">
        <x:v>REP-21</x:v>
      </x:c>
      <x:c r="U199" s="30" t="str">
        <x:v>گزارش تحلیلی هم‌دوره‌ها، بقا و نرخ بازگشت</x:v>
      </x:c>
      <x:c r="V199" s="30" t="str">
        <x:v>Pending dependency review</x:v>
      </x:c>
      <x:c r="W199" s="30" t="str">
        <x:v>نیازمند تکمیل و تأیید مالک</x:v>
      </x:c>
      <x:c r="X199" s="30" t="str">
        <x:v>نیازمند تکمیل و تأیید مالک</x:v>
      </x:c>
      <x:c r="Y199" s="30" t="str">
        <x:v>Data Analyst</x:v>
      </x:c>
      <x:c r="Z199" s="30" t="n">
        <x:v>7</x:v>
      </x:c>
      <x:c r="AA199" s="30" t="n">
        <x:v>198</x:v>
      </x:c>
      <x:c r="AB199" s="30" t="str">
        <x:v>گزارش با ماتریس رنگی مثلثی کوهورت (Coho، تناوب «ماهانه»، کاربران: Marketing Analytics Lead، CMO،</x:v>
      </x:c>
      <x:c r="AC199" s="30" t="str">
        <x:v>نیازمند تکمیل و تأیید مالک</x:v>
      </x:c>
      <x:c r="AD199" s="30" t="str">
        <x:v>نیازمند تکمیل و تأیید مالک</x:v>
      </x:c>
      <x:c r="AE199" s="30" t="str">
        <x:v>گزارش با ماتریس رنگی مثلثی کوهورت (Coho، تناوب «ماهانه»، کاربران: Marketing Analytics Lead، CMO،</x:v>
      </x:c>
      <x:c r="AF199" s="30" t="str"/>
      <x:c r="AG199" s="30" t="str"/>
      <x:c r="AH199" s="30" t="str">
        <x:v>REP-21</x:v>
      </x:c>
    </x:row>
    <x:row r="200">
      <x:c r="A200" s="17" t="inlineStr">
        <x:is>
          <x:t xml:space="preserve">TK-199</x:t>
        </x:is>
      </x:c>
      <x:c r="B200" s="4" t="inlineStr">
        <x:is>
          <x:t xml:space="preserve">گزارش ارزش طول عمر و استهلاک هزینه جذب هم‌دوره‌ها</x:t>
        </x:is>
      </x:c>
      <x:c r="C200" s="4" t="inlineStr">
        <x:is>
          <x:t xml:space="preserve">Cohort-Based LTV &amp; CAC Payback Velocity Report</x:t>
        </x:is>
      </x:c>
      <x:c r="D200" s="4" t="inlineStr">
        <x:is>
          <x:t xml:space="preserve">Report</x:t>
        </x:is>
      </x:c>
      <x:c r="E200" s="4" t="inlineStr">
        <x:is>
          <x:t xml:space="preserve">REP-22</x:t>
        </x:is>
      </x:c>
      <x:c r="F200" s="17" t="inlineStr">
        <x:is>
          <x:t xml:space="preserve">W5</x:t>
        </x:is>
      </x:c>
      <x:c r="G200" s="4" t="inlineStr">
        <x:is>
          <x:t xml:space="preserve">S2</x:t>
        </x:is>
      </x:c>
      <x:c r="H200" s="17" t="inlineStr">
        <x:is>
          <x:t xml:space="preserve">Critical</x:t>
        </x:is>
      </x:c>
      <x:c r="I200" s="4" t="inlineStr">
        <x:is>
          <x:t xml:space="preserve">BI Lead</x:t>
        </x:is>
      </x:c>
      <x:c r="J200" s="17" t="n">
        <x:v>5</x:v>
      </x:c>
      <x:c r="K200" s="17" t="n">
        <x:v>2</x:v>
      </x:c>
      <x:c r="L200" s="18" t="n">
        <x:f>J200*2-K200</x:f>
        <x:v>8</x:v>
      </x:c>
      <x:c r="M200" s="4" t="inlineStr">
        <x:is>
          <x:t xml:space="preserve">TK-092..176</x:t>
        </x:is>
      </x:c>
      <x:c r="N200" s="4" t="inlineStr">
        <x:is>
          <x:t xml:space="preserve">گزارش با Area Chart تلاقی LTV با خط افق، تناوب «فصلی»، کاربران: CMO، CFO، Growth Strategist</x:t>
        </x:is>
      </x:c>
      <x:c r="O200" s="17" t="inlineStr">
        <x:is>
          <x:t xml:space="preserve">Proposed</x:t>
        </x:is>
      </x:c>
      <x:c r="P200" s="4" t="inlineStr">
        <x:is>
          <x:t xml:space="preserve">Customer Lifetime Value</x:t>
        </x:is>
      </x:c>
      <x:c r="Q200" s="30" t="str">
        <x:v>TK-199</x:v>
      </x:c>
      <x:c r="R200" s="30" t="str"/>
      <x:c r="S200" s="30" t="str">
        <x:v>Report</x:v>
      </x:c>
      <x:c r="T200" s="30" t="str">
        <x:v>REP-22</x:v>
      </x:c>
      <x:c r="U200" s="30" t="str">
        <x:v>گزارش ارزش طول عمر و استهلاک هزینه جذب هم‌دوره‌ها</x:v>
      </x:c>
      <x:c r="V200" s="30" t="str">
        <x:v>Pending dependency review</x:v>
      </x:c>
      <x:c r="W200" s="30" t="str">
        <x:v>نیازمند تکمیل و تأیید مالک</x:v>
      </x:c>
      <x:c r="X200" s="30" t="str">
        <x:v>نیازمند تکمیل و تأیید مالک</x:v>
      </x:c>
      <x:c r="Y200" s="30" t="str">
        <x:v>BI Lead</x:v>
      </x:c>
      <x:c r="Z200" s="30" t="n">
        <x:v>7</x:v>
      </x:c>
      <x:c r="AA200" s="30" t="n">
        <x:v>199</x:v>
      </x:c>
      <x:c r="AB200" s="30" t="str">
        <x:v>گزارش با Area Chart تلاقی LTV با خط افق، تناوب «فصلی»، کاربران: CMO، CFO، Growth Strategist</x:v>
      </x:c>
      <x:c r="AC200" s="30" t="str">
        <x:v>نیازمند تکمیل و تأیید مالک</x:v>
      </x:c>
      <x:c r="AD200" s="30" t="str">
        <x:v>نیازمند تکمیل و تأیید مالک</x:v>
      </x:c>
      <x:c r="AE200" s="30" t="str">
        <x:v>گزارش با Area Chart تلاقی LTV با خط افق، تناوب «فصلی»، کاربران: CMO، CFO، Growth Strategist</x:v>
      </x:c>
      <x:c r="AF200" s="30" t="str"/>
      <x:c r="AG200" s="30" t="str"/>
      <x:c r="AH200" s="30" t="str">
        <x:v>REP-22</x:v>
      </x:c>
    </x:row>
    <x:row r="201">
      <x:c r="A201" s="19" t="inlineStr">
        <x:is>
          <x:t xml:space="preserve">TK-200</x:t>
        </x:is>
      </x:c>
      <x:c r="B201" s="6" t="inlineStr">
        <x:is>
          <x:t xml:space="preserve">گزارش ریزش مشتریان و اثربخشی کمپین‌های بازگشت</x:t>
        </x:is>
      </x:c>
      <x:c r="C201" s="6" t="inlineStr">
        <x:is>
          <x:t xml:space="preserve">Customer Churn Risk &amp; Reactivation Campaign Report</x:t>
        </x:is>
      </x:c>
      <x:c r="D201" s="6" t="inlineStr">
        <x:is>
          <x:t xml:space="preserve">Report</x:t>
        </x:is>
      </x:c>
      <x:c r="E201" s="6" t="inlineStr">
        <x:is>
          <x:t xml:space="preserve">REP-23</x:t>
        </x:is>
      </x:c>
      <x:c r="F201" s="19" t="inlineStr">
        <x:is>
          <x:t xml:space="preserve">W5</x:t>
        </x:is>
      </x:c>
      <x:c r="G201" s="6" t="inlineStr">
        <x:is>
          <x:t xml:space="preserve">S2</x:t>
        </x:is>
      </x:c>
      <x:c r="H201" s="19" t="inlineStr">
        <x:is>
          <x:t xml:space="preserve">High</x:t>
        </x:is>
      </x:c>
      <x:c r="I201" s="6" t="inlineStr">
        <x:is>
          <x:t xml:space="preserve">Data Analyst</x:t>
        </x:is>
      </x:c>
      <x:c r="J201" s="19" t="n">
        <x:v>4</x:v>
      </x:c>
      <x:c r="K201" s="19" t="n">
        <x:v>2</x:v>
      </x:c>
      <x:c r="L201" s="18" t="n">
        <x:f>J201*2-K201</x:f>
        <x:v>6</x:v>
      </x:c>
      <x:c r="M201" s="6" t="inlineStr">
        <x:is>
          <x:t xml:space="preserve">TK-092..176</x:t>
        </x:is>
      </x:c>
      <x:c r="N201" s="6" t="inlineStr">
        <x:is>
          <x:t xml:space="preserve">گزارش با Donut Chart وضعیت ریزش، Trendl، تناوب «هفتگی»، کاربران: CRM Specialist، Customer Succe</x:t>
        </x:is>
      </x:c>
      <x:c r="O201" s="19" t="inlineStr">
        <x:is>
          <x:t xml:space="preserve">Proposed</x:t>
        </x:is>
      </x:c>
      <x:c r="P201" s="6" t="inlineStr">
        <x:is>
          <x:t xml:space="preserve">Churn &amp; Reactivation</x:t>
        </x:is>
      </x:c>
      <x:c r="Q201" s="30" t="str">
        <x:v>TK-200</x:v>
      </x:c>
      <x:c r="R201" s="30" t="str"/>
      <x:c r="S201" s="30" t="str">
        <x:v>Report</x:v>
      </x:c>
      <x:c r="T201" s="30" t="str">
        <x:v>REP-23</x:v>
      </x:c>
      <x:c r="U201" s="30" t="str">
        <x:v>گزارش ریزش مشتریان و اثربخشی کمپین‌های بازگشت</x:v>
      </x:c>
      <x:c r="V201" s="30" t="str">
        <x:v>Pending dependency review</x:v>
      </x:c>
      <x:c r="W201" s="30" t="str">
        <x:v>نیازمند تکمیل و تأیید مالک</x:v>
      </x:c>
      <x:c r="X201" s="30" t="str">
        <x:v>نیازمند تکمیل و تأیید مالک</x:v>
      </x:c>
      <x:c r="Y201" s="30" t="str">
        <x:v>Data Analyst</x:v>
      </x:c>
      <x:c r="Z201" s="30" t="n">
        <x:v>7</x:v>
      </x:c>
      <x:c r="AA201" s="30" t="n">
        <x:v>200</x:v>
      </x:c>
      <x:c r="AB201" s="30" t="str">
        <x:v>گزارش با Donut Chart وضعیت ریزش، Trendl، تناوب «هفتگی»، کاربران: CRM Specialist، Customer Succe</x:v>
      </x:c>
      <x:c r="AC201" s="30" t="str">
        <x:v>نیازمند تکمیل و تأیید مالک</x:v>
      </x:c>
      <x:c r="AD201" s="30" t="str">
        <x:v>نیازمند تکمیل و تأیید مالک</x:v>
      </x:c>
      <x:c r="AE201" s="30" t="str">
        <x:v>گزارش با Donut Chart وضعیت ریزش، Trendl، تناوب «هفتگی»، کاربران: CRM Specialist، Customer Succe</x:v>
      </x:c>
      <x:c r="AF201" s="30" t="str"/>
      <x:c r="AG201" s="30" t="str"/>
      <x:c r="AH201" s="30" t="str">
        <x:v>REP-23</x:v>
      </x:c>
    </x:row>
    <x:row r="202">
      <x:c r="A202" s="17" t="inlineStr">
        <x:is>
          <x:t xml:space="preserve">TK-201</x:t>
        </x:is>
      </x:c>
      <x:c r="B202" s="4" t="inlineStr">
        <x:is>
          <x:t xml:space="preserve">گزارش باشگاه مشتریان و نرخ بازخرید امتیازات وفاداری</x:t>
        </x:is>
      </x:c>
      <x:c r="C202" s="4" t="inlineStr">
        <x:is>
          <x:t xml:space="preserve">Loyalty Club Rewards &amp; Points Breakage Report</x:t>
        </x:is>
      </x:c>
      <x:c r="D202" s="4" t="inlineStr">
        <x:is>
          <x:t xml:space="preserve">Report</x:t>
        </x:is>
      </x:c>
      <x:c r="E202" s="4" t="inlineStr">
        <x:is>
          <x:t xml:space="preserve">REP-24</x:t>
        </x:is>
      </x:c>
      <x:c r="F202" s="17" t="inlineStr">
        <x:is>
          <x:t xml:space="preserve">W5</x:t>
        </x:is>
      </x:c>
      <x:c r="G202" s="4" t="inlineStr">
        <x:is>
          <x:t xml:space="preserve">S2</x:t>
        </x:is>
      </x:c>
      <x:c r="H202" s="17" t="inlineStr">
        <x:is>
          <x:t xml:space="preserve">Medium</x:t>
        </x:is>
      </x:c>
      <x:c r="I202" s="4" t="inlineStr">
        <x:is>
          <x:t xml:space="preserve">Data Analyst</x:t>
        </x:is>
      </x:c>
      <x:c r="J202" s="17" t="n">
        <x:v>3</x:v>
      </x:c>
      <x:c r="K202" s="17" t="n">
        <x:v>2</x:v>
      </x:c>
      <x:c r="L202" s="18" t="n">
        <x:f>J202*2-K202</x:f>
        <x:v>4</x:v>
      </x:c>
      <x:c r="M202" s="4" t="inlineStr">
        <x:is>
          <x:t xml:space="preserve">TK-092..176</x:t>
        </x:is>
      </x:c>
      <x:c r="N202" s="4" t="inlineStr">
        <x:is>
          <x:t xml:space="preserve">گزارش با Bar Chart مقایسه درآمد اعضای ب، تناوب «ماهانه»، کاربران: Loyalty Manager، CRM Lead، CFO</x:t>
        </x:is>
      </x:c>
      <x:c r="O202" s="17" t="inlineStr">
        <x:is>
          <x:t xml:space="preserve">Proposed</x:t>
        </x:is>
      </x:c>
      <x:c r="P202" s="4" t="inlineStr">
        <x:is>
          <x:t xml:space="preserve">Loyalty Program</x:t>
        </x:is>
      </x:c>
      <x:c r="Q202" s="30" t="str">
        <x:v>TK-201</x:v>
      </x:c>
      <x:c r="R202" s="30" t="str"/>
      <x:c r="S202" s="30" t="str">
        <x:v>Report</x:v>
      </x:c>
      <x:c r="T202" s="30" t="str">
        <x:v>REP-24</x:v>
      </x:c>
      <x:c r="U202" s="30" t="str">
        <x:v>گزارش باشگاه مشتریان و نرخ بازخرید امتیازات وفاداری</x:v>
      </x:c>
      <x:c r="V202" s="30" t="str">
        <x:v>Pending dependency review</x:v>
      </x:c>
      <x:c r="W202" s="30" t="str">
        <x:v>نیازمند تکمیل و تأیید مالک</x:v>
      </x:c>
      <x:c r="X202" s="30" t="str">
        <x:v>نیازمند تکمیل و تأیید مالک</x:v>
      </x:c>
      <x:c r="Y202" s="30" t="str">
        <x:v>Data Analyst</x:v>
      </x:c>
      <x:c r="Z202" s="30" t="n">
        <x:v>7</x:v>
      </x:c>
      <x:c r="AA202" s="30" t="n">
        <x:v>201</x:v>
      </x:c>
      <x:c r="AB202" s="30" t="str">
        <x:v>گزارش با Bar Chart مقایسه درآمد اعضای ب، تناوب «ماهانه»، کاربران: Loyalty Manager، CRM Lead، CFO</x:v>
      </x:c>
      <x:c r="AC202" s="30" t="str">
        <x:v>نیازمند تکمیل و تأیید مالک</x:v>
      </x:c>
      <x:c r="AD202" s="30" t="str">
        <x:v>نیازمند تکمیل و تأیید مالک</x:v>
      </x:c>
      <x:c r="AE202" s="30" t="str">
        <x:v>گزارش با Bar Chart مقایسه درآمد اعضای ب، تناوب «ماهانه»، کاربران: Loyalty Manager، CRM Lead، CFO</x:v>
      </x:c>
      <x:c r="AF202" s="30" t="str"/>
      <x:c r="AG202" s="30" t="str"/>
      <x:c r="AH202" s="30" t="str">
        <x:v>REP-24</x:v>
      </x:c>
    </x:row>
    <x:row r="203">
      <x:c r="A203" s="19" t="inlineStr">
        <x:is>
          <x:t xml:space="preserve">TK-202</x:t>
        </x:is>
      </x:c>
      <x:c r="B203" s="6" t="inlineStr">
        <x:is>
          <x:t xml:space="preserve">گزارش عملکرد بازاریابی ایمیلی و خبرنامه‌های تخصصی</x:t>
        </x:is>
      </x:c>
      <x:c r="C203" s="6" t="inlineStr">
        <x:is>
          <x:t xml:space="preserve">Email Engagement, Deliverability &amp; Revenue Report</x:t>
        </x:is>
      </x:c>
      <x:c r="D203" s="6" t="inlineStr">
        <x:is>
          <x:t xml:space="preserve">Report</x:t>
        </x:is>
      </x:c>
      <x:c r="E203" s="6" t="inlineStr">
        <x:is>
          <x:t xml:space="preserve">REP-25</x:t>
        </x:is>
      </x:c>
      <x:c r="F203" s="19" t="inlineStr">
        <x:is>
          <x:t xml:space="preserve">W5</x:t>
        </x:is>
      </x:c>
      <x:c r="G203" s="6" t="inlineStr">
        <x:is>
          <x:t xml:space="preserve">S2</x:t>
        </x:is>
      </x:c>
      <x:c r="H203" s="19" t="inlineStr">
        <x:is>
          <x:t xml:space="preserve">Medium</x:t>
        </x:is>
      </x:c>
      <x:c r="I203" s="6" t="inlineStr">
        <x:is>
          <x:t xml:space="preserve">Data Analyst</x:t>
        </x:is>
      </x:c>
      <x:c r="J203" s="19" t="n">
        <x:v>3</x:v>
      </x:c>
      <x:c r="K203" s="19" t="n">
        <x:v>2</x:v>
      </x:c>
      <x:c r="L203" s="18" t="n">
        <x:f>J203*2-K203</x:f>
        <x:v>4</x:v>
      </x:c>
      <x:c r="M203" s="6" t="inlineStr">
        <x:is>
          <x:t xml:space="preserve">TK-092..176</x:t>
        </x:is>
      </x:c>
      <x:c r="N203" s="6" t="inlineStr">
        <x:is>
          <x:t xml:space="preserve">گزارش با Bar Chart معیارهای تعامل، Tabl، تناوب «هفتگی»، کاربران: Email Marketing Specialist، Co</x:t>
        </x:is>
      </x:c>
      <x:c r="O203" s="19" t="inlineStr">
        <x:is>
          <x:t xml:space="preserve">Proposed</x:t>
        </x:is>
      </x:c>
      <x:c r="P203" s="6" t="inlineStr">
        <x:is>
          <x:t xml:space="preserve">Email Marketing</x:t>
        </x:is>
      </x:c>
      <x:c r="Q203" s="30" t="str">
        <x:v>TK-202</x:v>
      </x:c>
      <x:c r="R203" s="30" t="str"/>
      <x:c r="S203" s="30" t="str">
        <x:v>Report</x:v>
      </x:c>
      <x:c r="T203" s="30" t="str">
        <x:v>REP-25</x:v>
      </x:c>
      <x:c r="U203" s="30" t="str">
        <x:v>گزارش عملکرد بازاریابی ایمیلی و خبرنامه‌های تخصصی</x:v>
      </x:c>
      <x:c r="V203" s="30" t="str">
        <x:v>Pending dependency review</x:v>
      </x:c>
      <x:c r="W203" s="30" t="str">
        <x:v>نیازمند تکمیل و تأیید مالک</x:v>
      </x:c>
      <x:c r="X203" s="30" t="str">
        <x:v>نیازمند تکمیل و تأیید مالک</x:v>
      </x:c>
      <x:c r="Y203" s="30" t="str">
        <x:v>Data Analyst</x:v>
      </x:c>
      <x:c r="Z203" s="30" t="n">
        <x:v>7</x:v>
      </x:c>
      <x:c r="AA203" s="30" t="n">
        <x:v>202</x:v>
      </x:c>
      <x:c r="AB203" s="30" t="str">
        <x:v>گزارش با Bar Chart معیارهای تعامل، Tabl، تناوب «هفتگی»، کاربران: Email Marketing Specialist، Co</x:v>
      </x:c>
      <x:c r="AC203" s="30" t="str">
        <x:v>نیازمند تکمیل و تأیید مالک</x:v>
      </x:c>
      <x:c r="AD203" s="30" t="str">
        <x:v>نیازمند تکمیل و تأیید مالک</x:v>
      </x:c>
      <x:c r="AE203" s="30" t="str">
        <x:v>گزارش با Bar Chart معیارهای تعامل، Tabl، تناوب «هفتگی»، کاربران: Email Marketing Specialist، Co</x:v>
      </x:c>
      <x:c r="AF203" s="30" t="str"/>
      <x:c r="AG203" s="30" t="str"/>
      <x:c r="AH203" s="30" t="str">
        <x:v>REP-25</x:v>
      </x:c>
    </x:row>
    <x:row r="204">
      <x:c r="A204" s="17" t="inlineStr">
        <x:is>
          <x:t xml:space="preserve">TK-203</x:t>
        </x:is>
      </x:c>
      <x:c r="B204" s="4" t="inlineStr">
        <x:is>
          <x:t xml:space="preserve">گزارش کمپین‌های پیامکی، پوش‌نوتیفیکیشن و یادآوری سفارش</x:t>
        </x:is>
      </x:c>
      <x:c r="C204" s="4" t="inlineStr">
        <x:is>
          <x:t xml:space="preserve">SMS &amp; Push Alert Campaign Performance Report</x:t>
        </x:is>
      </x:c>
      <x:c r="D204" s="4" t="inlineStr">
        <x:is>
          <x:t xml:space="preserve">Report</x:t>
        </x:is>
      </x:c>
      <x:c r="E204" s="4" t="inlineStr">
        <x:is>
          <x:t xml:space="preserve">REP-26</x:t>
        </x:is>
      </x:c>
      <x:c r="F204" s="17" t="inlineStr">
        <x:is>
          <x:t xml:space="preserve">W5</x:t>
        </x:is>
      </x:c>
      <x:c r="G204" s="4" t="inlineStr">
        <x:is>
          <x:t xml:space="preserve">S2</x:t>
        </x:is>
      </x:c>
      <x:c r="H204" s="17" t="inlineStr">
        <x:is>
          <x:t xml:space="preserve">High</x:t>
        </x:is>
      </x:c>
      <x:c r="I204" s="4" t="inlineStr">
        <x:is>
          <x:t xml:space="preserve">Data Analyst</x:t>
        </x:is>
      </x:c>
      <x:c r="J204" s="17" t="n">
        <x:v>4</x:v>
      </x:c>
      <x:c r="K204" s="17" t="n">
        <x:v>2</x:v>
      </x:c>
      <x:c r="L204" s="18" t="n">
        <x:f>J204*2-K204</x:f>
        <x:v>6</x:v>
      </x:c>
      <x:c r="M204" s="4" t="inlineStr">
        <x:is>
          <x:t xml:space="preserve">TK-092..176</x:t>
        </x:is>
      </x:c>
      <x:c r="N204" s="4" t="inlineStr">
        <x:is>
          <x:t xml:space="preserve">گزارش با Scorecard نرخ تحویل و کلیک، Ba، تناوب «هفتگی»، کاربران: Performance Marketer، CRM Spec</x:t>
        </x:is>
      </x:c>
      <x:c r="O204" s="17" t="inlineStr">
        <x:is>
          <x:t xml:space="preserve">Proposed</x:t>
        </x:is>
      </x:c>
      <x:c r="P204" s="4" t="inlineStr">
        <x:is>
          <x:t xml:space="preserve">SMS &amp; Push Notification</x:t>
        </x:is>
      </x:c>
      <x:c r="Q204" s="30" t="str">
        <x:v>TK-203</x:v>
      </x:c>
      <x:c r="R204" s="30" t="str"/>
      <x:c r="S204" s="30" t="str">
        <x:v>Report</x:v>
      </x:c>
      <x:c r="T204" s="30" t="str">
        <x:v>REP-26</x:v>
      </x:c>
      <x:c r="U204" s="30" t="str">
        <x:v>گزارش کمپین‌های پیامکی، پوش‌نوتیفیکیشن و یادآوری سفارش</x:v>
      </x:c>
      <x:c r="V204" s="30" t="str">
        <x:v>Pending dependency review</x:v>
      </x:c>
      <x:c r="W204" s="30" t="str">
        <x:v>نیازمند تکمیل و تأیید مالک</x:v>
      </x:c>
      <x:c r="X204" s="30" t="str">
        <x:v>نیازمند تکمیل و تأیید مالک</x:v>
      </x:c>
      <x:c r="Y204" s="30" t="str">
        <x:v>Data Analyst</x:v>
      </x:c>
      <x:c r="Z204" s="30" t="n">
        <x:v>7</x:v>
      </x:c>
      <x:c r="AA204" s="30" t="n">
        <x:v>203</x:v>
      </x:c>
      <x:c r="AB204" s="30" t="str">
        <x:v>گزارش با Scorecard نرخ تحویل و کلیک، Ba، تناوب «هفتگی»، کاربران: Performance Marketer، CRM Spec</x:v>
      </x:c>
      <x:c r="AC204" s="30" t="str">
        <x:v>نیازمند تکمیل و تأیید مالک</x:v>
      </x:c>
      <x:c r="AD204" s="30" t="str">
        <x:v>نیازمند تکمیل و تأیید مالک</x:v>
      </x:c>
      <x:c r="AE204" s="30" t="str">
        <x:v>گزارش با Scorecard نرخ تحویل و کلیک، Ba، تناوب «هفتگی»، کاربران: Performance Marketer، CRM Spec</x:v>
      </x:c>
      <x:c r="AF204" s="30" t="str"/>
      <x:c r="AG204" s="30" t="str"/>
      <x:c r="AH204" s="30" t="str">
        <x:v>REP-26</x:v>
      </x:c>
    </x:row>
    <x:row r="205">
      <x:c r="A205" s="19" t="inlineStr">
        <x:is>
          <x:t xml:space="preserve">TK-204</x:t>
        </x:is>
      </x:c>
      <x:c r="B205" s="6" t="inlineStr">
        <x:is>
          <x:t xml:space="preserve">گزارش اینفلوئنسر مارکتینگ و همکاری با اساتید دندان‌پزشکی</x:t>
        </x:is>
      </x:c>
      <x:c r="C205" s="6" t="inlineStr">
        <x:is>
          <x:t xml:space="preserve">Dental KOL &amp; Clinical Influencer ROI Report</x:t>
        </x:is>
      </x:c>
      <x:c r="D205" s="6" t="inlineStr">
        <x:is>
          <x:t xml:space="preserve">Report</x:t>
        </x:is>
      </x:c>
      <x:c r="E205" s="6" t="inlineStr">
        <x:is>
          <x:t xml:space="preserve">REP-27</x:t>
        </x:is>
      </x:c>
      <x:c r="F205" s="19" t="inlineStr">
        <x:is>
          <x:t xml:space="preserve">W5</x:t>
        </x:is>
      </x:c>
      <x:c r="G205" s="6" t="inlineStr">
        <x:is>
          <x:t xml:space="preserve">S2</x:t>
        </x:is>
      </x:c>
      <x:c r="H205" s="19" t="inlineStr">
        <x:is>
          <x:t xml:space="preserve">High</x:t>
        </x:is>
      </x:c>
      <x:c r="I205" s="6" t="inlineStr">
        <x:is>
          <x:t xml:space="preserve">Data Analyst</x:t>
        </x:is>
      </x:c>
      <x:c r="J205" s="19" t="n">
        <x:v>4</x:v>
      </x:c>
      <x:c r="K205" s="19" t="n">
        <x:v>2</x:v>
      </x:c>
      <x:c r="L205" s="18" t="n">
        <x:f>J205*2-K205</x:f>
        <x:v>6</x:v>
      </x:c>
      <x:c r="M205" s="6" t="inlineStr">
        <x:is>
          <x:t xml:space="preserve">TK-092..176</x:t>
        </x:is>
      </x:c>
      <x:c r="N205" s="6" t="inlineStr">
        <x:is>
          <x:t xml:space="preserve">گزارش با Leaderboard جدول مقایسه هزینه ، تناوب «ماهانه»، کاربران: Influencer Specialist، PR Mana</x:t>
        </x:is>
      </x:c>
      <x:c r="O205" s="19" t="inlineStr">
        <x:is>
          <x:t xml:space="preserve">Proposed</x:t>
        </x:is>
      </x:c>
      <x:c r="P205" s="6" t="inlineStr">
        <x:is>
          <x:t xml:space="preserve">Influencer Marketing</x:t>
        </x:is>
      </x:c>
      <x:c r="Q205" s="30" t="str">
        <x:v>TK-204</x:v>
      </x:c>
      <x:c r="R205" s="30" t="str"/>
      <x:c r="S205" s="30" t="str">
        <x:v>Report</x:v>
      </x:c>
      <x:c r="T205" s="30" t="str">
        <x:v>REP-27</x:v>
      </x:c>
      <x:c r="U205" s="30" t="str">
        <x:v>گزارش اینفلوئنسر مارکتینگ و همکاری با اساتید دندان‌پزشکی</x:v>
      </x:c>
      <x:c r="V205" s="30" t="str">
        <x:v>Pending dependency review</x:v>
      </x:c>
      <x:c r="W205" s="30" t="str">
        <x:v>نیازمند تکمیل و تأیید مالک</x:v>
      </x:c>
      <x:c r="X205" s="30" t="str">
        <x:v>نیازمند تکمیل و تأیید مالک</x:v>
      </x:c>
      <x:c r="Y205" s="30" t="str">
        <x:v>Data Analyst</x:v>
      </x:c>
      <x:c r="Z205" s="30" t="n">
        <x:v>7</x:v>
      </x:c>
      <x:c r="AA205" s="30" t="n">
        <x:v>204</x:v>
      </x:c>
      <x:c r="AB205" s="30" t="str">
        <x:v>گزارش با Leaderboard جدول مقایسه هزینه ، تناوب «ماهانه»، کاربران: Influencer Specialist، PR Mana</x:v>
      </x:c>
      <x:c r="AC205" s="30" t="str">
        <x:v>نیازمند تکمیل و تأیید مالک</x:v>
      </x:c>
      <x:c r="AD205" s="30" t="str">
        <x:v>نیازمند تکمیل و تأیید مالک</x:v>
      </x:c>
      <x:c r="AE205" s="30" t="str">
        <x:v>گزارش با Leaderboard جدول مقایسه هزینه ، تناوب «ماهانه»، کاربران: Influencer Specialist، PR Mana</x:v>
      </x:c>
      <x:c r="AF205" s="30" t="str"/>
      <x:c r="AG205" s="30" t="str"/>
      <x:c r="AH205" s="30" t="str">
        <x:v>REP-27</x:v>
      </x:c>
    </x:row>
    <x:row r="206">
      <x:c r="A206" s="17" t="inlineStr">
        <x:is>
          <x:t xml:space="preserve">TK-205</x:t>
        </x:is>
      </x:c>
      <x:c r="B206" s="4" t="inlineStr">
        <x:is>
          <x:t xml:space="preserve">گزارش شبکه همکاران فروش، معرفان و سیستم معرف کلینیکی</x:t>
        </x:is>
      </x:c>
      <x:c r="C206" s="4" t="inlineStr">
        <x:is>
          <x:t xml:space="preserve">Affiliate Network &amp; Clinical Referral Attribution Report</x:t>
        </x:is>
      </x:c>
      <x:c r="D206" s="4" t="inlineStr">
        <x:is>
          <x:t xml:space="preserve">Report</x:t>
        </x:is>
      </x:c>
      <x:c r="E206" s="4" t="inlineStr">
        <x:is>
          <x:t xml:space="preserve">REP-28</x:t>
        </x:is>
      </x:c>
      <x:c r="F206" s="17" t="inlineStr">
        <x:is>
          <x:t xml:space="preserve">W5</x:t>
        </x:is>
      </x:c>
      <x:c r="G206" s="4" t="inlineStr">
        <x:is>
          <x:t xml:space="preserve">S2</x:t>
        </x:is>
      </x:c>
      <x:c r="H206" s="17" t="inlineStr">
        <x:is>
          <x:t xml:space="preserve">High</x:t>
        </x:is>
      </x:c>
      <x:c r="I206" s="4" t="inlineStr">
        <x:is>
          <x:t xml:space="preserve">Data Analyst</x:t>
        </x:is>
      </x:c>
      <x:c r="J206" s="17" t="n">
        <x:v>4</x:v>
      </x:c>
      <x:c r="K206" s="17" t="n">
        <x:v>2</x:v>
      </x:c>
      <x:c r="L206" s="18" t="n">
        <x:f>J206*2-K206</x:f>
        <x:v>6</x:v>
      </x:c>
      <x:c r="M206" s="4" t="inlineStr">
        <x:is>
          <x:t xml:space="preserve">TK-092..176</x:t>
        </x:is>
      </x:c>
      <x:c r="N206" s="4" t="inlineStr">
        <x:is>
          <x:t xml:space="preserve">گزارش با Table رتبه‌بندی معرفان، Donut ، تناوب «ماهانه»، کاربران: Partnerships Manager، Growth M</x:t>
        </x:is>
      </x:c>
      <x:c r="O206" s="17" t="inlineStr">
        <x:is>
          <x:t xml:space="preserve">Proposed</x:t>
        </x:is>
      </x:c>
      <x:c r="P206" s="4" t="inlineStr">
        <x:is>
          <x:t xml:space="preserve">Affiliate &amp; Referral</x:t>
        </x:is>
      </x:c>
      <x:c r="Q206" s="30" t="str">
        <x:v>TK-205</x:v>
      </x:c>
      <x:c r="R206" s="30" t="str"/>
      <x:c r="S206" s="30" t="str">
        <x:v>Report</x:v>
      </x:c>
      <x:c r="T206" s="30" t="str">
        <x:v>REP-28</x:v>
      </x:c>
      <x:c r="U206" s="30" t="str">
        <x:v>گزارش شبکه همکاران فروش، معرفان و سیستم معرف کلینیکی</x:v>
      </x:c>
      <x:c r="V206" s="30" t="str">
        <x:v>Pending dependency review</x:v>
      </x:c>
      <x:c r="W206" s="30" t="str">
        <x:v>نیازمند تکمیل و تأیید مالک</x:v>
      </x:c>
      <x:c r="X206" s="30" t="str">
        <x:v>نیازمند تکمیل و تأیید مالک</x:v>
      </x:c>
      <x:c r="Y206" s="30" t="str">
        <x:v>Data Analyst</x:v>
      </x:c>
      <x:c r="Z206" s="30" t="n">
        <x:v>7</x:v>
      </x:c>
      <x:c r="AA206" s="30" t="n">
        <x:v>205</x:v>
      </x:c>
      <x:c r="AB206" s="30" t="str">
        <x:v>گزارش با Table رتبه‌بندی معرفان، Donut ، تناوب «ماهانه»، کاربران: Partnerships Manager، Growth M</x:v>
      </x:c>
      <x:c r="AC206" s="30" t="str">
        <x:v>نیازمند تکمیل و تأیید مالک</x:v>
      </x:c>
      <x:c r="AD206" s="30" t="str">
        <x:v>نیازمند تکمیل و تأیید مالک</x:v>
      </x:c>
      <x:c r="AE206" s="30" t="str">
        <x:v>گزارش با Table رتبه‌بندی معرفان، Donut ، تناوب «ماهانه»، کاربران: Partnerships Manager، Growth M</x:v>
      </x:c>
      <x:c r="AF206" s="30" t="str"/>
      <x:c r="AG206" s="30" t="str"/>
      <x:c r="AH206" s="30" t="str">
        <x:v>REP-28</x:v>
      </x:c>
    </x:row>
    <x:row r="207">
      <x:c r="A207" s="19" t="inlineStr">
        <x:is>
          <x:t xml:space="preserve">TK-206</x:t>
        </x:is>
      </x:c>
      <x:c r="B207" s="6" t="inlineStr">
        <x:is>
          <x:t xml:space="preserve">گزارش سئو، ترافیک ارگانیک و ارزش ترافیک غیرپولی</x:t>
        </x:is>
      </x:c>
      <x:c r="C207" s="6" t="inlineStr">
        <x:is>
          <x:t xml:space="preserve">Organic Search Performance &amp; Commercial Query Value Report</x:t>
        </x:is>
      </x:c>
      <x:c r="D207" s="6" t="inlineStr">
        <x:is>
          <x:t xml:space="preserve">Report</x:t>
        </x:is>
      </x:c>
      <x:c r="E207" s="6" t="inlineStr">
        <x:is>
          <x:t xml:space="preserve">REP-29</x:t>
        </x:is>
      </x:c>
      <x:c r="F207" s="19" t="inlineStr">
        <x:is>
          <x:t xml:space="preserve">W5</x:t>
        </x:is>
      </x:c>
      <x:c r="G207" s="6" t="inlineStr">
        <x:is>
          <x:t xml:space="preserve">S2</x:t>
        </x:is>
      </x:c>
      <x:c r="H207" s="19" t="inlineStr">
        <x:is>
          <x:t xml:space="preserve">High</x:t>
        </x:is>
      </x:c>
      <x:c r="I207" s="6" t="inlineStr">
        <x:is>
          <x:t xml:space="preserve">Data Analyst</x:t>
        </x:is>
      </x:c>
      <x:c r="J207" s="19" t="n">
        <x:v>4</x:v>
      </x:c>
      <x:c r="K207" s="19" t="n">
        <x:v>2</x:v>
      </x:c>
      <x:c r="L207" s="18" t="n">
        <x:f>J207*2-K207</x:f>
        <x:v>6</x:v>
      </x:c>
      <x:c r="M207" s="6" t="inlineStr">
        <x:is>
          <x:t xml:space="preserve">TK-092..176</x:t>
        </x:is>
      </x:c>
      <x:c r="N207" s="6" t="inlineStr">
        <x:is>
          <x:t xml:space="preserve">گزارش با Rank Tracking Table، ترند کلیک، تناوب «هفتگی»، کاربران: SEO Lead، Content Marketing Le</x:t>
        </x:is>
      </x:c>
      <x:c r="O207" s="19" t="inlineStr">
        <x:is>
          <x:t xml:space="preserve">Proposed</x:t>
        </x:is>
      </x:c>
      <x:c r="P207" s="6" t="inlineStr">
        <x:is>
          <x:t xml:space="preserve">SEO &amp; Organic Performance</x:t>
        </x:is>
      </x:c>
      <x:c r="Q207" s="30" t="str">
        <x:v>TK-206</x:v>
      </x:c>
      <x:c r="R207" s="30" t="str"/>
      <x:c r="S207" s="30" t="str">
        <x:v>Report</x:v>
      </x:c>
      <x:c r="T207" s="30" t="str">
        <x:v>REP-29</x:v>
      </x:c>
      <x:c r="U207" s="30" t="str">
        <x:v>گزارش سئو، ترافیک ارگانیک و ارزش ترافیک غیرپولی</x:v>
      </x:c>
      <x:c r="V207" s="30" t="str">
        <x:v>Pending dependency review</x:v>
      </x:c>
      <x:c r="W207" s="30" t="str">
        <x:v>نیازمند تکمیل و تأیید مالک</x:v>
      </x:c>
      <x:c r="X207" s="30" t="str">
        <x:v>نیازمند تکمیل و تأیید مالک</x:v>
      </x:c>
      <x:c r="Y207" s="30" t="str">
        <x:v>Data Analyst</x:v>
      </x:c>
      <x:c r="Z207" s="30" t="n">
        <x:v>7</x:v>
      </x:c>
      <x:c r="AA207" s="30" t="n">
        <x:v>206</x:v>
      </x:c>
      <x:c r="AB207" s="30" t="str">
        <x:v>گزارش با Rank Tracking Table، ترند کلیک، تناوب «هفتگی»، کاربران: SEO Lead، Content Marketing Le</x:v>
      </x:c>
      <x:c r="AC207" s="30" t="str">
        <x:v>نیازمند تکمیل و تأیید مالک</x:v>
      </x:c>
      <x:c r="AD207" s="30" t="str">
        <x:v>نیازمند تکمیل و تأیید مالک</x:v>
      </x:c>
      <x:c r="AE207" s="30" t="str">
        <x:v>گزارش با Rank Tracking Table، ترند کلیک، تناوب «هفتگی»، کاربران: SEO Lead، Content Marketing Le</x:v>
      </x:c>
      <x:c r="AF207" s="30" t="str"/>
      <x:c r="AG207" s="30" t="str"/>
      <x:c r="AH207" s="30" t="str">
        <x:v>REP-29</x:v>
      </x:c>
    </x:row>
    <x:row r="208">
      <x:c r="A208" s="17" t="inlineStr">
        <x:is>
          <x:t xml:space="preserve">TK-207</x:t>
        </x:is>
      </x:c>
      <x:c r="B208" s="4" t="inlineStr">
        <x:is>
          <x:t xml:space="preserve">گزارش تطبیقی مدل‌های تخصیص First, Last, Data-Driven</x:t>
        </x:is>
      </x:c>
      <x:c r="C208" s="4" t="inlineStr">
        <x:is>
          <x:t xml:space="preserve">Multi-Touch Attribution Comparative Model Report</x:t>
        </x:is>
      </x:c>
      <x:c r="D208" s="4" t="inlineStr">
        <x:is>
          <x:t xml:space="preserve">Report</x:t>
        </x:is>
      </x:c>
      <x:c r="E208" s="4" t="inlineStr">
        <x:is>
          <x:t xml:space="preserve">REP-30</x:t>
        </x:is>
      </x:c>
      <x:c r="F208" s="17" t="inlineStr">
        <x:is>
          <x:t xml:space="preserve">W5</x:t>
        </x:is>
      </x:c>
      <x:c r="G208" s="4" t="inlineStr">
        <x:is>
          <x:t xml:space="preserve">S2</x:t>
        </x:is>
      </x:c>
      <x:c r="H208" s="17" t="inlineStr">
        <x:is>
          <x:t xml:space="preserve">Critical</x:t>
        </x:is>
      </x:c>
      <x:c r="I208" s="4" t="inlineStr">
        <x:is>
          <x:t xml:space="preserve">BI Lead</x:t>
        </x:is>
      </x:c>
      <x:c r="J208" s="17" t="n">
        <x:v>5</x:v>
      </x:c>
      <x:c r="K208" s="17" t="n">
        <x:v>2</x:v>
      </x:c>
      <x:c r="L208" s="18" t="n">
        <x:f>J208*2-K208</x:f>
        <x:v>8</x:v>
      </x:c>
      <x:c r="M208" s="4" t="inlineStr">
        <x:is>
          <x:t xml:space="preserve">TK-092..176</x:t>
        </x:is>
      </x:c>
      <x:c r="N208" s="4" t="inlineStr">
        <x:is>
          <x:t xml:space="preserve">گزارش با Grouped Bar Chart مقایسه درآمد، تناوب «ماهانه»، کاربران: Marketing Analytics Lead، CMO،</x:t>
        </x:is>
      </x:c>
      <x:c r="O208" s="17" t="inlineStr">
        <x:is>
          <x:t xml:space="preserve">Proposed</x:t>
        </x:is>
      </x:c>
      <x:c r="P208" s="4" t="inlineStr">
        <x:is>
          <x:t xml:space="preserve">Attribution Comparison</x:t>
        </x:is>
      </x:c>
      <x:c r="Q208" s="30" t="str">
        <x:v>TK-207</x:v>
      </x:c>
      <x:c r="R208" s="30" t="str"/>
      <x:c r="S208" s="30" t="str">
        <x:v>Report</x:v>
      </x:c>
      <x:c r="T208" s="30" t="str">
        <x:v>REP-30</x:v>
      </x:c>
      <x:c r="U208" s="30" t="str">
        <x:v>گزارش تطبیقی مدل‌های تخصیص First, Last, Data-Driven</x:v>
      </x:c>
      <x:c r="V208" s="30" t="str">
        <x:v>Pending dependency review</x:v>
      </x:c>
      <x:c r="W208" s="30" t="str">
        <x:v>نیازمند تکمیل و تأیید مالک</x:v>
      </x:c>
      <x:c r="X208" s="30" t="str">
        <x:v>نیازمند تکمیل و تأیید مالک</x:v>
      </x:c>
      <x:c r="Y208" s="30" t="str">
        <x:v>BI Lead</x:v>
      </x:c>
      <x:c r="Z208" s="30" t="n">
        <x:v>7</x:v>
      </x:c>
      <x:c r="AA208" s="30" t="n">
        <x:v>207</x:v>
      </x:c>
      <x:c r="AB208" s="30" t="str">
        <x:v>گزارش با Grouped Bar Chart مقایسه درآمد، تناوب «ماهانه»، کاربران: Marketing Analytics Lead، CMO،</x:v>
      </x:c>
      <x:c r="AC208" s="30" t="str">
        <x:v>نیازمند تکمیل و تأیید مالک</x:v>
      </x:c>
      <x:c r="AD208" s="30" t="str">
        <x:v>نیازمند تکمیل و تأیید مالک</x:v>
      </x:c>
      <x:c r="AE208" s="30" t="str">
        <x:v>گزارش با Grouped Bar Chart مقایسه درآمد، تناوب «ماهانه»، کاربران: Marketing Analytics Lead، CMO،</x:v>
      </x:c>
      <x:c r="AF208" s="30" t="str"/>
      <x:c r="AG208" s="30" t="str"/>
      <x:c r="AH208" s="30" t="str">
        <x:v>REP-30</x:v>
      </x:c>
    </x:row>
    <x:row r="209">
      <x:c r="A209" s="19" t="inlineStr">
        <x:is>
          <x:t xml:space="preserve">TK-208</x:t>
        </x:is>
      </x:c>
      <x:c r="B209" s="6" t="inlineStr">
        <x:is>
          <x:t xml:space="preserve">گزارش خالص اثربخشی و لیفت واقعی تبلیغات</x:t>
        </x:is>
      </x:c>
      <x:c r="C209" s="6" t="inlineStr">
        <x:is>
          <x:t xml:space="preserve">Marketing Incrementality &amp; Geo-Holdout Lift Report</x:t>
        </x:is>
      </x:c>
      <x:c r="D209" s="6" t="inlineStr">
        <x:is>
          <x:t xml:space="preserve">Report</x:t>
        </x:is>
      </x:c>
      <x:c r="E209" s="6" t="inlineStr">
        <x:is>
          <x:t xml:space="preserve">REP-31</x:t>
        </x:is>
      </x:c>
      <x:c r="F209" s="19" t="inlineStr">
        <x:is>
          <x:t xml:space="preserve">W5</x:t>
        </x:is>
      </x:c>
      <x:c r="G209" s="6" t="inlineStr">
        <x:is>
          <x:t xml:space="preserve">S2</x:t>
        </x:is>
      </x:c>
      <x:c r="H209" s="19" t="inlineStr">
        <x:is>
          <x:t xml:space="preserve">Critical</x:t>
        </x:is>
      </x:c>
      <x:c r="I209" s="6" t="inlineStr">
        <x:is>
          <x:t xml:space="preserve">BI Lead</x:t>
        </x:is>
      </x:c>
      <x:c r="J209" s="19" t="n">
        <x:v>5</x:v>
      </x:c>
      <x:c r="K209" s="19" t="n">
        <x:v>2</x:v>
      </x:c>
      <x:c r="L209" s="18" t="n">
        <x:f>J209*2-K209</x:f>
        <x:v>8</x:v>
      </x:c>
      <x:c r="M209" s="6" t="inlineStr">
        <x:is>
          <x:t xml:space="preserve">TK-092..176</x:t>
        </x:is>
      </x:c>
      <x:c r="N209" s="6" t="inlineStr">
        <x:is>
          <x:t xml:space="preserve">گزارش با Time Series Chart با خطوط Test، تناوب «فصلی»، کاربران: Marketing Analytics Lead، CMO</x:t>
        </x:is>
      </x:c>
      <x:c r="O209" s="19" t="inlineStr">
        <x:is>
          <x:t xml:space="preserve">Proposed</x:t>
        </x:is>
      </x:c>
      <x:c r="P209" s="6" t="inlineStr">
        <x:is>
          <x:t xml:space="preserve">Incrementality &amp; Lift</x:t>
        </x:is>
      </x:c>
      <x:c r="Q209" s="30" t="str">
        <x:v>TK-208</x:v>
      </x:c>
      <x:c r="R209" s="30" t="str"/>
      <x:c r="S209" s="30" t="str">
        <x:v>Report</x:v>
      </x:c>
      <x:c r="T209" s="30" t="str">
        <x:v>REP-31</x:v>
      </x:c>
      <x:c r="U209" s="30" t="str">
        <x:v>گزارش خالص اثربخشی و لیفت واقعی تبلیغات</x:v>
      </x:c>
      <x:c r="V209" s="30" t="str">
        <x:v>Pending dependency review</x:v>
      </x:c>
      <x:c r="W209" s="30" t="str">
        <x:v>نیازمند تکمیل و تأیید مالک</x:v>
      </x:c>
      <x:c r="X209" s="30" t="str">
        <x:v>نیازمند تکمیل و تأیید مالک</x:v>
      </x:c>
      <x:c r="Y209" s="30" t="str">
        <x:v>BI Lead</x:v>
      </x:c>
      <x:c r="Z209" s="30" t="n">
        <x:v>7</x:v>
      </x:c>
      <x:c r="AA209" s="30" t="n">
        <x:v>208</x:v>
      </x:c>
      <x:c r="AB209" s="30" t="str">
        <x:v>گزارش با Time Series Chart با خطوط Test، تناوب «فصلی»، کاربران: Marketing Analytics Lead، CMO</x:v>
      </x:c>
      <x:c r="AC209" s="30" t="str">
        <x:v>نیازمند تکمیل و تأیید مالک</x:v>
      </x:c>
      <x:c r="AD209" s="30" t="str">
        <x:v>نیازمند تکمیل و تأیید مالک</x:v>
      </x:c>
      <x:c r="AE209" s="30" t="str">
        <x:v>گزارش با Time Series Chart با خطوط Test، تناوب «فصلی»، کاربران: Marketing Analytics Lead، CMO</x:v>
      </x:c>
      <x:c r="AF209" s="30" t="str"/>
      <x:c r="AG209" s="30" t="str"/>
      <x:c r="AH209" s="30" t="str">
        <x:v>REP-31</x:v>
      </x:c>
    </x:row>
    <x:row r="210">
      <x:c r="A210" s="17" t="inlineStr">
        <x:is>
          <x:t xml:space="preserve">TK-209</x:t>
        </x:is>
      </x:c>
      <x:c r="B210" s="4" t="inlineStr">
        <x:is>
          <x:t xml:space="preserve">گزارش حاکمیت بودجه، تراز روزانه و شتاب هزینه</x:t>
        </x:is>
      </x:c>
      <x:c r="C210" s="4" t="inlineStr">
        <x:is>
          <x:t xml:space="preserve">Daily Budget Pacing &amp; Blended Spend Control Report</x:t>
        </x:is>
      </x:c>
      <x:c r="D210" s="4" t="inlineStr">
        <x:is>
          <x:t xml:space="preserve">Report</x:t>
        </x:is>
      </x:c>
      <x:c r="E210" s="4" t="inlineStr">
        <x:is>
          <x:t xml:space="preserve">REP-32</x:t>
        </x:is>
      </x:c>
      <x:c r="F210" s="17" t="inlineStr">
        <x:is>
          <x:t xml:space="preserve">W5</x:t>
        </x:is>
      </x:c>
      <x:c r="G210" s="4" t="inlineStr">
        <x:is>
          <x:t xml:space="preserve">S2</x:t>
        </x:is>
      </x:c>
      <x:c r="H210" s="17" t="inlineStr">
        <x:is>
          <x:t xml:space="preserve">Critical</x:t>
        </x:is>
      </x:c>
      <x:c r="I210" s="4" t="inlineStr">
        <x:is>
          <x:t xml:space="preserve">BI Lead</x:t>
        </x:is>
      </x:c>
      <x:c r="J210" s="17" t="n">
        <x:v>5</x:v>
      </x:c>
      <x:c r="K210" s="17" t="n">
        <x:v>2</x:v>
      </x:c>
      <x:c r="L210" s="18" t="n">
        <x:f>J210*2-K210</x:f>
        <x:v>8</x:v>
      </x:c>
      <x:c r="M210" s="4" t="inlineStr">
        <x:is>
          <x:t xml:space="preserve">TK-092..176</x:t>
        </x:is>
      </x:c>
      <x:c r="N210" s="4" t="inlineStr">
        <x:is>
          <x:t xml:space="preserve">گزارش با Bullet Chart مقایسه بودجه مصوب، تناوب «روزانه»، کاربران: Performance Lead، Media Buyer،</x:t>
        </x:is>
      </x:c>
      <x:c r="O210" s="17" t="inlineStr">
        <x:is>
          <x:t xml:space="preserve">Proposed</x:t>
        </x:is>
      </x:c>
      <x:c r="P210" s="4" t="inlineStr">
        <x:is>
          <x:t xml:space="preserve">Budget &amp; Spend Management</x:t>
        </x:is>
      </x:c>
      <x:c r="Q210" s="30" t="str">
        <x:v>TK-209</x:v>
      </x:c>
      <x:c r="R210" s="30" t="str"/>
      <x:c r="S210" s="30" t="str">
        <x:v>Report</x:v>
      </x:c>
      <x:c r="T210" s="30" t="str">
        <x:v>REP-32</x:v>
      </x:c>
      <x:c r="U210" s="30" t="str">
        <x:v>گزارش حاکمیت بودجه، تراز روزانه و شتاب هزینه</x:v>
      </x:c>
      <x:c r="V210" s="30" t="str">
        <x:v>Pending dependency review</x:v>
      </x:c>
      <x:c r="W210" s="30" t="str">
        <x:v>نیازمند تکمیل و تأیید مالک</x:v>
      </x:c>
      <x:c r="X210" s="30" t="str">
        <x:v>نیازمند تکمیل و تأیید مالک</x:v>
      </x:c>
      <x:c r="Y210" s="30" t="str">
        <x:v>BI Lead</x:v>
      </x:c>
      <x:c r="Z210" s="30" t="n">
        <x:v>7</x:v>
      </x:c>
      <x:c r="AA210" s="30" t="n">
        <x:v>209</x:v>
      </x:c>
      <x:c r="AB210" s="30" t="str">
        <x:v>گزارش با Bullet Chart مقایسه بودجه مصوب، تناوب «روزانه»، کاربران: Performance Lead، Media Buyer،</x:v>
      </x:c>
      <x:c r="AC210" s="30" t="str">
        <x:v>نیازمند تکمیل و تأیید مالک</x:v>
      </x:c>
      <x:c r="AD210" s="30" t="str">
        <x:v>نیازمند تکمیل و تأیید مالک</x:v>
      </x:c>
      <x:c r="AE210" s="30" t="str">
        <x:v>گزارش با Bullet Chart مقایسه بودجه مصوب، تناوب «روزانه»، کاربران: Performance Lead، Media Buyer،</x:v>
      </x:c>
      <x:c r="AF210" s="30" t="str"/>
      <x:c r="AG210" s="30" t="str"/>
      <x:c r="AH210" s="30" t="str">
        <x:v>REP-32</x:v>
      </x:c>
    </x:row>
    <x:row r="211">
      <x:c r="A211" s="19" t="inlineStr">
        <x:is>
          <x:t xml:space="preserve">TK-210</x:t>
        </x:is>
      </x:c>
      <x:c r="B211" s="6" t="inlineStr">
        <x:is>
          <x:t xml:space="preserve">گزارش سودآوری، حاشیه سهم و محاسبات POAS</x:t>
        </x:is>
      </x:c>
      <x:c r="C211" s="6" t="inlineStr">
        <x:is>
          <x:t xml:space="preserve">Marketing Contribution Margin &amp; Unit Economics Report</x:t>
        </x:is>
      </x:c>
      <x:c r="D211" s="6" t="inlineStr">
        <x:is>
          <x:t xml:space="preserve">Report</x:t>
        </x:is>
      </x:c>
      <x:c r="E211" s="6" t="inlineStr">
        <x:is>
          <x:t xml:space="preserve">REP-33</x:t>
        </x:is>
      </x:c>
      <x:c r="F211" s="19" t="inlineStr">
        <x:is>
          <x:t xml:space="preserve">W5</x:t>
        </x:is>
      </x:c>
      <x:c r="G211" s="6" t="inlineStr">
        <x:is>
          <x:t xml:space="preserve">S2</x:t>
        </x:is>
      </x:c>
      <x:c r="H211" s="19" t="inlineStr">
        <x:is>
          <x:t xml:space="preserve">Critical</x:t>
        </x:is>
      </x:c>
      <x:c r="I211" s="6" t="inlineStr">
        <x:is>
          <x:t xml:space="preserve">BI Lead</x:t>
        </x:is>
      </x:c>
      <x:c r="J211" s="19" t="n">
        <x:v>5</x:v>
      </x:c>
      <x:c r="K211" s="19" t="n">
        <x:v>2</x:v>
      </x:c>
      <x:c r="L211" s="18" t="n">
        <x:f>J211*2-K211</x:f>
        <x:v>8</x:v>
      </x:c>
      <x:c r="M211" s="6" t="inlineStr">
        <x:is>
          <x:t xml:space="preserve">TK-092..176</x:t>
        </x:is>
      </x:c>
      <x:c r="N211" s="6" t="inlineStr">
        <x:is>
          <x:t xml:space="preserve">گزارش با Line Chart روند POAS در برابر ، تناوب «روزانه»، کاربران: CMO، CFO، Performance Marketin</x:t>
        </x:is>
      </x:c>
      <x:c r="O211" s="19" t="inlineStr">
        <x:is>
          <x:t xml:space="preserve">Proposed</x:t>
        </x:is>
      </x:c>
      <x:c r="P211" s="6" t="inlineStr">
        <x:is>
          <x:t xml:space="preserve">Profitability &amp; Unit Economics</x:t>
        </x:is>
      </x:c>
      <x:c r="Q211" s="30" t="str">
        <x:v>TK-210</x:v>
      </x:c>
      <x:c r="R211" s="30" t="str"/>
      <x:c r="S211" s="30" t="str">
        <x:v>Report</x:v>
      </x:c>
      <x:c r="T211" s="30" t="str">
        <x:v>REP-33</x:v>
      </x:c>
      <x:c r="U211" s="30" t="str">
        <x:v>گزارش سودآوری، حاشیه سهم و محاسبات POAS</x:v>
      </x:c>
      <x:c r="V211" s="30" t="str">
        <x:v>Pending dependency review</x:v>
      </x:c>
      <x:c r="W211" s="30" t="str">
        <x:v>نیازمند تکمیل و تأیید مالک</x:v>
      </x:c>
      <x:c r="X211" s="30" t="str">
        <x:v>نیازمند تکمیل و تأیید مالک</x:v>
      </x:c>
      <x:c r="Y211" s="30" t="str">
        <x:v>BI Lead</x:v>
      </x:c>
      <x:c r="Z211" s="30" t="n">
        <x:v>7</x:v>
      </x:c>
      <x:c r="AA211" s="30" t="n">
        <x:v>210</x:v>
      </x:c>
      <x:c r="AB211" s="30" t="str">
        <x:v>گزارش با Line Chart روند POAS در برابر ، تناوب «روزانه»، کاربران: CMO، CFO، Performance Marketin</x:v>
      </x:c>
      <x:c r="AC211" s="30" t="str">
        <x:v>نیازمند تکمیل و تأیید مالک</x:v>
      </x:c>
      <x:c r="AD211" s="30" t="str">
        <x:v>نیازمند تکمیل و تأیید مالک</x:v>
      </x:c>
      <x:c r="AE211" s="30" t="str">
        <x:v>گزارش با Line Chart روند POAS در برابر ، تناوب «روزانه»، کاربران: CMO، CFO، Performance Marketin</x:v>
      </x:c>
      <x:c r="AF211" s="30" t="str"/>
      <x:c r="AG211" s="30" t="str"/>
      <x:c r="AH211" s="30" t="str">
        <x:v>REP-33</x:v>
      </x:c>
    </x:row>
    <x:row r="212">
      <x:c r="A212" s="17" t="inlineStr">
        <x:is>
          <x:t xml:space="preserve">TK-211</x:t>
        </x:is>
      </x:c>
      <x:c r="B212" s="4" t="inlineStr">
        <x:is>
          <x:t xml:space="preserve">گزارش پیش‌بینی درآمد، هزینه و برنامه‌ریزی سناریوها</x:t>
        </x:is>
      </x:c>
      <x:c r="C212" s="4" t="inlineStr">
        <x:is>
          <x:t xml:space="preserve">90-Day Media Spend &amp; Revenue Scenario Forecasting Report</x:t>
        </x:is>
      </x:c>
      <x:c r="D212" s="4" t="inlineStr">
        <x:is>
          <x:t xml:space="preserve">Report</x:t>
        </x:is>
      </x:c>
      <x:c r="E212" s="4" t="inlineStr">
        <x:is>
          <x:t xml:space="preserve">REP-34</x:t>
        </x:is>
      </x:c>
      <x:c r="F212" s="17" t="inlineStr">
        <x:is>
          <x:t xml:space="preserve">W5</x:t>
        </x:is>
      </x:c>
      <x:c r="G212" s="4" t="inlineStr">
        <x:is>
          <x:t xml:space="preserve">S2</x:t>
        </x:is>
      </x:c>
      <x:c r="H212" s="17" t="inlineStr">
        <x:is>
          <x:t xml:space="preserve">High</x:t>
        </x:is>
      </x:c>
      <x:c r="I212" s="4" t="inlineStr">
        <x:is>
          <x:t xml:space="preserve">Data Analyst</x:t>
        </x:is>
      </x:c>
      <x:c r="J212" s="17" t="n">
        <x:v>4</x:v>
      </x:c>
      <x:c r="K212" s="17" t="n">
        <x:v>2</x:v>
      </x:c>
      <x:c r="L212" s="18" t="n">
        <x:f>J212*2-K212</x:f>
        <x:v>6</x:v>
      </x:c>
      <x:c r="M212" s="4" t="inlineStr">
        <x:is>
          <x:t xml:space="preserve">TK-092..176</x:t>
        </x:is>
      </x:c>
      <x:c r="N212" s="4" t="inlineStr">
        <x:is>
          <x:t xml:space="preserve">گزارش با Fan Chart پیش‌بینی با فواصل اط، تناوب «ماهانه»، کاربران: CMO، CFO، Commercial Director</x:t>
        </x:is>
      </x:c>
      <x:c r="O212" s="17" t="inlineStr">
        <x:is>
          <x:t xml:space="preserve">Proposed</x:t>
        </x:is>
      </x:c>
      <x:c r="P212" s="4" t="inlineStr">
        <x:is>
          <x:t xml:space="preserve">Forecasting &amp; Scenarios</x:t>
        </x:is>
      </x:c>
      <x:c r="Q212" s="30" t="str">
        <x:v>TK-211</x:v>
      </x:c>
      <x:c r="R212" s="30" t="str"/>
      <x:c r="S212" s="30" t="str">
        <x:v>Report</x:v>
      </x:c>
      <x:c r="T212" s="30" t="str">
        <x:v>REP-34</x:v>
      </x:c>
      <x:c r="U212" s="30" t="str">
        <x:v>گزارش پیش‌بینی درآمد، هزینه و برنامه‌ریزی سناریوها</x:v>
      </x:c>
      <x:c r="V212" s="30" t="str">
        <x:v>Pending dependency review</x:v>
      </x:c>
      <x:c r="W212" s="30" t="str">
        <x:v>نیازمند تکمیل و تأیید مالک</x:v>
      </x:c>
      <x:c r="X212" s="30" t="str">
        <x:v>نیازمند تکمیل و تأیید مالک</x:v>
      </x:c>
      <x:c r="Y212" s="30" t="str">
        <x:v>Data Analyst</x:v>
      </x:c>
      <x:c r="Z212" s="30" t="n">
        <x:v>7</x:v>
      </x:c>
      <x:c r="AA212" s="30" t="n">
        <x:v>211</x:v>
      </x:c>
      <x:c r="AB212" s="30" t="str">
        <x:v>گزارش با Fan Chart پیش‌بینی با فواصل اط، تناوب «ماهانه»، کاربران: CMO، CFO، Commercial Director</x:v>
      </x:c>
      <x:c r="AC212" s="30" t="str">
        <x:v>نیازمند تکمیل و تأیید مالک</x:v>
      </x:c>
      <x:c r="AD212" s="30" t="str">
        <x:v>نیازمند تکمیل و تأیید مالک</x:v>
      </x:c>
      <x:c r="AE212" s="30" t="str">
        <x:v>گزارش با Fan Chart پیش‌بینی با فواصل اط، تناوب «ماهانه»، کاربران: CMO، CFO، Commercial Director</x:v>
      </x:c>
      <x:c r="AF212" s="30" t="str"/>
      <x:c r="AG212" s="30" t="str"/>
      <x:c r="AH212" s="30" t="str">
        <x:v>REP-34</x:v>
      </x:c>
    </x:row>
    <x:row r="213">
      <x:c r="A213" s="19" t="inlineStr">
        <x:is>
          <x:t xml:space="preserve">TK-212</x:t>
        </x:is>
      </x:c>
      <x:c r="B213" s="6" t="inlineStr">
        <x:is>
          <x:t xml:space="preserve">گزارش آزمایش‌های کنترل‌شده، تست‌های A/B و معناداری آماری</x:t>
        </x:is>
      </x:c>
      <x:c r="C213" s="6" t="inlineStr">
        <x:is>
          <x:t xml:space="preserve">Controlled Experimentation &amp; A/B Test Results Report</x:t>
        </x:is>
      </x:c>
      <x:c r="D213" s="6" t="inlineStr">
        <x:is>
          <x:t xml:space="preserve">Report</x:t>
        </x:is>
      </x:c>
      <x:c r="E213" s="6" t="inlineStr">
        <x:is>
          <x:t xml:space="preserve">REP-35</x:t>
        </x:is>
      </x:c>
      <x:c r="F213" s="19" t="inlineStr">
        <x:is>
          <x:t xml:space="preserve">W5</x:t>
        </x:is>
      </x:c>
      <x:c r="G213" s="6" t="inlineStr">
        <x:is>
          <x:t xml:space="preserve">S2</x:t>
        </x:is>
      </x:c>
      <x:c r="H213" s="19" t="inlineStr">
        <x:is>
          <x:t xml:space="preserve">High</x:t>
        </x:is>
      </x:c>
      <x:c r="I213" s="6" t="inlineStr">
        <x:is>
          <x:t xml:space="preserve">Data Analyst</x:t>
        </x:is>
      </x:c>
      <x:c r="J213" s="19" t="n">
        <x:v>4</x:v>
      </x:c>
      <x:c r="K213" s="19" t="n">
        <x:v>2</x:v>
      </x:c>
      <x:c r="L213" s="18" t="n">
        <x:f>J213*2-K213</x:f>
        <x:v>6</x:v>
      </x:c>
      <x:c r="M213" s="6" t="inlineStr">
        <x:is>
          <x:t xml:space="preserve">TK-092..176</x:t>
        </x:is>
      </x:c>
      <x:c r="N213" s="6" t="inlineStr">
        <x:is>
          <x:t xml:space="preserve">گزارش با Bar Chart مقایسه واریانت‌ها هم، تناوب «هفتگی»، کاربران: CRO Specialist، Product Manage</x:t>
        </x:is>
      </x:c>
      <x:c r="O213" s="19" t="inlineStr">
        <x:is>
          <x:t xml:space="preserve">Proposed</x:t>
        </x:is>
      </x:c>
      <x:c r="P213" s="6" t="inlineStr">
        <x:is>
          <x:t xml:space="preserve">Experimentation &amp; Testing</x:t>
        </x:is>
      </x:c>
      <x:c r="Q213" s="30" t="str">
        <x:v>TK-212</x:v>
      </x:c>
      <x:c r="R213" s="30" t="str"/>
      <x:c r="S213" s="30" t="str">
        <x:v>Report</x:v>
      </x:c>
      <x:c r="T213" s="30" t="str">
        <x:v>REP-35</x:v>
      </x:c>
      <x:c r="U213" s="30" t="str">
        <x:v>گزارش آزمایش‌های کنترل‌شده، تست‌های A/B و معناداری آماری</x:v>
      </x:c>
      <x:c r="V213" s="30" t="str">
        <x:v>Pending dependency review</x:v>
      </x:c>
      <x:c r="W213" s="30" t="str">
        <x:v>نیازمند تکمیل و تأیید مالک</x:v>
      </x:c>
      <x:c r="X213" s="30" t="str">
        <x:v>نیازمند تکمیل و تأیید مالک</x:v>
      </x:c>
      <x:c r="Y213" s="30" t="str">
        <x:v>Data Analyst</x:v>
      </x:c>
      <x:c r="Z213" s="30" t="n">
        <x:v>7</x:v>
      </x:c>
      <x:c r="AA213" s="30" t="n">
        <x:v>212</x:v>
      </x:c>
      <x:c r="AB213" s="30" t="str">
        <x:v>گزارش با Bar Chart مقایسه واریانت‌ها هم، تناوب «هفتگی»، کاربران: CRO Specialist، Product Manage</x:v>
      </x:c>
      <x:c r="AC213" s="30" t="str">
        <x:v>نیازمند تکمیل و تأیید مالک</x:v>
      </x:c>
      <x:c r="AD213" s="30" t="str">
        <x:v>نیازمند تکمیل و تأیید مالک</x:v>
      </x:c>
      <x:c r="AE213" s="30" t="str">
        <x:v>گزارش با Bar Chart مقایسه واریانت‌ها هم، تناوب «هفتگی»، کاربران: CRO Specialist، Product Manage</x:v>
      </x:c>
      <x:c r="AF213" s="30" t="str"/>
      <x:c r="AG213" s="30" t="str"/>
      <x:c r="AH213" s="30" t="str">
        <x:v>REP-35</x:v>
      </x:c>
    </x:row>
    <x:row r="214">
      <x:c r="A214" s="17" t="inlineStr">
        <x:is>
          <x:t xml:space="preserve">TK-213</x:t>
        </x:is>
      </x:c>
      <x:c r="B214" s="4" t="inlineStr">
        <x:is>
          <x:t xml:space="preserve">گزارش سلامت ترکینگ، کیفیت تطابق رویدادها و ممیزی داده</x:t>
        </x:is>
      </x:c>
      <x:c r="C214" s="4" t="inlineStr">
        <x:is>
          <x:t xml:space="preserve">Tracking Infrastructure Health &amp; Event Match Quality Report</x:t>
        </x:is>
      </x:c>
      <x:c r="D214" s="4" t="inlineStr">
        <x:is>
          <x:t xml:space="preserve">Report</x:t>
        </x:is>
      </x:c>
      <x:c r="E214" s="4" t="inlineStr">
        <x:is>
          <x:t xml:space="preserve">REP-36</x:t>
        </x:is>
      </x:c>
      <x:c r="F214" s="17" t="inlineStr">
        <x:is>
          <x:t xml:space="preserve">W5</x:t>
        </x:is>
      </x:c>
      <x:c r="G214" s="4" t="inlineStr">
        <x:is>
          <x:t xml:space="preserve">S2</x:t>
        </x:is>
      </x:c>
      <x:c r="H214" s="17" t="inlineStr">
        <x:is>
          <x:t xml:space="preserve">Critical</x:t>
        </x:is>
      </x:c>
      <x:c r="I214" s="4" t="inlineStr">
        <x:is>
          <x:t xml:space="preserve">BI Lead</x:t>
        </x:is>
      </x:c>
      <x:c r="J214" s="17" t="n">
        <x:v>5</x:v>
      </x:c>
      <x:c r="K214" s="17" t="n">
        <x:v>2</x:v>
      </x:c>
      <x:c r="L214" s="18" t="n">
        <x:f>J214*2-K214</x:f>
        <x:v>8</x:v>
      </x:c>
      <x:c r="M214" s="4" t="inlineStr">
        <x:is>
          <x:t xml:space="preserve">TK-092..176</x:t>
        </x:is>
      </x:c>
      <x:c r="N214" s="4" t="inlineStr">
        <x:is>
          <x:t xml:space="preserve">گزارش با Status Heatmap رویدادها (سالم/، تناوب «روزانه»، کاربران: AI/Data Engineer، Analytics Le</x:t>
        </x:is>
      </x:c>
      <x:c r="O214" s="17" t="inlineStr">
        <x:is>
          <x:t xml:space="preserve">Proposed</x:t>
        </x:is>
      </x:c>
      <x:c r="P214" s="4" t="inlineStr">
        <x:is>
          <x:t xml:space="preserve">Tracking Health</x:t>
        </x:is>
      </x:c>
      <x:c r="Q214" s="30" t="str">
        <x:v>TK-213</x:v>
      </x:c>
      <x:c r="R214" s="30" t="str"/>
      <x:c r="S214" s="30" t="str">
        <x:v>Report</x:v>
      </x:c>
      <x:c r="T214" s="30" t="str">
        <x:v>REP-36</x:v>
      </x:c>
      <x:c r="U214" s="30" t="str">
        <x:v>گزارش سلامت ترکینگ، کیفیت تطابق رویدادها و ممیزی داده</x:v>
      </x:c>
      <x:c r="V214" s="30" t="str">
        <x:v>Pending dependency review</x:v>
      </x:c>
      <x:c r="W214" s="30" t="str">
        <x:v>نیازمند تکمیل و تأیید مالک</x:v>
      </x:c>
      <x:c r="X214" s="30" t="str">
        <x:v>نیازمند تکمیل و تأیید مالک</x:v>
      </x:c>
      <x:c r="Y214" s="30" t="str">
        <x:v>BI Lead</x:v>
      </x:c>
      <x:c r="Z214" s="30" t="n">
        <x:v>7</x:v>
      </x:c>
      <x:c r="AA214" s="30" t="n">
        <x:v>213</x:v>
      </x:c>
      <x:c r="AB214" s="30" t="str">
        <x:v>گزارش با Status Heatmap رویدادها (سالم/، تناوب «روزانه»، کاربران: AI/Data Engineer، Analytics Le</x:v>
      </x:c>
      <x:c r="AC214" s="30" t="str">
        <x:v>نیازمند تکمیل و تأیید مالک</x:v>
      </x:c>
      <x:c r="AD214" s="30" t="str">
        <x:v>نیازمند تکمیل و تأیید مالک</x:v>
      </x:c>
      <x:c r="AE214" s="30" t="str">
        <x:v>گزارش با Status Heatmap رویدادها (سالم/، تناوب «روزانه»، کاربران: AI/Data Engineer، Analytics Le</x:v>
      </x:c>
      <x:c r="AF214" s="30" t="str"/>
      <x:c r="AG214" s="30" t="str"/>
      <x:c r="AH214" s="30" t="str">
        <x:v>REP-36</x:v>
      </x:c>
    </x:row>
    <x:row r="215">
      <x:c r="A215" s="19" t="inlineStr">
        <x:is>
          <x:t xml:space="preserve">TK-214</x:t>
        </x:is>
      </x:c>
      <x:c r="B215" s="6" t="inlineStr">
        <x:is>
          <x:t xml:space="preserve">فید فوری هشدارهای ناهنجاری و خطاهای سیستمی</x:t>
        </x:is>
      </x:c>
      <x:c r="C215" s="6" t="inlineStr">
        <x:is>
          <x:t xml:space="preserve">Real-Time Marketing Anomaly &amp; Alert Log Feed</x:t>
        </x:is>
      </x:c>
      <x:c r="D215" s="6" t="inlineStr">
        <x:is>
          <x:t xml:space="preserve">Report</x:t>
        </x:is>
      </x:c>
      <x:c r="E215" s="6" t="inlineStr">
        <x:is>
          <x:t xml:space="preserve">REP-37</x:t>
        </x:is>
      </x:c>
      <x:c r="F215" s="19" t="inlineStr">
        <x:is>
          <x:t xml:space="preserve">W5</x:t>
        </x:is>
      </x:c>
      <x:c r="G215" s="6" t="inlineStr">
        <x:is>
          <x:t xml:space="preserve">S2</x:t>
        </x:is>
      </x:c>
      <x:c r="H215" s="19" t="inlineStr">
        <x:is>
          <x:t xml:space="preserve">Critical</x:t>
        </x:is>
      </x:c>
      <x:c r="I215" s="6" t="inlineStr">
        <x:is>
          <x:t xml:space="preserve">BI Lead</x:t>
        </x:is>
      </x:c>
      <x:c r="J215" s="19" t="n">
        <x:v>5</x:v>
      </x:c>
      <x:c r="K215" s="19" t="n">
        <x:v>2</x:v>
      </x:c>
      <x:c r="L215" s="18" t="n">
        <x:f>J215*2-K215</x:f>
        <x:v>8</x:v>
      </x:c>
      <x:c r="M215" s="6" t="inlineStr">
        <x:is>
          <x:t xml:space="preserve">TK-092..176</x:t>
        </x:is>
      </x:c>
      <x:c r="N215" s="6" t="inlineStr">
        <x:is>
          <x:t xml:space="preserve">گزارش با Alert Feed List، شمارنده حوادث، تناوب «Real-time»، کاربران: تمام تیم‌های پرفورمنس مارکتینگ</x:t>
        </x:is>
      </x:c>
      <x:c r="O215" s="19" t="inlineStr">
        <x:is>
          <x:t xml:space="preserve">Proposed</x:t>
        </x:is>
      </x:c>
      <x:c r="P215" s="6" t="inlineStr">
        <x:is>
          <x:t xml:space="preserve">Marketing Alerts</x:t>
        </x:is>
      </x:c>
      <x:c r="Q215" s="30" t="str">
        <x:v>TK-214</x:v>
      </x:c>
      <x:c r="R215" s="30" t="str"/>
      <x:c r="S215" s="30" t="str">
        <x:v>Report</x:v>
      </x:c>
      <x:c r="T215" s="30" t="str">
        <x:v>REP-37</x:v>
      </x:c>
      <x:c r="U215" s="30" t="str">
        <x:v>فید فوری هشدارهای ناهنجاری و خطاهای سیستمی</x:v>
      </x:c>
      <x:c r="V215" s="30" t="str">
        <x:v>Pending dependency review</x:v>
      </x:c>
      <x:c r="W215" s="30" t="str">
        <x:v>نیازمند تکمیل و تأیید مالک</x:v>
      </x:c>
      <x:c r="X215" s="30" t="str">
        <x:v>نیازمند تکمیل و تأیید مالک</x:v>
      </x:c>
      <x:c r="Y215" s="30" t="str">
        <x:v>BI Lead</x:v>
      </x:c>
      <x:c r="Z215" s="30" t="n">
        <x:v>7</x:v>
      </x:c>
      <x:c r="AA215" s="30" t="n">
        <x:v>214</x:v>
      </x:c>
      <x:c r="AB215" s="30" t="str">
        <x:v>گزارش با Alert Feed List، شمارنده حوادث، تناوب «Real-time»، کاربران: تمام تیم‌های پرفورمنس مارکتینگ</x:v>
      </x:c>
      <x:c r="AC215" s="30" t="str">
        <x:v>نیازمند تکمیل و تأیید مالک</x:v>
      </x:c>
      <x:c r="AD215" s="30" t="str">
        <x:v>نیازمند تکمیل و تأیید مالک</x:v>
      </x:c>
      <x:c r="AE215" s="30" t="str">
        <x:v>گزارش با Alert Feed List، شمارنده حوادث، تناوب «Real-time»، کاربران: تمام تیم‌های پرفورمنس مارکتینگ</x:v>
      </x:c>
      <x:c r="AF215" s="30" t="str"/>
      <x:c r="AG215" s="30" t="str"/>
      <x:c r="AH215" s="30" t="str">
        <x:v>REP-37</x:v>
      </x:c>
    </x:row>
    <x:row r="216">
      <x:c r="A216" s="17" t="inlineStr">
        <x:is>
          <x:t xml:space="preserve">TK-215</x:t>
        </x:is>
      </x:c>
      <x:c r="B216" s="4" t="inlineStr">
        <x:is>
          <x:t xml:space="preserve">گزارش دیده‌بانی رقبا، قیمت‌گذاری بازار و سهم سرچ</x:t>
        </x:is>
      </x:c>
      <x:c r="C216" s="4" t="inlineStr">
        <x:is>
          <x:t xml:space="preserve">Dental Market Competitive Intelligence &amp; SERP Share Report</x:t>
        </x:is>
      </x:c>
      <x:c r="D216" s="4" t="inlineStr">
        <x:is>
          <x:t xml:space="preserve">Report</x:t>
        </x:is>
      </x:c>
      <x:c r="E216" s="4" t="inlineStr">
        <x:is>
          <x:t xml:space="preserve">REP-38</x:t>
        </x:is>
      </x:c>
      <x:c r="F216" s="17" t="inlineStr">
        <x:is>
          <x:t xml:space="preserve">W5</x:t>
        </x:is>
      </x:c>
      <x:c r="G216" s="4" t="inlineStr">
        <x:is>
          <x:t xml:space="preserve">S2</x:t>
        </x:is>
      </x:c>
      <x:c r="H216" s="17" t="inlineStr">
        <x:is>
          <x:t xml:space="preserve">High</x:t>
        </x:is>
      </x:c>
      <x:c r="I216" s="4" t="inlineStr">
        <x:is>
          <x:t xml:space="preserve">Data Analyst</x:t>
        </x:is>
      </x:c>
      <x:c r="J216" s="17" t="n">
        <x:v>4</x:v>
      </x:c>
      <x:c r="K216" s="17" t="n">
        <x:v>2</x:v>
      </x:c>
      <x:c r="L216" s="18" t="n">
        <x:f>J216*2-K216</x:f>
        <x:v>6</x:v>
      </x:c>
      <x:c r="M216" s="4" t="inlineStr">
        <x:is>
          <x:t xml:space="preserve">TK-092..176</x:t>
        </x:is>
      </x:c>
      <x:c r="N216" s="4" t="inlineStr">
        <x:is>
          <x:t xml:space="preserve">گزارش با Radar Chart مقایسه موقعیت با ر، تناوب «هفتگی»، کاربران: Marketing Strategist، Category</x:t>
        </x:is>
      </x:c>
      <x:c r="O216" s="17" t="inlineStr">
        <x:is>
          <x:t xml:space="preserve">Proposed</x:t>
        </x:is>
      </x:c>
      <x:c r="P216" s="4" t="inlineStr">
        <x:is>
          <x:t xml:space="preserve">Competitor Intelligence</x:t>
        </x:is>
      </x:c>
      <x:c r="Q216" s="30" t="str">
        <x:v>TK-215</x:v>
      </x:c>
      <x:c r="R216" s="30" t="str"/>
      <x:c r="S216" s="30" t="str">
        <x:v>Report</x:v>
      </x:c>
      <x:c r="T216" s="30" t="str">
        <x:v>REP-38</x:v>
      </x:c>
      <x:c r="U216" s="30" t="str">
        <x:v>گزارش دیده‌بانی رقبا، قیمت‌گذاری بازار و سهم سرچ</x:v>
      </x:c>
      <x:c r="V216" s="30" t="str">
        <x:v>Pending dependency review</x:v>
      </x:c>
      <x:c r="W216" s="30" t="str">
        <x:v>نیازمند تکمیل و تأیید مالک</x:v>
      </x:c>
      <x:c r="X216" s="30" t="str">
        <x:v>نیازمند تکمیل و تأیید مالک</x:v>
      </x:c>
      <x:c r="Y216" s="30" t="str">
        <x:v>Data Analyst</x:v>
      </x:c>
      <x:c r="Z216" s="30" t="n">
        <x:v>7</x:v>
      </x:c>
      <x:c r="AA216" s="30" t="n">
        <x:v>215</x:v>
      </x:c>
      <x:c r="AB216" s="30" t="str">
        <x:v>گزارش با Radar Chart مقایسه موقعیت با ر، تناوب «هفتگی»، کاربران: Marketing Strategist، Category</x:v>
      </x:c>
      <x:c r="AC216" s="30" t="str">
        <x:v>نیازمند تکمیل و تأیید مالک</x:v>
      </x:c>
      <x:c r="AD216" s="30" t="str">
        <x:v>نیازمند تکمیل و تأیید مالک</x:v>
      </x:c>
      <x:c r="AE216" s="30" t="str">
        <x:v>گزارش با Radar Chart مقایسه موقعیت با ر، تناوب «هفتگی»، کاربران: Marketing Strategist، Category</x:v>
      </x:c>
      <x:c r="AF216" s="30" t="str"/>
      <x:c r="AG216" s="30" t="str"/>
      <x:c r="AH216" s="30" t="str">
        <x:v>REP-38</x:v>
      </x:c>
    </x:row>
    <x:row r="217">
      <x:c r="A217" s="19" t="inlineStr">
        <x:is>
          <x:t xml:space="preserve">TK-216</x:t>
        </x:is>
      </x:c>
      <x:c r="B217" s="6" t="inlineStr">
        <x:is>
          <x:t xml:space="preserve">گزارش عملکرد جغرافیایی، استانی و لیفت منطقه‌ای</x:t>
        </x:is>
      </x:c>
      <x:c r="C217" s="6" t="inlineStr">
        <x:is>
          <x:t xml:space="preserve">Territorial Regional Sales &amp; Geo-Performance Report</x:t>
        </x:is>
      </x:c>
      <x:c r="D217" s="6" t="inlineStr">
        <x:is>
          <x:t xml:space="preserve">Report</x:t>
        </x:is>
      </x:c>
      <x:c r="E217" s="6" t="inlineStr">
        <x:is>
          <x:t xml:space="preserve">REP-39</x:t>
        </x:is>
      </x:c>
      <x:c r="F217" s="19" t="inlineStr">
        <x:is>
          <x:t xml:space="preserve">W5</x:t>
        </x:is>
      </x:c>
      <x:c r="G217" s="6" t="inlineStr">
        <x:is>
          <x:t xml:space="preserve">S2</x:t>
        </x:is>
      </x:c>
      <x:c r="H217" s="19" t="inlineStr">
        <x:is>
          <x:t xml:space="preserve">High</x:t>
        </x:is>
      </x:c>
      <x:c r="I217" s="6" t="inlineStr">
        <x:is>
          <x:t xml:space="preserve">Data Analyst</x:t>
        </x:is>
      </x:c>
      <x:c r="J217" s="19" t="n">
        <x:v>4</x:v>
      </x:c>
      <x:c r="K217" s="19" t="n">
        <x:v>2</x:v>
      </x:c>
      <x:c r="L217" s="18" t="n">
        <x:f>J217*2-K217</x:f>
        <x:v>6</x:v>
      </x:c>
      <x:c r="M217" s="6" t="inlineStr">
        <x:is>
          <x:t xml:space="preserve">TK-092..176</x:t>
        </x:is>
      </x:c>
      <x:c r="N217" s="6" t="inlineStr">
        <x:is>
          <x:t xml:space="preserve">گزارش با Choropleth Map نقشه حرارتی جغر، تناوب «ماهانه»، کاربران: Sales Director، Performance Ma</x:t>
        </x:is>
      </x:c>
      <x:c r="O217" s="19" t="inlineStr">
        <x:is>
          <x:t xml:space="preserve">Proposed</x:t>
        </x:is>
      </x:c>
      <x:c r="P217" s="6" t="inlineStr">
        <x:is>
          <x:t xml:space="preserve">Geographic Performance</x:t>
        </x:is>
      </x:c>
      <x:c r="Q217" s="30" t="str">
        <x:v>TK-216</x:v>
      </x:c>
      <x:c r="R217" s="30" t="str"/>
      <x:c r="S217" s="30" t="str">
        <x:v>Report</x:v>
      </x:c>
      <x:c r="T217" s="30" t="str">
        <x:v>REP-39</x:v>
      </x:c>
      <x:c r="U217" s="30" t="str">
        <x:v>گزارش عملکرد جغرافیایی، استانی و لیفت منطقه‌ای</x:v>
      </x:c>
      <x:c r="V217" s="30" t="str">
        <x:v>Pending dependency review</x:v>
      </x:c>
      <x:c r="W217" s="30" t="str">
        <x:v>نیازمند تکمیل و تأیید مالک</x:v>
      </x:c>
      <x:c r="X217" s="30" t="str">
        <x:v>نیازمند تکمیل و تأیید مالک</x:v>
      </x:c>
      <x:c r="Y217" s="30" t="str">
        <x:v>Data Analyst</x:v>
      </x:c>
      <x:c r="Z217" s="30" t="n">
        <x:v>7</x:v>
      </x:c>
      <x:c r="AA217" s="30" t="n">
        <x:v>216</x:v>
      </x:c>
      <x:c r="AB217" s="30" t="str">
        <x:v>گزارش با Choropleth Map نقشه حرارتی جغر، تناوب «ماهانه»، کاربران: Sales Director، Performance Ma</x:v>
      </x:c>
      <x:c r="AC217" s="30" t="str">
        <x:v>نیازمند تکمیل و تأیید مالک</x:v>
      </x:c>
      <x:c r="AD217" s="30" t="str">
        <x:v>نیازمند تکمیل و تأیید مالک</x:v>
      </x:c>
      <x:c r="AE217" s="30" t="str">
        <x:v>گزارش با Choropleth Map نقشه حرارتی جغر، تناوب «ماهانه»، کاربران: Sales Director، Performance Ma</x:v>
      </x:c>
      <x:c r="AF217" s="30" t="str"/>
      <x:c r="AG217" s="30" t="str"/>
      <x:c r="AH217" s="30" t="str">
        <x:v>REP-39</x:v>
      </x:c>
    </x:row>
    <x:row r="218">
      <x:c r="A218" s="17" t="inlineStr">
        <x:is>
          <x:t xml:space="preserve">TK-217</x:t>
        </x:is>
      </x:c>
      <x:c r="B218" s="4" t="inlineStr">
        <x:is>
          <x:t xml:space="preserve">گزارش رده دستگاه‌ها، سیستم‌های عامل و پایداری شبکه</x:t>
        </x:is>
      </x:c>
      <x:c r="C218" s="4" t="inlineStr">
        <x:is>
          <x:t xml:space="preserve">Device Category, Platform &amp; Infrastructure Tech Report</x:t>
        </x:is>
      </x:c>
      <x:c r="D218" s="4" t="inlineStr">
        <x:is>
          <x:t xml:space="preserve">Report</x:t>
        </x:is>
      </x:c>
      <x:c r="E218" s="4" t="inlineStr">
        <x:is>
          <x:t xml:space="preserve">REP-40</x:t>
        </x:is>
      </x:c>
      <x:c r="F218" s="17" t="inlineStr">
        <x:is>
          <x:t xml:space="preserve">W5</x:t>
        </x:is>
      </x:c>
      <x:c r="G218" s="4" t="inlineStr">
        <x:is>
          <x:t xml:space="preserve">S2</x:t>
        </x:is>
      </x:c>
      <x:c r="H218" s="17" t="inlineStr">
        <x:is>
          <x:t xml:space="preserve">Medium</x:t>
        </x:is>
      </x:c>
      <x:c r="I218" s="4" t="inlineStr">
        <x:is>
          <x:t xml:space="preserve">Data Analyst</x:t>
        </x:is>
      </x:c>
      <x:c r="J218" s="17" t="n">
        <x:v>3</x:v>
      </x:c>
      <x:c r="K218" s="17" t="n">
        <x:v>2</x:v>
      </x:c>
      <x:c r="L218" s="18" t="n">
        <x:f>J218*2-K218</x:f>
        <x:v>4</x:v>
      </x:c>
      <x:c r="M218" s="4" t="inlineStr">
        <x:is>
          <x:t xml:space="preserve">TK-092..176</x:t>
        </x:is>
      </x:c>
      <x:c r="N218" s="4" t="inlineStr">
        <x:is>
          <x:t xml:space="preserve">گزارش با Donut Chart سهم سیستم‌های عامل، تناوب «ماهانه»، کاربران: Web Analyst، Frontend Develope</x:t>
        </x:is>
      </x:c>
      <x:c r="O218" s="17" t="inlineStr">
        <x:is>
          <x:t xml:space="preserve">Proposed</x:t>
        </x:is>
      </x:c>
      <x:c r="P218" s="4" t="inlineStr">
        <x:is>
          <x:t xml:space="preserve">Device &amp; Technology</x:t>
        </x:is>
      </x:c>
      <x:c r="Q218" s="30" t="str">
        <x:v>TK-217</x:v>
      </x:c>
      <x:c r="R218" s="30" t="str"/>
      <x:c r="S218" s="30" t="str">
        <x:v>Report</x:v>
      </x:c>
      <x:c r="T218" s="30" t="str">
        <x:v>REP-40</x:v>
      </x:c>
      <x:c r="U218" s="30" t="str">
        <x:v>گزارش رده دستگاه‌ها، سیستم‌های عامل و پایداری شبکه</x:v>
      </x:c>
      <x:c r="V218" s="30" t="str">
        <x:v>Pending dependency review</x:v>
      </x:c>
      <x:c r="W218" s="30" t="str">
        <x:v>نیازمند تکمیل و تأیید مالک</x:v>
      </x:c>
      <x:c r="X218" s="30" t="str">
        <x:v>نیازمند تکمیل و تأیید مالک</x:v>
      </x:c>
      <x:c r="Y218" s="30" t="str">
        <x:v>Data Analyst</x:v>
      </x:c>
      <x:c r="Z218" s="30" t="n">
        <x:v>7</x:v>
      </x:c>
      <x:c r="AA218" s="30" t="n">
        <x:v>217</x:v>
      </x:c>
      <x:c r="AB218" s="30" t="str">
        <x:v>گزارش با Donut Chart سهم سیستم‌های عامل، تناوب «ماهانه»، کاربران: Web Analyst، Frontend Develope</x:v>
      </x:c>
      <x:c r="AC218" s="30" t="str">
        <x:v>نیازمند تکمیل و تأیید مالک</x:v>
      </x:c>
      <x:c r="AD218" s="30" t="str">
        <x:v>نیازمند تکمیل و تأیید مالک</x:v>
      </x:c>
      <x:c r="AE218" s="30" t="str">
        <x:v>گزارش با Donut Chart سهم سیستم‌های عامل، تناوب «ماهانه»، کاربران: Web Analyst، Frontend Develope</x:v>
      </x:c>
      <x:c r="AF218" s="30" t="str"/>
      <x:c r="AG218" s="30" t="str"/>
      <x:c r="AH218" s="30" t="str">
        <x:v>REP-40</x:v>
      </x:c>
    </x:row>
    <x:row r="219">
      <x:c r="A219" s="19" t="inlineStr">
        <x:is>
          <x:t xml:space="preserve">TK-218</x:t>
        </x:is>
      </x:c>
      <x:c r="B219" s="6" t="inlineStr">
        <x:is>
          <x:t xml:space="preserve">گزارش عملکرد زمانی، ساعات شبانه‌روز و روزهای هفته</x:t>
        </x:is>
      </x:c>
      <x:c r="C219" s="6" t="inlineStr">
        <x:is>
          <x:t xml:space="preserve">Dayparting, Day-of-Week &amp; Operational Timing Report</x:t>
        </x:is>
      </x:c>
      <x:c r="D219" s="6" t="inlineStr">
        <x:is>
          <x:t xml:space="preserve">Report</x:t>
        </x:is>
      </x:c>
      <x:c r="E219" s="6" t="inlineStr">
        <x:is>
          <x:t xml:space="preserve">REP-41</x:t>
        </x:is>
      </x:c>
      <x:c r="F219" s="19" t="inlineStr">
        <x:is>
          <x:t xml:space="preserve">W5</x:t>
        </x:is>
      </x:c>
      <x:c r="G219" s="6" t="inlineStr">
        <x:is>
          <x:t xml:space="preserve">S2</x:t>
        </x:is>
      </x:c>
      <x:c r="H219" s="19" t="inlineStr">
        <x:is>
          <x:t xml:space="preserve">High</x:t>
        </x:is>
      </x:c>
      <x:c r="I219" s="6" t="inlineStr">
        <x:is>
          <x:t xml:space="preserve">Data Analyst</x:t>
        </x:is>
      </x:c>
      <x:c r="J219" s="19" t="n">
        <x:v>4</x:v>
      </x:c>
      <x:c r="K219" s="19" t="n">
        <x:v>2</x:v>
      </x:c>
      <x:c r="L219" s="18" t="n">
        <x:f>J219*2-K219</x:f>
        <x:v>6</x:v>
      </x:c>
      <x:c r="M219" s="6" t="inlineStr">
        <x:is>
          <x:t xml:space="preserve">TK-092..176</x:t>
        </x:is>
      </x:c>
      <x:c r="N219" s="6" t="inlineStr">
        <x:is>
          <x:t xml:space="preserve">گزارش با Heatmap 24x7 ساعات شبانه‌روز د، تناوب «هفتگی»، کاربران: Performance Marketer، Sales Su</x:t>
        </x:is>
      </x:c>
      <x:c r="O219" s="19" t="inlineStr">
        <x:is>
          <x:t xml:space="preserve">Proposed</x:t>
        </x:is>
      </x:c>
      <x:c r="P219" s="6" t="inlineStr">
        <x:is>
          <x:t xml:space="preserve">Time-Based Performance</x:t>
        </x:is>
      </x:c>
      <x:c r="Q219" s="30" t="str">
        <x:v>TK-218</x:v>
      </x:c>
      <x:c r="R219" s="30" t="str"/>
      <x:c r="S219" s="30" t="str">
        <x:v>Report</x:v>
      </x:c>
      <x:c r="T219" s="30" t="str">
        <x:v>REP-41</x:v>
      </x:c>
      <x:c r="U219" s="30" t="str">
        <x:v>گزارش عملکرد زمانی، ساعات شبانه‌روز و روزهای هفته</x:v>
      </x:c>
      <x:c r="V219" s="30" t="str">
        <x:v>Pending dependency review</x:v>
      </x:c>
      <x:c r="W219" s="30" t="str">
        <x:v>نیازمند تکمیل و تأیید مالک</x:v>
      </x:c>
      <x:c r="X219" s="30" t="str">
        <x:v>نیازمند تکمیل و تأیید مالک</x:v>
      </x:c>
      <x:c r="Y219" s="30" t="str">
        <x:v>Data Analyst</x:v>
      </x:c>
      <x:c r="Z219" s="30" t="n">
        <x:v>7</x:v>
      </x:c>
      <x:c r="AA219" s="30" t="n">
        <x:v>218</x:v>
      </x:c>
      <x:c r="AB219" s="30" t="str">
        <x:v>گزارش با Heatmap 24x7 ساعات شبانه‌روز د، تناوب «هفتگی»، کاربران: Performance Marketer، Sales Su</x:v>
      </x:c>
      <x:c r="AC219" s="30" t="str">
        <x:v>نیازمند تکمیل و تأیید مالک</x:v>
      </x:c>
      <x:c r="AD219" s="30" t="str">
        <x:v>نیازمند تکمیل و تأیید مالک</x:v>
      </x:c>
      <x:c r="AE219" s="30" t="str">
        <x:v>گزارش با Heatmap 24x7 ساعات شبانه‌روز د، تناوب «هفتگی»، کاربران: Performance Marketer، Sales Su</x:v>
      </x:c>
      <x:c r="AF219" s="30" t="str"/>
      <x:c r="AG219" s="30" t="str"/>
      <x:c r="AH219" s="30" t="str">
        <x:v>REP-41</x:v>
      </x:c>
    </x:row>
    <x:row r="220">
      <x:c r="A220" s="17" t="inlineStr">
        <x:is>
          <x:t xml:space="preserve">TK-219</x:t>
        </x:is>
      </x:c>
      <x:c r="B220" s="4" t="inlineStr">
        <x:is>
          <x:t xml:space="preserve">گزارش بازاریابی هوشمند متصل به موجودی انبار</x:t>
        </x:is>
      </x:c>
      <x:c r="C220" s="4" t="inlineStr">
        <x:is>
          <x:t xml:space="preserve">Inventory-Aware Ad Bidding &amp; Stockout Wastage Report</x:t>
        </x:is>
      </x:c>
      <x:c r="D220" s="4" t="inlineStr">
        <x:is>
          <x:t xml:space="preserve">Report</x:t>
        </x:is>
      </x:c>
      <x:c r="E220" s="4" t="inlineStr">
        <x:is>
          <x:t xml:space="preserve">REP-42</x:t>
        </x:is>
      </x:c>
      <x:c r="F220" s="17" t="inlineStr">
        <x:is>
          <x:t xml:space="preserve">W5</x:t>
        </x:is>
      </x:c>
      <x:c r="G220" s="4" t="inlineStr">
        <x:is>
          <x:t xml:space="preserve">S2</x:t>
        </x:is>
      </x:c>
      <x:c r="H220" s="17" t="inlineStr">
        <x:is>
          <x:t xml:space="preserve">Critical</x:t>
        </x:is>
      </x:c>
      <x:c r="I220" s="4" t="inlineStr">
        <x:is>
          <x:t xml:space="preserve">BI Lead</x:t>
        </x:is>
      </x:c>
      <x:c r="J220" s="17" t="n">
        <x:v>5</x:v>
      </x:c>
      <x:c r="K220" s="17" t="n">
        <x:v>2</x:v>
      </x:c>
      <x:c r="L220" s="18" t="n">
        <x:f>J220*2-K220</x:f>
        <x:v>8</x:v>
      </x:c>
      <x:c r="M220" s="4" t="inlineStr">
        <x:is>
          <x:t xml:space="preserve">TK-092..176</x:t>
        </x:is>
      </x:c>
      <x:c r="N220" s="4" t="inlineStr">
        <x:is>
          <x:t xml:space="preserve">گزارش با Alert Table اقلام بحرانی، Gaug، تناوب «روزانه»، کاربران: Performance Marketer، Warehous</x:t>
        </x:is>
      </x:c>
      <x:c r="O220" s="17" t="inlineStr">
        <x:is>
          <x:t xml:space="preserve">Proposed</x:t>
        </x:is>
      </x:c>
      <x:c r="P220" s="4" t="inlineStr">
        <x:is>
          <x:t xml:space="preserve">Inventory-Aware Marketing</x:t>
        </x:is>
      </x:c>
      <x:c r="Q220" s="30" t="str">
        <x:v>TK-219</x:v>
      </x:c>
      <x:c r="R220" s="30" t="str"/>
      <x:c r="S220" s="30" t="str">
        <x:v>Report</x:v>
      </x:c>
      <x:c r="T220" s="30" t="str">
        <x:v>REP-42</x:v>
      </x:c>
      <x:c r="U220" s="30" t="str">
        <x:v>گزارش بازاریابی هوشمند متصل به موجودی انبار</x:v>
      </x:c>
      <x:c r="V220" s="30" t="str">
        <x:v>Pending dependency review</x:v>
      </x:c>
      <x:c r="W220" s="30" t="str">
        <x:v>نیازمند تکمیل و تأیید مالک</x:v>
      </x:c>
      <x:c r="X220" s="30" t="str">
        <x:v>نیازمند تکمیل و تأیید مالک</x:v>
      </x:c>
      <x:c r="Y220" s="30" t="str">
        <x:v>BI Lead</x:v>
      </x:c>
      <x:c r="Z220" s="30" t="n">
        <x:v>7</x:v>
      </x:c>
      <x:c r="AA220" s="30" t="n">
        <x:v>219</x:v>
      </x:c>
      <x:c r="AB220" s="30" t="str">
        <x:v>گزارش با Alert Table اقلام بحرانی، Gaug، تناوب «روزانه»، کاربران: Performance Marketer، Warehous</x:v>
      </x:c>
      <x:c r="AC220" s="30" t="str">
        <x:v>نیازمند تکمیل و تأیید مالک</x:v>
      </x:c>
      <x:c r="AD220" s="30" t="str">
        <x:v>نیازمند تکمیل و تأیید مالک</x:v>
      </x:c>
      <x:c r="AE220" s="30" t="str">
        <x:v>گزارش با Alert Table اقلام بحرانی، Gaug، تناوب «روزانه»، کاربران: Performance Marketer، Warehous</x:v>
      </x:c>
      <x:c r="AF220" s="30" t="str"/>
      <x:c r="AG220" s="30" t="str"/>
      <x:c r="AH220" s="30" t="str">
        <x:v>REP-42</x:v>
      </x:c>
    </x:row>
    <x:row r="221">
      <x:c r="A221" s="19" t="inlineStr">
        <x:is>
          <x:t xml:space="preserve">TK-220</x:t>
        </x:is>
      </x:c>
      <x:c r="B221" s="6" t="inlineStr">
        <x:is>
          <x:t xml:space="preserve">گزارش کشش قیمتی، اثربخشی تخفیف‌ها و جشنواره‌ها</x:t>
        </x:is>
      </x:c>
      <x:c r="C221" s="6" t="inlineStr">
        <x:is>
          <x:t xml:space="preserve">Promotional Campaign Effectiveness &amp; Margin Erosion Report</x:t>
        </x:is>
      </x:c>
      <x:c r="D221" s="6" t="inlineStr">
        <x:is>
          <x:t xml:space="preserve">Report</x:t>
        </x:is>
      </x:c>
      <x:c r="E221" s="6" t="inlineStr">
        <x:is>
          <x:t xml:space="preserve">REP-43</x:t>
        </x:is>
      </x:c>
      <x:c r="F221" s="19" t="inlineStr">
        <x:is>
          <x:t xml:space="preserve">W5</x:t>
        </x:is>
      </x:c>
      <x:c r="G221" s="6" t="inlineStr">
        <x:is>
          <x:t xml:space="preserve">S2</x:t>
        </x:is>
      </x:c>
      <x:c r="H221" s="19" t="inlineStr">
        <x:is>
          <x:t xml:space="preserve">High</x:t>
        </x:is>
      </x:c>
      <x:c r="I221" s="6" t="inlineStr">
        <x:is>
          <x:t xml:space="preserve">Data Analyst</x:t>
        </x:is>
      </x:c>
      <x:c r="J221" s="19" t="n">
        <x:v>4</x:v>
      </x:c>
      <x:c r="K221" s="19" t="n">
        <x:v>2</x:v>
      </x:c>
      <x:c r="L221" s="18" t="n">
        <x:f>J221*2-K221</x:f>
        <x:v>6</x:v>
      </x:c>
      <x:c r="M221" s="6" t="inlineStr">
        <x:is>
          <x:t xml:space="preserve">TK-092..176</x:t>
        </x:is>
      </x:c>
      <x:c r="N221" s="6" t="inlineStr">
        <x:is>
          <x:t xml:space="preserve">گزارش با Waterfall Chart فرسایش سود ناش، تناوب «ماهانه»، کاربران: Pricing Strategist، CMO، CFO</x:t>
        </x:is>
      </x:c>
      <x:c r="O221" s="19" t="inlineStr">
        <x:is>
          <x:t xml:space="preserve">Proposed</x:t>
        </x:is>
      </x:c>
      <x:c r="P221" s="6" t="inlineStr">
        <x:is>
          <x:t xml:space="preserve">Pricing &amp; Promotions</x:t>
        </x:is>
      </x:c>
      <x:c r="Q221" s="30" t="str">
        <x:v>TK-220</x:v>
      </x:c>
      <x:c r="R221" s="30" t="str"/>
      <x:c r="S221" s="30" t="str">
        <x:v>Report</x:v>
      </x:c>
      <x:c r="T221" s="30" t="str">
        <x:v>REP-43</x:v>
      </x:c>
      <x:c r="U221" s="30" t="str">
        <x:v>گزارش کشش قیمتی، اثربخشی تخفیف‌ها و جشنواره‌ها</x:v>
      </x:c>
      <x:c r="V221" s="30" t="str">
        <x:v>Pending dependency review</x:v>
      </x:c>
      <x:c r="W221" s="30" t="str">
        <x:v>نیازمند تکمیل و تأیید مالک</x:v>
      </x:c>
      <x:c r="X221" s="30" t="str">
        <x:v>نیازمند تکمیل و تأیید مالک</x:v>
      </x:c>
      <x:c r="Y221" s="30" t="str">
        <x:v>Data Analyst</x:v>
      </x:c>
      <x:c r="Z221" s="30" t="n">
        <x:v>7</x:v>
      </x:c>
      <x:c r="AA221" s="30" t="n">
        <x:v>220</x:v>
      </x:c>
      <x:c r="AB221" s="30" t="str">
        <x:v>گزارش با Waterfall Chart فرسایش سود ناش، تناوب «ماهانه»، کاربران: Pricing Strategist، CMO، CFO</x:v>
      </x:c>
      <x:c r="AC221" s="30" t="str">
        <x:v>نیازمند تکمیل و تأیید مالک</x:v>
      </x:c>
      <x:c r="AD221" s="30" t="str">
        <x:v>نیازمند تکمیل و تأیید مالک</x:v>
      </x:c>
      <x:c r="AE221" s="30" t="str">
        <x:v>گزارش با Waterfall Chart فرسایش سود ناش، تناوب «ماهانه»، کاربران: Pricing Strategist، CMO، CFO</x:v>
      </x:c>
      <x:c r="AF221" s="30" t="str"/>
      <x:c r="AG221" s="30" t="str"/>
      <x:c r="AH221" s="30" t="str">
        <x:v>REP-43</x:v>
      </x:c>
    </x:row>
    <x:row r="222">
      <x:c r="A222" s="17" t="inlineStr">
        <x:is>
          <x:t xml:space="preserve">TK-221</x:t>
        </x:is>
      </x:c>
      <x:c r="B222" s="4" t="inlineStr">
        <x:is>
          <x:t xml:space="preserve">گزارش سفر چندکاناله آنلاین به آفلاین لیدهای کلینیکی</x:t>
        </x:is>
      </x:c>
      <x:c r="C222" s="4" t="inlineStr">
        <x:is>
          <x:t xml:space="preserve">Omnichannel Path-to-Purchase &amp; Lead Touchpoints Report</x:t>
        </x:is>
      </x:c>
      <x:c r="D222" s="4" t="inlineStr">
        <x:is>
          <x:t xml:space="preserve">Report</x:t>
        </x:is>
      </x:c>
      <x:c r="E222" s="4" t="inlineStr">
        <x:is>
          <x:t xml:space="preserve">REP-44</x:t>
        </x:is>
      </x:c>
      <x:c r="F222" s="17" t="inlineStr">
        <x:is>
          <x:t xml:space="preserve">W5</x:t>
        </x:is>
      </x:c>
      <x:c r="G222" s="4" t="inlineStr">
        <x:is>
          <x:t xml:space="preserve">S2</x:t>
        </x:is>
      </x:c>
      <x:c r="H222" s="17" t="inlineStr">
        <x:is>
          <x:t xml:space="preserve">High</x:t>
        </x:is>
      </x:c>
      <x:c r="I222" s="4" t="inlineStr">
        <x:is>
          <x:t xml:space="preserve">Data Analyst</x:t>
        </x:is>
      </x:c>
      <x:c r="J222" s="17" t="n">
        <x:v>4</x:v>
      </x:c>
      <x:c r="K222" s="17" t="n">
        <x:v>2</x:v>
      </x:c>
      <x:c r="L222" s="18" t="n">
        <x:f>J222*2-K222</x:f>
        <x:v>6</x:v>
      </x:c>
      <x:c r="M222" s="4" t="inlineStr">
        <x:is>
          <x:t xml:space="preserve">TK-092..176</x:t>
        </x:is>
      </x:c>
      <x:c r="N222" s="4" t="inlineStr">
        <x:is>
          <x:t xml:space="preserve">گزارش با Sankey Diagram توالی مسیر تاچ‌، تناوب «ماهانه»، کاربران: CRM Lead، Marketing Analytics </x:t>
        </x:is>
      </x:c>
      <x:c r="O222" s="17" t="inlineStr">
        <x:is>
          <x:t xml:space="preserve">Proposed</x:t>
        </x:is>
      </x:c>
      <x:c r="P222" s="4" t="inlineStr">
        <x:is>
          <x:t xml:space="preserve">Omnichannel Customer Journey</x:t>
        </x:is>
      </x:c>
      <x:c r="Q222" s="30" t="str">
        <x:v>TK-221</x:v>
      </x:c>
      <x:c r="R222" s="30" t="str"/>
      <x:c r="S222" s="30" t="str">
        <x:v>Report</x:v>
      </x:c>
      <x:c r="T222" s="30" t="str">
        <x:v>REP-44</x:v>
      </x:c>
      <x:c r="U222" s="30" t="str">
        <x:v>گزارش سفر چندکاناله آنلاین به آفلاین لیدهای کلینیکی</x:v>
      </x:c>
      <x:c r="V222" s="30" t="str">
        <x:v>Pending dependency review</x:v>
      </x:c>
      <x:c r="W222" s="30" t="str">
        <x:v>نیازمند تکمیل و تأیید مالک</x:v>
      </x:c>
      <x:c r="X222" s="30" t="str">
        <x:v>نیازمند تکمیل و تأیید مالک</x:v>
      </x:c>
      <x:c r="Y222" s="30" t="str">
        <x:v>Data Analyst</x:v>
      </x:c>
      <x:c r="Z222" s="30" t="n">
        <x:v>7</x:v>
      </x:c>
      <x:c r="AA222" s="30" t="n">
        <x:v>221</x:v>
      </x:c>
      <x:c r="AB222" s="30" t="str">
        <x:v>گزارش با Sankey Diagram توالی مسیر تاچ‌، تناوب «ماهانه»، کاربران: CRM Lead، Marketing Analytics </x:v>
      </x:c>
      <x:c r="AC222" s="30" t="str">
        <x:v>نیازمند تکمیل و تأیید مالک</x:v>
      </x:c>
      <x:c r="AD222" s="30" t="str">
        <x:v>نیازمند تکمیل و تأیید مالک</x:v>
      </x:c>
      <x:c r="AE222" s="30" t="str">
        <x:v>گزارش با Sankey Diagram توالی مسیر تاچ‌، تناوب «ماهانه»، کاربران: CRM Lead، Marketing Analytics </x:v>
      </x:c>
      <x:c r="AF222" s="30" t="str"/>
      <x:c r="AG222" s="30" t="str"/>
      <x:c r="AH222" s="30" t="str">
        <x:v>REP-44</x:v>
      </x:c>
    </x:row>
    <x:row r="223">
      <x:c r="A223" s="19" t="inlineStr">
        <x:is>
          <x:t xml:space="preserve">TK-222</x:t>
        </x:is>
      </x:c>
      <x:c r="B223" s="6" t="inlineStr">
        <x:is>
          <x:t xml:space="preserve">گزارش بهره‌وری اتوماسیون‌های مارکتینگ و سفر مشتری خودکار</x:t>
        </x:is>
      </x:c>
      <x:c r="C223" s="6" t="inlineStr">
        <x:is>
          <x:t xml:space="preserve">Lifecycle Marketing Automation Flow Performance Report</x:t>
        </x:is>
      </x:c>
      <x:c r="D223" s="6" t="inlineStr">
        <x:is>
          <x:t xml:space="preserve">Report</x:t>
        </x:is>
      </x:c>
      <x:c r="E223" s="6" t="inlineStr">
        <x:is>
          <x:t xml:space="preserve">REP-45</x:t>
        </x:is>
      </x:c>
      <x:c r="F223" s="19" t="inlineStr">
        <x:is>
          <x:t xml:space="preserve">W5</x:t>
        </x:is>
      </x:c>
      <x:c r="G223" s="6" t="inlineStr">
        <x:is>
          <x:t xml:space="preserve">S2</x:t>
        </x:is>
      </x:c>
      <x:c r="H223" s="19" t="inlineStr">
        <x:is>
          <x:t xml:space="preserve">High</x:t>
        </x:is>
      </x:c>
      <x:c r="I223" s="6" t="inlineStr">
        <x:is>
          <x:t xml:space="preserve">Data Analyst</x:t>
        </x:is>
      </x:c>
      <x:c r="J223" s="19" t="n">
        <x:v>4</x:v>
      </x:c>
      <x:c r="K223" s="19" t="n">
        <x:v>2</x:v>
      </x:c>
      <x:c r="L223" s="18" t="n">
        <x:f>J223*2-K223</x:f>
        <x:v>6</x:v>
      </x:c>
      <x:c r="M223" s="6" t="inlineStr">
        <x:is>
          <x:t xml:space="preserve">TK-092..176</x:t>
        </x:is>
      </x:c>
      <x:c r="N223" s="6" t="inlineStr">
        <x:is>
          <x:t xml:space="preserve">گزارش با Process Funnel Flowchart وضعیت، تناوب «هفتگی»، کاربران: Marketing Automation Lead، CRM</x:t>
        </x:is>
      </x:c>
      <x:c r="O223" s="19" t="inlineStr">
        <x:is>
          <x:t xml:space="preserve">Proposed</x:t>
        </x:is>
      </x:c>
      <x:c r="P223" s="6" t="inlineStr">
        <x:is>
          <x:t xml:space="preserve">Marketing Automation</x:t>
        </x:is>
      </x:c>
      <x:c r="Q223" s="30" t="str">
        <x:v>TK-222</x:v>
      </x:c>
      <x:c r="R223" s="30" t="str"/>
      <x:c r="S223" s="30" t="str">
        <x:v>Report</x:v>
      </x:c>
      <x:c r="T223" s="30" t="str">
        <x:v>REP-45</x:v>
      </x:c>
      <x:c r="U223" s="30" t="str">
        <x:v>گزارش بهره‌وری اتوماسیون‌های مارکتینگ و سفر مشتری خودکار</x:v>
      </x:c>
      <x:c r="V223" s="30" t="str">
        <x:v>Pending dependency review</x:v>
      </x:c>
      <x:c r="W223" s="30" t="str">
        <x:v>نیازمند تکمیل و تأیید مالک</x:v>
      </x:c>
      <x:c r="X223" s="30" t="str">
        <x:v>نیازمند تکمیل و تأیید مالک</x:v>
      </x:c>
      <x:c r="Y223" s="30" t="str">
        <x:v>Data Analyst</x:v>
      </x:c>
      <x:c r="Z223" s="30" t="n">
        <x:v>7</x:v>
      </x:c>
      <x:c r="AA223" s="30" t="n">
        <x:v>222</x:v>
      </x:c>
      <x:c r="AB223" s="30" t="str">
        <x:v>گزارش با Process Funnel Flowchart وضعیت، تناوب «هفتگی»، کاربران: Marketing Automation Lead، CRM</x:v>
      </x:c>
      <x:c r="AC223" s="30" t="str">
        <x:v>نیازمند تکمیل و تأیید مالک</x:v>
      </x:c>
      <x:c r="AD223" s="30" t="str">
        <x:v>نیازمند تکمیل و تأیید مالک</x:v>
      </x:c>
      <x:c r="AE223" s="30" t="str">
        <x:v>گزارش با Process Funnel Flowchart وضعیت، تناوب «هفتگی»، کاربران: Marketing Automation Lead، CRM</x:v>
      </x:c>
      <x:c r="AF223" s="30" t="str"/>
      <x:c r="AG223" s="30" t="str"/>
      <x:c r="AH223" s="30" t="str">
        <x:v>REP-45</x:v>
      </x:c>
    </x:row>
    <x:row r="224">
      <x:c r="A224" s="17" t="inlineStr">
        <x:is>
          <x:t xml:space="preserve">TK-223</x:t>
        </x:is>
      </x:c>
      <x:c r="B224" s="4" t="inlineStr">
        <x:is>
          <x:t xml:space="preserve">گزارش جامع سفر یکپارچه آنلاین به آفلاین، پیش‌فاکتور و تسویه قراردادها</x:t>
        </x:is>
      </x:c>
      <x:c r="C224" s="4" t="inlineStr">
        <x:is>
          <x:t xml:space="preserve">Omnichannel Online-to-Offline Lead-to-Settlement Attribution Report</x:t>
        </x:is>
      </x:c>
      <x:c r="D224" s="4" t="inlineStr">
        <x:is>
          <x:t xml:space="preserve">Report</x:t>
        </x:is>
      </x:c>
      <x:c r="E224" s="4" t="inlineStr">
        <x:is>
          <x:t xml:space="preserve">REP-46</x:t>
        </x:is>
      </x:c>
      <x:c r="F224" s="17" t="inlineStr">
        <x:is>
          <x:t xml:space="preserve">W5</x:t>
        </x:is>
      </x:c>
      <x:c r="G224" s="4" t="inlineStr">
        <x:is>
          <x:t xml:space="preserve">S2</x:t>
        </x:is>
      </x:c>
      <x:c r="H224" s="17" t="inlineStr">
        <x:is>
          <x:t xml:space="preserve">Critical</x:t>
        </x:is>
      </x:c>
      <x:c r="I224" s="4" t="inlineStr">
        <x:is>
          <x:t xml:space="preserve">BI Lead</x:t>
        </x:is>
      </x:c>
      <x:c r="J224" s="17" t="n">
        <x:v>5</x:v>
      </x:c>
      <x:c r="K224" s="17" t="n">
        <x:v>2</x:v>
      </x:c>
      <x:c r="L224" s="18" t="n">
        <x:f>J224*2-K224</x:f>
        <x:v>8</x:v>
      </x:c>
      <x:c r="M224" s="4" t="inlineStr">
        <x:is>
          <x:t xml:space="preserve">TK-092..176</x:t>
        </x:is>
      </x:c>
      <x:c r="N224" s="4" t="inlineStr">
        <x:is>
          <x:t xml:space="preserve">گزارش با Sankey Diagram جریان تاچ‌پوینت، تناوب «روزانه»، کاربران: CMO، مدیر فروش B2B، مدیر مالی</x:t>
        </x:is>
      </x:c>
      <x:c r="O224" s="17" t="inlineStr">
        <x:is>
          <x:t xml:space="preserve">Proposed</x:t>
        </x:is>
      </x:c>
      <x:c r="P224" s="4" t="inlineStr">
        <x:is>
          <x:t xml:space="preserve">Omnichannel Settlement</x:t>
        </x:is>
      </x:c>
      <x:c r="Q224" s="30" t="str">
        <x:v>TK-223</x:v>
      </x:c>
      <x:c r="R224" s="30" t="str"/>
      <x:c r="S224" s="30" t="str">
        <x:v>Report</x:v>
      </x:c>
      <x:c r="T224" s="30" t="str">
        <x:v>REP-46</x:v>
      </x:c>
      <x:c r="U224" s="30" t="str">
        <x:v>گزارش جامع سفر یکپارچه آنلاین به آفلاین، پیش‌فاکتور و تسویه قراردادها</x:v>
      </x:c>
      <x:c r="V224" s="30" t="str">
        <x:v>Pending dependency review</x:v>
      </x:c>
      <x:c r="W224" s="30" t="str">
        <x:v>نیازمند تکمیل و تأیید مالک</x:v>
      </x:c>
      <x:c r="X224" s="30" t="str">
        <x:v>نیازمند تکمیل و تأیید مالک</x:v>
      </x:c>
      <x:c r="Y224" s="30" t="str">
        <x:v>BI Lead</x:v>
      </x:c>
      <x:c r="Z224" s="30" t="n">
        <x:v>7</x:v>
      </x:c>
      <x:c r="AA224" s="30" t="n">
        <x:v>223</x:v>
      </x:c>
      <x:c r="AB224" s="30" t="str">
        <x:v>گزارش با Sankey Diagram جریان تاچ‌پوینت، تناوب «روزانه»، کاربران: CMO، مدیر فروش B2B، مدیر مالی</x:v>
      </x:c>
      <x:c r="AC224" s="30" t="str">
        <x:v>نیازمند تکمیل و تأیید مالک</x:v>
      </x:c>
      <x:c r="AD224" s="30" t="str">
        <x:v>نیازمند تکمیل و تأیید مالک</x:v>
      </x:c>
      <x:c r="AE224" s="30" t="str">
        <x:v>گزارش با Sankey Diagram جریان تاچ‌پوینت، تناوب «روزانه»، کاربران: CMO، مدیر فروش B2B، مدیر مالی</x:v>
      </x:c>
      <x:c r="AF224" s="30" t="str"/>
      <x:c r="AG224" s="30" t="str"/>
      <x:c r="AH224" s="30" t="str">
        <x:v>REP-46</x:v>
      </x:c>
    </x:row>
    <x:row r="225">
      <x:c r="A225" s="19" t="inlineStr">
        <x:is>
          <x:t xml:space="preserve">TK-224</x:t>
        </x:is>
      </x:c>
      <x:c r="B225" s="6" t="inlineStr">
        <x:is>
          <x:t xml:space="preserve">گزارش انطباق بودجه با سرعت گردش موجودی، تاریخ انقضا و حاشیه سود</x:t>
        </x:is>
      </x:c>
      <x:c r="C225" s="6" t="inlineStr">
        <x:is>
          <x:t xml:space="preserve">Stock Velocity, Expiry Risk &amp; Inventory-Aware Ad Bidding Report</x:t>
        </x:is>
      </x:c>
      <x:c r="D225" s="6" t="inlineStr">
        <x:is>
          <x:t xml:space="preserve">Report</x:t>
        </x:is>
      </x:c>
      <x:c r="E225" s="6" t="inlineStr">
        <x:is>
          <x:t xml:space="preserve">REP-47</x:t>
        </x:is>
      </x:c>
      <x:c r="F225" s="19" t="inlineStr">
        <x:is>
          <x:t xml:space="preserve">W5</x:t>
        </x:is>
      </x:c>
      <x:c r="G225" s="6" t="inlineStr">
        <x:is>
          <x:t xml:space="preserve">S2</x:t>
        </x:is>
      </x:c>
      <x:c r="H225" s="19" t="inlineStr">
        <x:is>
          <x:t xml:space="preserve">High</x:t>
        </x:is>
      </x:c>
      <x:c r="I225" s="6" t="inlineStr">
        <x:is>
          <x:t xml:space="preserve">Data Analyst</x:t>
        </x:is>
      </x:c>
      <x:c r="J225" s="19" t="n">
        <x:v>4</x:v>
      </x:c>
      <x:c r="K225" s="19" t="n">
        <x:v>2</x:v>
      </x:c>
      <x:c r="L225" s="18" t="n">
        <x:f>J225*2-K225</x:f>
        <x:v>6</x:v>
      </x:c>
      <x:c r="M225" s="6" t="inlineStr">
        <x:is>
          <x:t xml:space="preserve">TK-092..176</x:t>
        </x:is>
      </x:c>
      <x:c r="N225" s="6" t="inlineStr">
        <x:is>
          <x:t xml:space="preserve">گزارش با Scatter Plot (سرعت فروش در برا، تناوب «نزدیک به لحظه‌ای (هر ۳۰ د»، کاربران: Performance Marketer، Warehous</x:t>
        </x:is>
      </x:c>
      <x:c r="O225" s="19" t="inlineStr">
        <x:is>
          <x:t xml:space="preserve">Proposed</x:t>
        </x:is>
      </x:c>
      <x:c r="P225" s="6" t="inlineStr">
        <x:is>
          <x:t xml:space="preserve">Stock Velocity &amp; Expiry</x:t>
        </x:is>
      </x:c>
      <x:c r="Q225" s="30" t="str">
        <x:v>TK-224</x:v>
      </x:c>
      <x:c r="R225" s="30" t="str"/>
      <x:c r="S225" s="30" t="str">
        <x:v>Report</x:v>
      </x:c>
      <x:c r="T225" s="30" t="str">
        <x:v>REP-47</x:v>
      </x:c>
      <x:c r="U225" s="30" t="str">
        <x:v>گزارش انطباق بودجه با سرعت گردش موجودی، تاریخ انقضا و حاشیه سود</x:v>
      </x:c>
      <x:c r="V225" s="30" t="str">
        <x:v>Pending dependency review</x:v>
      </x:c>
      <x:c r="W225" s="30" t="str">
        <x:v>نیازمند تکمیل و تأیید مالک</x:v>
      </x:c>
      <x:c r="X225" s="30" t="str">
        <x:v>نیازمند تکمیل و تأیید مالک</x:v>
      </x:c>
      <x:c r="Y225" s="30" t="str">
        <x:v>Data Analyst</x:v>
      </x:c>
      <x:c r="Z225" s="30" t="n">
        <x:v>7</x:v>
      </x:c>
      <x:c r="AA225" s="30" t="n">
        <x:v>224</x:v>
      </x:c>
      <x:c r="AB225" s="30" t="str">
        <x:v>گزارش با Scatter Plot (سرعت فروش در برا، تناوب «نزدیک به لحظه‌ای (هر ۳۰ د»، کاربران: Performance Marketer، Warehous</x:v>
      </x:c>
      <x:c r="AC225" s="30" t="str">
        <x:v>نیازمند تکمیل و تأیید مالک</x:v>
      </x:c>
      <x:c r="AD225" s="30" t="str">
        <x:v>نیازمند تکمیل و تأیید مالک</x:v>
      </x:c>
      <x:c r="AE225" s="30" t="str">
        <x:v>گزارش با Scatter Plot (سرعت فروش در برا، تناوب «نزدیک به لحظه‌ای (هر ۳۰ د»، کاربران: Performance Marketer، Warehous</x:v>
      </x:c>
      <x:c r="AF225" s="30" t="str"/>
      <x:c r="AG225" s="30" t="str"/>
      <x:c r="AH225" s="30" t="str">
        <x:v>REP-47</x:v>
      </x:c>
    </x:row>
    <x:row r="226">
      <x:c r="A226" s="17" t="inlineStr">
        <x:is>
          <x:t xml:space="preserve">TK-225</x:t>
        </x:is>
      </x:c>
      <x:c r="B226" s="4" t="inlineStr">
        <x:is>
          <x:t xml:space="preserve">گزارش پایش سلامت الگوریتمی، کشش بودجه و هشدارهای تجویزی هوش مصنوعی</x:t>
        </x:is>
      </x:c>
      <x:c r="C226" s="4" t="inlineStr">
        <x:is>
          <x:t xml:space="preserve">AI-Driven Algorithmic Health, Budget Elasticity &amp; Anomaly Prescriptions</x:t>
        </x:is>
      </x:c>
      <x:c r="D226" s="4" t="inlineStr">
        <x:is>
          <x:t xml:space="preserve">Report</x:t>
        </x:is>
      </x:c>
      <x:c r="E226" s="4" t="inlineStr">
        <x:is>
          <x:t xml:space="preserve">REP-48</x:t>
        </x:is>
      </x:c>
      <x:c r="F226" s="17" t="inlineStr">
        <x:is>
          <x:t xml:space="preserve">W5</x:t>
        </x:is>
      </x:c>
      <x:c r="G226" s="4" t="inlineStr">
        <x:is>
          <x:t xml:space="preserve">S2</x:t>
        </x:is>
      </x:c>
      <x:c r="H226" s="17" t="inlineStr">
        <x:is>
          <x:t xml:space="preserve">Critical</x:t>
        </x:is>
      </x:c>
      <x:c r="I226" s="4" t="inlineStr">
        <x:is>
          <x:t xml:space="preserve">BI Lead</x:t>
        </x:is>
      </x:c>
      <x:c r="J226" s="17" t="n">
        <x:v>5</x:v>
      </x:c>
      <x:c r="K226" s="17" t="n">
        <x:v>3</x:v>
      </x:c>
      <x:c r="L226" s="18" t="n">
        <x:f>J226*2-K226</x:f>
        <x:v>7</x:v>
      </x:c>
      <x:c r="M226" s="4" t="inlineStr">
        <x:is>
          <x:t xml:space="preserve">TK-092..176</x:t>
        </x:is>
      </x:c>
      <x:c r="N226" s="4" t="inlineStr">
        <x:is>
          <x:t xml:space="preserve">گزارش با Line Trend کشش حاشیه‌ای، Gauge، تناوب «ساعتی (Real-time برای تشخ»، کاربران: Performance Marketing Lead، AI</x:t>
        </x:is>
      </x:c>
      <x:c r="O226" s="17" t="inlineStr">
        <x:is>
          <x:t xml:space="preserve">Proposed</x:t>
        </x:is>
      </x:c>
      <x:c r="P226" s="4" t="inlineStr">
        <x:is>
          <x:t xml:space="preserve">AI Health &amp; Prescriptions</x:t>
        </x:is>
      </x:c>
      <x:c r="Q226" s="30" t="str">
        <x:v>TK-225</x:v>
      </x:c>
      <x:c r="R226" s="30" t="str"/>
      <x:c r="S226" s="30" t="str">
        <x:v>Report</x:v>
      </x:c>
      <x:c r="T226" s="30" t="str">
        <x:v>REP-48</x:v>
      </x:c>
      <x:c r="U226" s="30" t="str">
        <x:v>گزارش پایش سلامت الگوریتمی، کشش بودجه و هشدارهای تجویزی هوش مصنوعی</x:v>
      </x:c>
      <x:c r="V226" s="30" t="str">
        <x:v>Pending dependency review</x:v>
      </x:c>
      <x:c r="W226" s="30" t="str">
        <x:v>نیازمند تکمیل و تأیید مالک</x:v>
      </x:c>
      <x:c r="X226" s="30" t="str">
        <x:v>نیازمند تکمیل و تأیید مالک</x:v>
      </x:c>
      <x:c r="Y226" s="30" t="str">
        <x:v>BI Lead</x:v>
      </x:c>
      <x:c r="Z226" s="30" t="n">
        <x:v>7</x:v>
      </x:c>
      <x:c r="AA226" s="30" t="n">
        <x:v>225</x:v>
      </x:c>
      <x:c r="AB226" s="30" t="str">
        <x:v>گزارش با Line Trend کشش حاشیه‌ای، Gauge، تناوب «ساعتی (Real-time برای تشخ»، کاربران: Performance Marketing Lead، AI</x:v>
      </x:c>
      <x:c r="AC226" s="30" t="str">
        <x:v>نیازمند تکمیل و تأیید مالک</x:v>
      </x:c>
      <x:c r="AD226" s="30" t="str">
        <x:v>نیازمند تکمیل و تأیید مالک</x:v>
      </x:c>
      <x:c r="AE226" s="30" t="str">
        <x:v>گزارش با Line Trend کشش حاشیه‌ای، Gauge، تناوب «ساعتی (Real-time برای تشخ»، کاربران: Performance Marketing Lead، AI</x:v>
      </x:c>
      <x:c r="AF226" s="30" t="str"/>
      <x:c r="AG226" s="30" t="str"/>
      <x:c r="AH226" s="30" t="str">
        <x:v>REP-48</x:v>
      </x:c>
    </x:row>
    <x:row r="227">
      <x:c r="A227" s="19" t="inlineStr">
        <x:is>
          <x:t xml:space="preserve">TK-226</x:t>
        </x:is>
      </x:c>
      <x:c r="B227" s="6" t="inlineStr">
        <x:is>
          <x:t xml:space="preserve">طراحی داشبورد Tier 1 مدیرعامل</x:t>
        </x:is>
      </x:c>
      <x:c r="C227" s="6" t="inlineStr">
        <x:is>
          <x:t xml:space="preserve">Design Tier 1 Executive Dashboard</x:t>
        </x:is>
      </x:c>
      <x:c r="D227" s="6" t="inlineStr">
        <x:is>
          <x:t xml:space="preserve">Dashboard</x:t>
        </x:is>
      </x:c>
      <x:c r="E227" s="6" t="inlineStr">
        <x:is>
          <x:t xml:space="preserve">DASH-EXEC-01</x:t>
        </x:is>
      </x:c>
      <x:c r="F227" s="19" t="inlineStr">
        <x:is>
          <x:t xml:space="preserve">W5</x:t>
        </x:is>
      </x:c>
      <x:c r="G227" s="6" t="inlineStr">
        <x:is>
          <x:t xml:space="preserve">S2</x:t>
        </x:is>
      </x:c>
      <x:c r="H227" s="19" t="inlineStr">
        <x:is>
          <x:t xml:space="preserve">Critical</x:t>
        </x:is>
      </x:c>
      <x:c r="I227" s="6" t="inlineStr">
        <x:is>
          <x:t xml:space="preserve">BI Lead</x:t>
        </x:is>
      </x:c>
      <x:c r="J227" s="19" t="n">
        <x:v>5</x:v>
      </x:c>
      <x:c r="K227" s="19" t="n">
        <x:v>3</x:v>
      </x:c>
      <x:c r="L227" s="18" t="n">
        <x:f>J227*2-K227</x:f>
        <x:v>7</x:v>
      </x:c>
      <x:c r="M227" s="6" t="inlineStr">
        <x:is>
          <x:t xml:space="preserve">TK-092..176</x:t>
        </x:is>
      </x:c>
      <x:c r="N227" s="6" t="inlineStr">
        <x:is>
          <x:t xml:space="preserve">Wireframe ۴ زون A-D + نگاشت KPI رسمی + تایید CMO</x:t>
        </x:is>
      </x:c>
      <x:c r="O227" s="19" t="inlineStr">
        <x:is>
          <x:t xml:space="preserve">Proposed</x:t>
        </x:is>
      </x:c>
      <x:c r="P227" s="6" t="inlineStr">
        <x:is>
          <x:t xml:space="preserve">قبل از ساخت</x:t>
        </x:is>
      </x:c>
      <x:c r="Q227" s="30" t="str">
        <x:v>TK-226</x:v>
      </x:c>
      <x:c r="R227" s="30" t="str"/>
      <x:c r="S227" s="30" t="str">
        <x:v>Dashboard</x:v>
      </x:c>
      <x:c r="T227" s="30" t="str">
        <x:v>DASH-EXEC-01</x:v>
      </x:c>
      <x:c r="U227" s="30" t="str">
        <x:v>طراحی داشبورد Tier 1 مدیرعامل</x:v>
      </x:c>
      <x:c r="V227" s="30" t="str">
        <x:v>Pending dependency review</x:v>
      </x:c>
      <x:c r="W227" s="30" t="str">
        <x:v>نیازمند تکمیل و تأیید مالک</x:v>
      </x:c>
      <x:c r="X227" s="30" t="str">
        <x:v>نیازمند تکمیل و تأیید مالک</x:v>
      </x:c>
      <x:c r="Y227" s="30" t="str">
        <x:v>BI Lead</x:v>
      </x:c>
      <x:c r="Z227" s="30" t="n">
        <x:v>7</x:v>
      </x:c>
      <x:c r="AA227" s="30" t="n">
        <x:v>226</x:v>
      </x:c>
      <x:c r="AB227" s="30" t="str">
        <x:v>Wireframe ۴ زون A-D + نگاشت KPI رسمی + تایید CMO</x:v>
      </x:c>
      <x:c r="AC227" s="30" t="str">
        <x:v>نیازمند تکمیل و تأیید مالک</x:v>
      </x:c>
      <x:c r="AD227" s="30" t="str">
        <x:v>نیازمند تکمیل و تأیید مالک</x:v>
      </x:c>
      <x:c r="AE227" s="30" t="str">
        <x:v>Wireframe ۴ زون A-D + نگاشت KPI رسمی + تایید CMO</x:v>
      </x:c>
      <x:c r="AF227" s="30" t="str"/>
      <x:c r="AG227" s="30" t="str"/>
      <x:c r="AH227" s="30" t="str"/>
    </x:row>
    <x:row r="228">
      <x:c r="A228" s="17" t="inlineStr">
        <x:is>
          <x:t xml:space="preserve">TK-227</x:t>
        </x:is>
      </x:c>
      <x:c r="B228" s="4" t="inlineStr">
        <x:is>
          <x:t xml:space="preserve">ساخت داشبورد Tier 1 مدیرعامل</x:t>
        </x:is>
      </x:c>
      <x:c r="C228" s="4" t="inlineStr">
        <x:is>
          <x:t xml:space="preserve">Build Tier 1 Executive Dashboard</x:t>
        </x:is>
      </x:c>
      <x:c r="D228" s="4" t="inlineStr">
        <x:is>
          <x:t xml:space="preserve">Dashboard</x:t>
        </x:is>
      </x:c>
      <x:c r="E228" s="4" t="inlineStr">
        <x:is>
          <x:t xml:space="preserve">DASH-EXEC-01</x:t>
        </x:is>
      </x:c>
      <x:c r="F228" s="17" t="inlineStr">
        <x:is>
          <x:t xml:space="preserve">W5</x:t>
        </x:is>
      </x:c>
      <x:c r="G228" s="4" t="inlineStr">
        <x:is>
          <x:t xml:space="preserve">S2</x:t>
        </x:is>
      </x:c>
      <x:c r="H228" s="17" t="inlineStr">
        <x:is>
          <x:t xml:space="preserve">Critical</x:t>
        </x:is>
      </x:c>
      <x:c r="I228" s="4" t="inlineStr">
        <x:is>
          <x:t xml:space="preserve">BI Lead</x:t>
        </x:is>
      </x:c>
      <x:c r="J228" s="17" t="n">
        <x:v>5</x:v>
      </x:c>
      <x:c r="K228" s="17" t="n">
        <x:v>4</x:v>
      </x:c>
      <x:c r="L228" s="18" t="n">
        <x:f>J228*2-K228</x:f>
        <x:v>6</x:v>
      </x:c>
      <x:c r="M228" s="4" t="inlineStr">
        <x:is>
          <x:t xml:space="preserve">TK-226</x:t>
        </x:is>
      </x:c>
      <x:c r="N228" s="4" t="inlineStr">
        <x:is>
          <x:t xml:space="preserve">داشبورد با ۴ زون، RPS و داده روزانه ۶:۰۰</x:t>
        </x:is>
      </x:c>
      <x:c r="O228" s="17" t="inlineStr">
        <x:is>
          <x:t xml:space="preserve">Proposed</x:t>
        </x:is>
      </x:c>
      <x:c r="P228" s="4" t="inlineStr">
        <x:is>
          <x:t xml:space="preserve">P-05</x:t>
        </x:is>
      </x:c>
      <x:c r="Q228" s="30" t="str">
        <x:v>TK-227</x:v>
      </x:c>
      <x:c r="R228" s="30" t="str"/>
      <x:c r="S228" s="30" t="str">
        <x:v>Dashboard</x:v>
      </x:c>
      <x:c r="T228" s="30" t="str">
        <x:v>DASH-EXEC-01</x:v>
      </x:c>
      <x:c r="U228" s="30" t="str">
        <x:v>ساخت داشبورد Tier 1 مدیرعامل</x:v>
      </x:c>
      <x:c r="V228" s="30" t="str">
        <x:v>Pending dependency review</x:v>
      </x:c>
      <x:c r="W228" s="30" t="str">
        <x:v>نیازمند تکمیل و تأیید مالک</x:v>
      </x:c>
      <x:c r="X228" s="30" t="str">
        <x:v>نیازمند تکمیل و تأیید مالک</x:v>
      </x:c>
      <x:c r="Y228" s="30" t="str">
        <x:v>BI Lead</x:v>
      </x:c>
      <x:c r="Z228" s="30" t="n">
        <x:v>7</x:v>
      </x:c>
      <x:c r="AA228" s="30" t="n">
        <x:v>227</x:v>
      </x:c>
      <x:c r="AB228" s="30" t="str">
        <x:v>داشبورد با ۴ زون، RPS و داده روزانه ۶:۰۰</x:v>
      </x:c>
      <x:c r="AC228" s="30" t="str">
        <x:v>نیازمند تکمیل و تأیید مالک</x:v>
      </x:c>
      <x:c r="AD228" s="30" t="str">
        <x:v>نیازمند تکمیل و تأیید مالک</x:v>
      </x:c>
      <x:c r="AE228" s="30" t="str">
        <x:v>داشبورد با ۴ زون، RPS و داده روزانه ۶:۰۰</x:v>
      </x:c>
      <x:c r="AF228" s="30" t="str"/>
      <x:c r="AG228" s="30" t="str"/>
      <x:c r="AH228" s="30" t="str"/>
    </x:row>
    <x:row r="229">
      <x:c r="A229" s="19" t="inlineStr">
        <x:is>
          <x:t xml:space="preserve">TK-228</x:t>
        </x:is>
      </x:c>
      <x:c r="B229" s="6" t="inlineStr">
        <x:is>
          <x:t xml:space="preserve">UAT و پذیرش داشبورد Tier 1</x:t>
        </x:is>
      </x:c>
      <x:c r="C229" s="6" t="inlineStr">
        <x:is>
          <x:t xml:space="preserve">UAT &amp; Acceptance — Tier 1</x:t>
        </x:is>
      </x:c>
      <x:c r="D229" s="6" t="inlineStr">
        <x:is>
          <x:t xml:space="preserve">Dashboard</x:t>
        </x:is>
      </x:c>
      <x:c r="E229" s="6" t="inlineStr">
        <x:is>
          <x:t xml:space="preserve">DASH-EXEC-01</x:t>
        </x:is>
      </x:c>
      <x:c r="F229" s="19" t="inlineStr">
        <x:is>
          <x:t xml:space="preserve">W5</x:t>
        </x:is>
      </x:c>
      <x:c r="G229" s="6" t="inlineStr">
        <x:is>
          <x:t xml:space="preserve">S2</x:t>
        </x:is>
      </x:c>
      <x:c r="H229" s="19" t="inlineStr">
        <x:is>
          <x:t xml:space="preserve">Critical</x:t>
        </x:is>
      </x:c>
      <x:c r="I229" s="6" t="inlineStr">
        <x:is>
          <x:t xml:space="preserve">CMO</x:t>
        </x:is>
      </x:c>
      <x:c r="J229" s="19" t="n">
        <x:v>4</x:v>
      </x:c>
      <x:c r="K229" s="19" t="n">
        <x:v>2</x:v>
      </x:c>
      <x:c r="L229" s="18" t="n">
        <x:f>J229*2-K229</x:f>
        <x:v>6</x:v>
      </x:c>
      <x:c r="M229" s="6" t="inlineStr">
        <x:is>
          <x:t xml:space="preserve">TK-227</x:t>
        </x:is>
      </x:c>
      <x:c r="N229" s="6" t="inlineStr">
        <x:is>
          <x:t xml:space="preserve">TST-14 سبز + امضای مدیرعامل</x:t>
        </x:is>
      </x:c>
      <x:c r="O229" s="19" t="inlineStr">
        <x:is>
          <x:t xml:space="preserve">Proposed</x:t>
        </x:is>
      </x:c>
      <x:c r="P229" s="6" t="inlineStr">
        <x:is>
          <x:t xml:space="preserve">Checklist 7</x:t>
        </x:is>
      </x:c>
      <x:c r="Q229" s="30" t="str">
        <x:v>TK-228</x:v>
      </x:c>
      <x:c r="R229" s="30" t="str"/>
      <x:c r="S229" s="30" t="str">
        <x:v>Dashboard</x:v>
      </x:c>
      <x:c r="T229" s="30" t="str">
        <x:v>DASH-EXEC-01</x:v>
      </x:c>
      <x:c r="U229" s="30" t="str">
        <x:v>UAT و پذیرش داشبورد Tier 1</x:v>
      </x:c>
      <x:c r="V229" s="30" t="str">
        <x:v>Pending dependency review</x:v>
      </x:c>
      <x:c r="W229" s="30" t="str">
        <x:v>نیازمند تکمیل و تأیید مالک</x:v>
      </x:c>
      <x:c r="X229" s="30" t="str">
        <x:v>نیازمند تکمیل و تأیید مالک</x:v>
      </x:c>
      <x:c r="Y229" s="30" t="str">
        <x:v>CMO</x:v>
      </x:c>
      <x:c r="Z229" s="30" t="n">
        <x:v>7</x:v>
      </x:c>
      <x:c r="AA229" s="30" t="n">
        <x:v>228</x:v>
      </x:c>
      <x:c r="AB229" s="30" t="str">
        <x:v>TST-14 سبز + امضای مدیرعامل</x:v>
      </x:c>
      <x:c r="AC229" s="30" t="str">
        <x:v>نیازمند تکمیل و تأیید مالک</x:v>
      </x:c>
      <x:c r="AD229" s="30" t="str">
        <x:v>نیازمند تکمیل و تأیید مالک</x:v>
      </x:c>
      <x:c r="AE229" s="30" t="str">
        <x:v>TST-14 سبز + امضای مدیرعامل</x:v>
      </x:c>
      <x:c r="AF229" s="30" t="str"/>
      <x:c r="AG229" s="30" t="str"/>
      <x:c r="AH229" s="30" t="str"/>
    </x:row>
    <x:row r="230">
      <x:c r="A230" s="17" t="inlineStr">
        <x:is>
          <x:t xml:space="preserve">TK-229</x:t>
        </x:is>
      </x:c>
      <x:c r="B230" s="4" t="inlineStr">
        <x:is>
          <x:t xml:space="preserve">طراحی داشبورد Tier 2 مدیر بازاریابی</x:t>
        </x:is>
      </x:c>
      <x:c r="C230" s="4" t="inlineStr">
        <x:is>
          <x:t xml:space="preserve">Design Tier 2 CMO Dashboard</x:t>
        </x:is>
      </x:c>
      <x:c r="D230" s="4" t="inlineStr">
        <x:is>
          <x:t xml:space="preserve">Dashboard</x:t>
        </x:is>
      </x:c>
      <x:c r="E230" s="4" t="inlineStr">
        <x:is>
          <x:t xml:space="preserve">DASH-CMO-02</x:t>
        </x:is>
      </x:c>
      <x:c r="F230" s="17" t="inlineStr">
        <x:is>
          <x:t xml:space="preserve">W5</x:t>
        </x:is>
      </x:c>
      <x:c r="G230" s="4" t="inlineStr">
        <x:is>
          <x:t xml:space="preserve">S2</x:t>
        </x:is>
      </x:c>
      <x:c r="H230" s="17" t="inlineStr">
        <x:is>
          <x:t xml:space="preserve">High</x:t>
        </x:is>
      </x:c>
      <x:c r="I230" s="4" t="inlineStr">
        <x:is>
          <x:t xml:space="preserve">BI Lead</x:t>
        </x:is>
      </x:c>
      <x:c r="J230" s="17" t="n">
        <x:v>4</x:v>
      </x:c>
      <x:c r="K230" s="17" t="n">
        <x:v>3</x:v>
      </x:c>
      <x:c r="L230" s="18" t="n">
        <x:f>J230*2-K230</x:f>
        <x:v>5</x:v>
      </x:c>
      <x:c r="M230" s="4" t="inlineStr">
        <x:is>
          <x:t xml:space="preserve">TK-092..176</x:t>
        </x:is>
      </x:c>
      <x:c r="N230" s="4" t="inlineStr">
        <x:is>
          <x:t xml:space="preserve">Wireframe ۴ زون + نگاشت KPI رسمی + تایید CMO</x:t>
        </x:is>
      </x:c>
      <x:c r="O230" s="17" t="inlineStr">
        <x:is>
          <x:t xml:space="preserve">Proposed</x:t>
        </x:is>
      </x:c>
      <x:c r="P230" s="4" t="inlineStr">
        <x:is>
          <x:t xml:space="preserve">قبل از ساخت</x:t>
        </x:is>
      </x:c>
      <x:c r="Q230" s="30" t="str">
        <x:v>TK-229</x:v>
      </x:c>
      <x:c r="R230" s="30" t="str"/>
      <x:c r="S230" s="30" t="str">
        <x:v>Dashboard</x:v>
      </x:c>
      <x:c r="T230" s="30" t="str">
        <x:v>DASH-CMO-02</x:v>
      </x:c>
      <x:c r="U230" s="30" t="str">
        <x:v>طراحی داشبورد Tier 2 مدیر بازاریابی</x:v>
      </x:c>
      <x:c r="V230" s="30" t="str">
        <x:v>Pending dependency review</x:v>
      </x:c>
      <x:c r="W230" s="30" t="str">
        <x:v>نیازمند تکمیل و تأیید مالک</x:v>
      </x:c>
      <x:c r="X230" s="30" t="str">
        <x:v>نیازمند تکمیل و تأیید مالک</x:v>
      </x:c>
      <x:c r="Y230" s="30" t="str">
        <x:v>BI Lead</x:v>
      </x:c>
      <x:c r="Z230" s="30" t="n">
        <x:v>7</x:v>
      </x:c>
      <x:c r="AA230" s="30" t="n">
        <x:v>229</x:v>
      </x:c>
      <x:c r="AB230" s="30" t="str">
        <x:v>Wireframe ۴ زون + نگاشت KPI رسمی + تایید CMO</x:v>
      </x:c>
      <x:c r="AC230" s="30" t="str">
        <x:v>نیازمند تکمیل و تأیید مالک</x:v>
      </x:c>
      <x:c r="AD230" s="30" t="str">
        <x:v>نیازمند تکمیل و تأیید مالک</x:v>
      </x:c>
      <x:c r="AE230" s="30" t="str">
        <x:v>Wireframe ۴ زون + نگاشت KPI رسمی + تایید CMO</x:v>
      </x:c>
      <x:c r="AF230" s="30" t="str"/>
      <x:c r="AG230" s="30" t="str"/>
      <x:c r="AH230" s="30" t="str"/>
    </x:row>
    <x:row r="231">
      <x:c r="A231" s="19" t="inlineStr">
        <x:is>
          <x:t xml:space="preserve">TK-230</x:t>
        </x:is>
      </x:c>
      <x:c r="B231" s="6" t="inlineStr">
        <x:is>
          <x:t xml:space="preserve">ساخت داشبورد Tier 2 مدیر بازاریابی</x:t>
        </x:is>
      </x:c>
      <x:c r="C231" s="6" t="inlineStr">
        <x:is>
          <x:t xml:space="preserve">Build Tier 2 CMO Dashboard</x:t>
        </x:is>
      </x:c>
      <x:c r="D231" s="6" t="inlineStr">
        <x:is>
          <x:t xml:space="preserve">Dashboard</x:t>
        </x:is>
      </x:c>
      <x:c r="E231" s="6" t="inlineStr">
        <x:is>
          <x:t xml:space="preserve">DASH-CMO-02</x:t>
        </x:is>
      </x:c>
      <x:c r="F231" s="19" t="inlineStr">
        <x:is>
          <x:t xml:space="preserve">W5</x:t>
        </x:is>
      </x:c>
      <x:c r="G231" s="6" t="inlineStr">
        <x:is>
          <x:t xml:space="preserve">S2</x:t>
        </x:is>
      </x:c>
      <x:c r="H231" s="19" t="inlineStr">
        <x:is>
          <x:t xml:space="preserve">High</x:t>
        </x:is>
      </x:c>
      <x:c r="I231" s="6" t="inlineStr">
        <x:is>
          <x:t xml:space="preserve">BI Lead</x:t>
        </x:is>
      </x:c>
      <x:c r="J231" s="19" t="n">
        <x:v>4</x:v>
      </x:c>
      <x:c r="K231" s="19" t="n">
        <x:v>4</x:v>
      </x:c>
      <x:c r="L231" s="18" t="n">
        <x:f>J231*2-K231</x:f>
        <x:v>4</x:v>
      </x:c>
      <x:c r="M231" s="6" t="inlineStr">
        <x:is>
          <x:t xml:space="preserve">TK-230</x:t>
        </x:is>
      </x:c>
      <x:c r="N231" s="6" t="inlineStr">
        <x:is>
          <x:t xml:space="preserve">داشبورد با ۴ زون + همگام‌سازی ۴ ساعته</x:t>
        </x:is>
      </x:c>
      <x:c r="O231" s="19" t="inlineStr">
        <x:is>
          <x:t xml:space="preserve">Proposed</x:t>
        </x:is>
      </x:c>
      <x:c r="P231" s="6" t="inlineStr">
        <x:is>
          <x:t xml:space="preserve">P-06</x:t>
        </x:is>
      </x:c>
      <x:c r="Q231" s="30" t="str">
        <x:v>TK-230</x:v>
      </x:c>
      <x:c r="R231" s="30" t="str"/>
      <x:c r="S231" s="30" t="str">
        <x:v>Dashboard</x:v>
      </x:c>
      <x:c r="T231" s="30" t="str">
        <x:v>DASH-CMO-02</x:v>
      </x:c>
      <x:c r="U231" s="30" t="str">
        <x:v>ساخت داشبورد Tier 2 مدیر بازاریابی</x:v>
      </x:c>
      <x:c r="V231" s="30" t="str">
        <x:v>Pending dependency review</x:v>
      </x:c>
      <x:c r="W231" s="30" t="str">
        <x:v>نیازمند تکمیل و تأیید مالک</x:v>
      </x:c>
      <x:c r="X231" s="30" t="str">
        <x:v>نیازمند تکمیل و تأیید مالک</x:v>
      </x:c>
      <x:c r="Y231" s="30" t="str">
        <x:v>BI Lead</x:v>
      </x:c>
      <x:c r="Z231" s="30" t="n">
        <x:v>7</x:v>
      </x:c>
      <x:c r="AA231" s="30" t="n">
        <x:v>230</x:v>
      </x:c>
      <x:c r="AB231" s="30" t="str">
        <x:v>داشبورد با ۴ زون + همگام‌سازی ۴ ساعته</x:v>
      </x:c>
      <x:c r="AC231" s="30" t="str">
        <x:v>نیازمند تکمیل و تأیید مالک</x:v>
      </x:c>
      <x:c r="AD231" s="30" t="str">
        <x:v>نیازمند تکمیل و تأیید مالک</x:v>
      </x:c>
      <x:c r="AE231" s="30" t="str">
        <x:v>داشبورد با ۴ زون + همگام‌سازی ۴ ساعته</x:v>
      </x:c>
      <x:c r="AF231" s="30" t="str"/>
      <x:c r="AG231" s="30" t="str"/>
      <x:c r="AH231" s="30" t="str"/>
    </x:row>
    <x:row r="232">
      <x:c r="A232" s="17" t="inlineStr">
        <x:is>
          <x:t xml:space="preserve">TK-231</x:t>
        </x:is>
      </x:c>
      <x:c r="B232" s="4" t="inlineStr">
        <x:is>
          <x:t xml:space="preserve">UAT و پذیرش داشبورد Tier 2</x:t>
        </x:is>
      </x:c>
      <x:c r="C232" s="4" t="inlineStr">
        <x:is>
          <x:t xml:space="preserve">UAT &amp; Acceptance — Tier 2</x:t>
        </x:is>
      </x:c>
      <x:c r="D232" s="4" t="inlineStr">
        <x:is>
          <x:t xml:space="preserve">Dashboard</x:t>
        </x:is>
      </x:c>
      <x:c r="E232" s="4" t="inlineStr">
        <x:is>
          <x:t xml:space="preserve">DASH-CMO-02</x:t>
        </x:is>
      </x:c>
      <x:c r="F232" s="17" t="inlineStr">
        <x:is>
          <x:t xml:space="preserve">W5</x:t>
        </x:is>
      </x:c>
      <x:c r="G232" s="4" t="inlineStr">
        <x:is>
          <x:t xml:space="preserve">S2</x:t>
        </x:is>
      </x:c>
      <x:c r="H232" s="17" t="inlineStr">
        <x:is>
          <x:t xml:space="preserve">High</x:t>
        </x:is>
      </x:c>
      <x:c r="I232" s="4" t="inlineStr">
        <x:is>
          <x:t xml:space="preserve">CMO</x:t>
        </x:is>
      </x:c>
      <x:c r="J232" s="17" t="n">
        <x:v>3</x:v>
      </x:c>
      <x:c r="K232" s="17" t="n">
        <x:v>2</x:v>
      </x:c>
      <x:c r="L232" s="18" t="n">
        <x:f>J232*2-K232</x:f>
        <x:v>4</x:v>
      </x:c>
      <x:c r="M232" s="4" t="inlineStr">
        <x:is>
          <x:t xml:space="preserve">TK-231</x:t>
        </x:is>
      </x:c>
      <x:c r="N232" s="4" t="inlineStr">
        <x:is>
          <x:t xml:space="preserve">TST-15 سبز + امضای CMO</x:t>
        </x:is>
      </x:c>
      <x:c r="O232" s="17" t="inlineStr">
        <x:is>
          <x:t xml:space="preserve">Proposed</x:t>
        </x:is>
      </x:c>
      <x:c r="P232" s="4" t="inlineStr">
        <x:is>
          <x:t xml:space="preserve">Checklist 7</x:t>
        </x:is>
      </x:c>
      <x:c r="Q232" s="30" t="str">
        <x:v>TK-231</x:v>
      </x:c>
      <x:c r="R232" s="30" t="str"/>
      <x:c r="S232" s="30" t="str">
        <x:v>Dashboard</x:v>
      </x:c>
      <x:c r="T232" s="30" t="str">
        <x:v>DASH-CMO-02</x:v>
      </x:c>
      <x:c r="U232" s="30" t="str">
        <x:v>UAT و پذیرش داشبورد Tier 2</x:v>
      </x:c>
      <x:c r="V232" s="30" t="str">
        <x:v>Pending dependency review</x:v>
      </x:c>
      <x:c r="W232" s="30" t="str">
        <x:v>نیازمند تکمیل و تأیید مالک</x:v>
      </x:c>
      <x:c r="X232" s="30" t="str">
        <x:v>نیازمند تکمیل و تأیید مالک</x:v>
      </x:c>
      <x:c r="Y232" s="30" t="str">
        <x:v>CMO</x:v>
      </x:c>
      <x:c r="Z232" s="30" t="n">
        <x:v>7</x:v>
      </x:c>
      <x:c r="AA232" s="30" t="n">
        <x:v>231</x:v>
      </x:c>
      <x:c r="AB232" s="30" t="str">
        <x:v>TST-15 سبز + امضای CMO</x:v>
      </x:c>
      <x:c r="AC232" s="30" t="str">
        <x:v>نیازمند تکمیل و تأیید مالک</x:v>
      </x:c>
      <x:c r="AD232" s="30" t="str">
        <x:v>نیازمند تکمیل و تأیید مالک</x:v>
      </x:c>
      <x:c r="AE232" s="30" t="str">
        <x:v>TST-15 سبز + امضای CMO</x:v>
      </x:c>
      <x:c r="AF232" s="30" t="str"/>
      <x:c r="AG232" s="30" t="str"/>
      <x:c r="AH232" s="30" t="str"/>
    </x:row>
    <x:row r="233">
      <x:c r="A233" s="19" t="inlineStr">
        <x:is>
          <x:t xml:space="preserve">TK-232</x:t>
        </x:is>
      </x:c>
      <x:c r="B233" s="6" t="inlineStr">
        <x:is>
          <x:t xml:space="preserve">طراحی داشبورد Tier 3 عملیاتی</x:t>
        </x:is>
      </x:c>
      <x:c r="C233" s="6" t="inlineStr">
        <x:is>
          <x:t xml:space="preserve">Design Tier 3 Operational Dashboard</x:t>
        </x:is>
      </x:c>
      <x:c r="D233" s="6" t="inlineStr">
        <x:is>
          <x:t xml:space="preserve">Dashboard</x:t>
        </x:is>
      </x:c>
      <x:c r="E233" s="6" t="inlineStr">
        <x:is>
          <x:t xml:space="preserve">DASH-PERF-03</x:t>
        </x:is>
      </x:c>
      <x:c r="F233" s="19" t="inlineStr">
        <x:is>
          <x:t xml:space="preserve">W5</x:t>
        </x:is>
      </x:c>
      <x:c r="G233" s="6" t="inlineStr">
        <x:is>
          <x:t xml:space="preserve">S2</x:t>
        </x:is>
      </x:c>
      <x:c r="H233" s="19" t="inlineStr">
        <x:is>
          <x:t xml:space="preserve">High</x:t>
        </x:is>
      </x:c>
      <x:c r="I233" s="6" t="inlineStr">
        <x:is>
          <x:t xml:space="preserve">BI Lead</x:t>
        </x:is>
      </x:c>
      <x:c r="J233" s="19" t="n">
        <x:v>4</x:v>
      </x:c>
      <x:c r="K233" s="19" t="n">
        <x:v>3</x:v>
      </x:c>
      <x:c r="L233" s="18" t="n">
        <x:f>J233*2-K233</x:f>
        <x:v>5</x:v>
      </x:c>
      <x:c r="M233" s="6" t="inlineStr">
        <x:is>
          <x:t xml:space="preserve">TK-092..176, TK-251</x:t>
        </x:is>
      </x:c>
      <x:c r="N233" s="6" t="inlineStr">
        <x:is>
          <x:t xml:space="preserve">Wireframe ۴ زون + جریان بلادرنگ ۱۵ دقیقه‌ای</x:t>
        </x:is>
      </x:c>
      <x:c r="O233" s="19" t="inlineStr">
        <x:is>
          <x:t xml:space="preserve">Proposed</x:t>
        </x:is>
      </x:c>
      <x:c r="P233" s="6" t="inlineStr">
        <x:is>
          <x:t xml:space="preserve">قبل از ساخت</x:t>
        </x:is>
      </x:c>
      <x:c r="Q233" s="30" t="str">
        <x:v>TK-232</x:v>
      </x:c>
      <x:c r="R233" s="30" t="str"/>
      <x:c r="S233" s="30" t="str">
        <x:v>Dashboard</x:v>
      </x:c>
      <x:c r="T233" s="30" t="str">
        <x:v>DASH-PERF-03</x:v>
      </x:c>
      <x:c r="U233" s="30" t="str">
        <x:v>طراحی داشبورد Tier 3 عملیاتی</x:v>
      </x:c>
      <x:c r="V233" s="30" t="str">
        <x:v>Pending dependency review</x:v>
      </x:c>
      <x:c r="W233" s="30" t="str">
        <x:v>نیازمند تکمیل و تأیید مالک</x:v>
      </x:c>
      <x:c r="X233" s="30" t="str">
        <x:v>نیازمند تکمیل و تأیید مالک</x:v>
      </x:c>
      <x:c r="Y233" s="30" t="str">
        <x:v>BI Lead</x:v>
      </x:c>
      <x:c r="Z233" s="30" t="n">
        <x:v>7</x:v>
      </x:c>
      <x:c r="AA233" s="30" t="n">
        <x:v>232</x:v>
      </x:c>
      <x:c r="AB233" s="30" t="str">
        <x:v>Wireframe ۴ زون + جریان بلادرنگ ۱۵ دقیقه‌ای</x:v>
      </x:c>
      <x:c r="AC233" s="30" t="str">
        <x:v>نیازمند تکمیل و تأیید مالک</x:v>
      </x:c>
      <x:c r="AD233" s="30" t="str">
        <x:v>نیازمند تکمیل و تأیید مالک</x:v>
      </x:c>
      <x:c r="AE233" s="30" t="str">
        <x:v>Wireframe ۴ زون + جریان بلادرنگ ۱۵ دقیقه‌ای</x:v>
      </x:c>
      <x:c r="AF233" s="30" t="str"/>
      <x:c r="AG233" s="30" t="str"/>
      <x:c r="AH233" s="30" t="str"/>
    </x:row>
    <x:row r="234">
      <x:c r="A234" s="17" t="inlineStr">
        <x:is>
          <x:t xml:space="preserve">TK-233</x:t>
        </x:is>
      </x:c>
      <x:c r="B234" s="4" t="inlineStr">
        <x:is>
          <x:t xml:space="preserve">ساخت داشبورد Tier 3 عملیاتی</x:t>
        </x:is>
      </x:c>
      <x:c r="C234" s="4" t="inlineStr">
        <x:is>
          <x:t xml:space="preserve">Build Tier 3 Operational Dashboard</x:t>
        </x:is>
      </x:c>
      <x:c r="D234" s="4" t="inlineStr">
        <x:is>
          <x:t xml:space="preserve">Dashboard</x:t>
        </x:is>
      </x:c>
      <x:c r="E234" s="4" t="inlineStr">
        <x:is>
          <x:t xml:space="preserve">DASH-PERF-03</x:t>
        </x:is>
      </x:c>
      <x:c r="F234" s="17" t="inlineStr">
        <x:is>
          <x:t xml:space="preserve">W5</x:t>
        </x:is>
      </x:c>
      <x:c r="G234" s="4" t="inlineStr">
        <x:is>
          <x:t xml:space="preserve">S2</x:t>
        </x:is>
      </x:c>
      <x:c r="H234" s="17" t="inlineStr">
        <x:is>
          <x:t xml:space="preserve">High</x:t>
        </x:is>
      </x:c>
      <x:c r="I234" s="4" t="inlineStr">
        <x:is>
          <x:t xml:space="preserve">BI Lead</x:t>
        </x:is>
      </x:c>
      <x:c r="J234" s="17" t="n">
        <x:v>4</x:v>
      </x:c>
      <x:c r="K234" s="17" t="n">
        <x:v>4</x:v>
      </x:c>
      <x:c r="L234" s="18" t="n">
        <x:f>J234*2-K234</x:f>
        <x:v>4</x:v>
      </x:c>
      <x:c r="M234" s="4" t="inlineStr">
        <x:is>
          <x:t xml:space="preserve">TK-234</x:t>
        </x:is>
      </x:c>
      <x:c r="N234" s="4" t="inlineStr">
        <x:is>
          <x:t xml:space="preserve">داشبورد با ۴ زون + نوار هشدار + Data Freshness Indicator</x:t>
        </x:is>
      </x:c>
      <x:c r="O234" s="17" t="inlineStr">
        <x:is>
          <x:t xml:space="preserve">Proposed</x:t>
        </x:is>
      </x:c>
      <x:c r="P234" s="4" t="inlineStr">
        <x:is>
          <x:t xml:space="preserve">P-07</x:t>
        </x:is>
      </x:c>
      <x:c r="Q234" s="30" t="str">
        <x:v>TK-233</x:v>
      </x:c>
      <x:c r="R234" s="30" t="str"/>
      <x:c r="S234" s="30" t="str">
        <x:v>Dashboard</x:v>
      </x:c>
      <x:c r="T234" s="30" t="str">
        <x:v>DASH-PERF-03</x:v>
      </x:c>
      <x:c r="U234" s="30" t="str">
        <x:v>ساخت داشبورد Tier 3 عملیاتی</x:v>
      </x:c>
      <x:c r="V234" s="30" t="str">
        <x:v>Pending dependency review</x:v>
      </x:c>
      <x:c r="W234" s="30" t="str">
        <x:v>نیازمند تکمیل و تأیید مالک</x:v>
      </x:c>
      <x:c r="X234" s="30" t="str">
        <x:v>نیازمند تکمیل و تأیید مالک</x:v>
      </x:c>
      <x:c r="Y234" s="30" t="str">
        <x:v>BI Lead</x:v>
      </x:c>
      <x:c r="Z234" s="30" t="n">
        <x:v>7</x:v>
      </x:c>
      <x:c r="AA234" s="30" t="n">
        <x:v>233</x:v>
      </x:c>
      <x:c r="AB234" s="30" t="str">
        <x:v>داشبورد با ۴ زون + نوار هشدار + Data Freshness Indicator</x:v>
      </x:c>
      <x:c r="AC234" s="30" t="str">
        <x:v>نیازمند تکمیل و تأیید مالک</x:v>
      </x:c>
      <x:c r="AD234" s="30" t="str">
        <x:v>نیازمند تکمیل و تأیید مالک</x:v>
      </x:c>
      <x:c r="AE234" s="30" t="str">
        <x:v>داشبورد با ۴ زون + نوار هشدار + Data Freshness Indicator</x:v>
      </x:c>
      <x:c r="AF234" s="30" t="str"/>
      <x:c r="AG234" s="30" t="str"/>
      <x:c r="AH234" s="30" t="str"/>
    </x:row>
    <x:row r="235">
      <x:c r="A235" s="19" t="inlineStr">
        <x:is>
          <x:t xml:space="preserve">TK-234</x:t>
        </x:is>
      </x:c>
      <x:c r="B235" s="6" t="inlineStr">
        <x:is>
          <x:t xml:space="preserve">UAT و پذیرش داشبورد Tier 3</x:t>
        </x:is>
      </x:c>
      <x:c r="C235" s="6" t="inlineStr">
        <x:is>
          <x:t xml:space="preserve">UAT &amp; Acceptance — Tier 3</x:t>
        </x:is>
      </x:c>
      <x:c r="D235" s="6" t="inlineStr">
        <x:is>
          <x:t xml:space="preserve">Dashboard</x:t>
        </x:is>
      </x:c>
      <x:c r="E235" s="6" t="inlineStr">
        <x:is>
          <x:t xml:space="preserve">DASH-PERF-03</x:t>
        </x:is>
      </x:c>
      <x:c r="F235" s="19" t="inlineStr">
        <x:is>
          <x:t xml:space="preserve">W5</x:t>
        </x:is>
      </x:c>
      <x:c r="G235" s="6" t="inlineStr">
        <x:is>
          <x:t xml:space="preserve">S2</x:t>
        </x:is>
      </x:c>
      <x:c r="H235" s="19" t="inlineStr">
        <x:is>
          <x:t xml:space="preserve">High</x:t>
        </x:is>
      </x:c>
      <x:c r="I235" s="6" t="inlineStr">
        <x:is>
          <x:t xml:space="preserve">Performance Marketing Lead</x:t>
        </x:is>
      </x:c>
      <x:c r="J235" s="19" t="n">
        <x:v>3</x:v>
      </x:c>
      <x:c r="K235" s="19" t="n">
        <x:v>2</x:v>
      </x:c>
      <x:c r="L235" s="18" t="n">
        <x:f>J235*2-K235</x:f>
        <x:v>4</x:v>
      </x:c>
      <x:c r="M235" s="6" t="inlineStr">
        <x:is>
          <x:t xml:space="preserve">TK-235</x:t>
        </x:is>
      </x:c>
      <x:c r="N235" s="6" t="inlineStr">
        <x:is>
          <x:t xml:space="preserve">TST-16 سبز + امضای لید پرفورمنس</x:t>
        </x:is>
      </x:c>
      <x:c r="O235" s="19" t="inlineStr">
        <x:is>
          <x:t xml:space="preserve">Proposed</x:t>
        </x:is>
      </x:c>
      <x:c r="P235" s="6" t="inlineStr">
        <x:is>
          <x:t xml:space="preserve">Checklist 7</x:t>
        </x:is>
      </x:c>
      <x:c r="Q235" s="30" t="str">
        <x:v>TK-234</x:v>
      </x:c>
      <x:c r="R235" s="30" t="str"/>
      <x:c r="S235" s="30" t="str">
        <x:v>Dashboard</x:v>
      </x:c>
      <x:c r="T235" s="30" t="str">
        <x:v>DASH-PERF-03</x:v>
      </x:c>
      <x:c r="U235" s="30" t="str">
        <x:v>UAT و پذیرش داشبورد Tier 3</x:v>
      </x:c>
      <x:c r="V235" s="30" t="str">
        <x:v>Pending dependency review</x:v>
      </x:c>
      <x:c r="W235" s="30" t="str">
        <x:v>نیازمند تکمیل و تأیید مالک</x:v>
      </x:c>
      <x:c r="X235" s="30" t="str">
        <x:v>نیازمند تکمیل و تأیید مالک</x:v>
      </x:c>
      <x:c r="Y235" s="30" t="str">
        <x:v>Performance Marketing Lead</x:v>
      </x:c>
      <x:c r="Z235" s="30" t="n">
        <x:v>7</x:v>
      </x:c>
      <x:c r="AA235" s="30" t="n">
        <x:v>234</x:v>
      </x:c>
      <x:c r="AB235" s="30" t="str">
        <x:v>TST-16 سبز + امضای لید پرفورمنس</x:v>
      </x:c>
      <x:c r="AC235" s="30" t="str">
        <x:v>نیازمند تکمیل و تأیید مالک</x:v>
      </x:c>
      <x:c r="AD235" s="30" t="str">
        <x:v>نیازمند تکمیل و تأیید مالک</x:v>
      </x:c>
      <x:c r="AE235" s="30" t="str">
        <x:v>TST-16 سبز + امضای لید پرفورمنس</x:v>
      </x:c>
      <x:c r="AF235" s="30" t="str"/>
      <x:c r="AG235" s="30" t="str"/>
      <x:c r="AH235" s="30" t="str"/>
    </x:row>
    <x:row r="236">
      <x:c r="A236" s="17" t="inlineStr">
        <x:is>
          <x:t xml:space="preserve">TK-235</x:t>
        </x:is>
      </x:c>
      <x:c r="B236" s="4" t="inlineStr">
        <x:is>
          <x:t xml:space="preserve">هشدار: افت ناگهانی رخدادهای تبدیل خرید در وب‌سایت</x:t>
        </x:is>
      </x:c>
      <x:c r="C236" s="4" t="inlineStr">
        <x:is>
          <x:t xml:space="preserve">Implement Alert: Sudden Purchase Conversion Drop</x:t>
        </x:is>
      </x:c>
      <x:c r="D236" s="4" t="inlineStr">
        <x:is>
          <x:t xml:space="preserve">Alert</x:t>
        </x:is>
      </x:c>
      <x:c r="E236" s="4" t="inlineStr">
        <x:is>
          <x:t xml:space="preserve">ALT-01</x:t>
        </x:is>
      </x:c>
      <x:c r="F236" s="17" t="inlineStr">
        <x:is>
          <x:t xml:space="preserve">W5</x:t>
        </x:is>
      </x:c>
      <x:c r="G236" s="4" t="inlineStr">
        <x:is>
          <x:t xml:space="preserve">S2</x:t>
        </x:is>
      </x:c>
      <x:c r="H236" s="17" t="inlineStr">
        <x:is>
          <x:t xml:space="preserve">Critical</x:t>
        </x:is>
      </x:c>
      <x:c r="I236" s="4" t="inlineStr">
        <x:is>
          <x:t xml:space="preserve">Senior Data Engineer</x:t>
        </x:is>
      </x:c>
      <x:c r="J236" s="17" t="n">
        <x:v>5</x:v>
      </x:c>
      <x:c r="K236" s="17" t="n">
        <x:v>3</x:v>
      </x:c>
      <x:c r="L236" s="18" t="n">
        <x:f>J236*2-K236</x:f>
        <x:v>7</x:v>
      </x:c>
      <x:c r="M236" s="4" t="inlineStr">
        <x:is>
          <x:t xml:space="preserve">TK-040, TK-251</x:t>
        </x:is>
      </x:c>
      <x:c r="N236" s="4" t="inlineStr">
        <x:is>
          <x:t xml:space="preserve">تریگر «افت بیش از ۳۵٪ در تعداد خریدهای موفق در بازه متحرک ۳ ساعته ن…» + Runbook 5 گامه + TST-17/18 سبز</x:t>
        </x:is>
      </x:c>
      <x:c r="O236" s="17" t="inlineStr">
        <x:is>
          <x:t xml:space="preserve">Proposed</x:t>
        </x:is>
      </x:c>
      <x:c r="P236" s="4" t="inlineStr">
        <x:is>
          <x:t xml:space="preserve">P1 - بحرانی (Critical)</x:t>
        </x:is>
      </x:c>
      <x:c r="Q236" s="30" t="str">
        <x:v>TK-235</x:v>
      </x:c>
      <x:c r="R236" s="30" t="str"/>
      <x:c r="S236" s="30" t="str">
        <x:v>Alert</x:v>
      </x:c>
      <x:c r="T236" s="30" t="str">
        <x:v>ALT-01</x:v>
      </x:c>
      <x:c r="U236" s="30" t="str">
        <x:v>هشدار: افت ناگهانی رخدادهای تبدیل خرید در وب‌سایت</x:v>
      </x:c>
      <x:c r="V236" s="30" t="str">
        <x:v>Pending dependency review</x:v>
      </x:c>
      <x:c r="W236" s="30" t="str">
        <x:v>نیازمند تکمیل و تأیید مالک</x:v>
      </x:c>
      <x:c r="X236" s="30" t="str">
        <x:v>نیازمند تکمیل و تأیید مالک</x:v>
      </x:c>
      <x:c r="Y236" s="30" t="str">
        <x:v>Senior Data Engineer</x:v>
      </x:c>
      <x:c r="Z236" s="30" t="n">
        <x:v>7</x:v>
      </x:c>
      <x:c r="AA236" s="30" t="n">
        <x:v>235</x:v>
      </x:c>
      <x:c r="AB236" s="30" t="str">
        <x:v>تریگر «افت بیش از ۳۵٪ در تعداد خریدهای موفق در بازه متحرک ۳ ساعته ن…» + Runbook 5 گامه + TST-17/18 سبز</x:v>
      </x:c>
      <x:c r="AC236" s="30" t="str">
        <x:v>نیازمند تکمیل و تأیید مالک</x:v>
      </x:c>
      <x:c r="AD236" s="30" t="str">
        <x:v>نیازمند تکمیل و تأیید مالک</x:v>
      </x:c>
      <x:c r="AE236" s="30" t="str">
        <x:v>تریگر «افت بیش از ۳۵٪ در تعداد خریدهای موفق در بازه متحرک ۳ ساعته ن…» + Runbook 5 گامه + TST-17/18 سبز</x:v>
      </x:c>
      <x:c r="AF236" s="30" t="str"/>
      <x:c r="AG236" s="30" t="str"/>
      <x:c r="AH236" s="30" t="str"/>
    </x:row>
    <x:row r="237">
      <x:c r="A237" s="19" t="inlineStr">
        <x:is>
          <x:t xml:space="preserve">TK-236</x:t>
        </x:is>
      </x:c>
      <x:c r="B237" s="6" t="inlineStr">
        <x:is>
          <x:t xml:space="preserve">هشدار: افت شدید کیفیت سیگنال و خطای تطابق ترکینگ CAPI</x:t>
        </x:is>
      </x:c>
      <x:c r="C237" s="6" t="inlineStr">
        <x:is>
          <x:t xml:space="preserve">Implement Alert: Meta CAPI &amp; Server-Side Signal Quality Degradation</x:t>
        </x:is>
      </x:c>
      <x:c r="D237" s="6" t="inlineStr">
        <x:is>
          <x:t xml:space="preserve">Alert</x:t>
        </x:is>
      </x:c>
      <x:c r="E237" s="6" t="inlineStr">
        <x:is>
          <x:t xml:space="preserve">ALT-02</x:t>
        </x:is>
      </x:c>
      <x:c r="F237" s="19" t="inlineStr">
        <x:is>
          <x:t xml:space="preserve">W5</x:t>
        </x:is>
      </x:c>
      <x:c r="G237" s="6" t="inlineStr">
        <x:is>
          <x:t xml:space="preserve">S2</x:t>
        </x:is>
      </x:c>
      <x:c r="H237" s="19" t="inlineStr">
        <x:is>
          <x:t xml:space="preserve">Critical</x:t>
        </x:is>
      </x:c>
      <x:c r="I237" s="6" t="inlineStr">
        <x:is>
          <x:t xml:space="preserve">Senior Data Engineer</x:t>
        </x:is>
      </x:c>
      <x:c r="J237" s="19" t="n">
        <x:v>5</x:v>
      </x:c>
      <x:c r="K237" s="19" t="n">
        <x:v>3</x:v>
      </x:c>
      <x:c r="L237" s="18" t="n">
        <x:f>J237*2-K237</x:f>
        <x:v>7</x:v>
      </x:c>
      <x:c r="M237" s="6" t="inlineStr">
        <x:is>
          <x:t xml:space="preserve">TK-040, TK-251</x:t>
        </x:is>
      </x:c>
      <x:c r="N237" s="6" t="inlineStr">
        <x:is>
          <x:t xml:space="preserve">تریگر «کاهش امتیاز تطابق رویدادهای خرید (Purchase EMQ) به کمتر از ۶…» + Runbook 4 گامه + TST-17/18 سبز</x:t>
        </x:is>
      </x:c>
      <x:c r="O237" s="19" t="inlineStr">
        <x:is>
          <x:t xml:space="preserve">Proposed</x:t>
        </x:is>
      </x:c>
      <x:c r="P237" s="6" t="inlineStr">
        <x:is>
          <x:t xml:space="preserve">P1 - بحرانی (Critical)</x:t>
        </x:is>
      </x:c>
      <x:c r="Q237" s="30" t="str">
        <x:v>TK-236</x:v>
      </x:c>
      <x:c r="R237" s="30" t="str"/>
      <x:c r="S237" s="30" t="str">
        <x:v>Alert</x:v>
      </x:c>
      <x:c r="T237" s="30" t="str">
        <x:v>ALT-02</x:v>
      </x:c>
      <x:c r="U237" s="30" t="str">
        <x:v>هشدار: افت شدید کیفیت سیگنال و خطای تطابق ترکینگ CAPI</x:v>
      </x:c>
      <x:c r="V237" s="30" t="str">
        <x:v>Pending dependency review</x:v>
      </x:c>
      <x:c r="W237" s="30" t="str">
        <x:v>نیازمند تکمیل و تأیید مالک</x:v>
      </x:c>
      <x:c r="X237" s="30" t="str">
        <x:v>نیازمند تکمیل و تأیید مالک</x:v>
      </x:c>
      <x:c r="Y237" s="30" t="str">
        <x:v>Senior Data Engineer</x:v>
      </x:c>
      <x:c r="Z237" s="30" t="n">
        <x:v>7</x:v>
      </x:c>
      <x:c r="AA237" s="30" t="n">
        <x:v>236</x:v>
      </x:c>
      <x:c r="AB237" s="30" t="str">
        <x:v>تریگر «کاهش امتیاز تطابق رویدادهای خرید (Purchase EMQ) به کمتر از ۶…» + Runbook 4 گامه + TST-17/18 سبز</x:v>
      </x:c>
      <x:c r="AC237" s="30" t="str">
        <x:v>نیازمند تکمیل و تأیید مالک</x:v>
      </x:c>
      <x:c r="AD237" s="30" t="str">
        <x:v>نیازمند تکمیل و تأیید مالک</x:v>
      </x:c>
      <x:c r="AE237" s="30" t="str">
        <x:v>تریگر «کاهش امتیاز تطابق رویدادهای خرید (Purchase EMQ) به کمتر از ۶…» + Runbook 4 گامه + TST-17/18 سبز</x:v>
      </x:c>
      <x:c r="AF237" s="30" t="str"/>
      <x:c r="AG237" s="30" t="str"/>
      <x:c r="AH237" s="30" t="str"/>
    </x:row>
    <x:row r="238">
      <x:c r="A238" s="17" t="inlineStr">
        <x:is>
          <x:t xml:space="preserve">TK-237</x:t>
        </x:is>
      </x:c>
      <x:c r="B238" s="4" t="inlineStr">
        <x:is>
          <x:t xml:space="preserve">هشدار: جهش غیرعادی در سرعت مصرف بودجه و ریسک اضافه مصرف</x:t>
        </x:is>
      </x:c>
      <x:c r="C238" s="4" t="inlineStr">
        <x:is>
          <x:t xml:space="preserve">Implement Alert: Budget Overspend Surge Alert</x:t>
        </x:is>
      </x:c>
      <x:c r="D238" s="4" t="inlineStr">
        <x:is>
          <x:t xml:space="preserve">Alert</x:t>
        </x:is>
      </x:c>
      <x:c r="E238" s="4" t="inlineStr">
        <x:is>
          <x:t xml:space="preserve">ALT-03</x:t>
        </x:is>
      </x:c>
      <x:c r="F238" s="17" t="inlineStr">
        <x:is>
          <x:t xml:space="preserve">W5</x:t>
        </x:is>
      </x:c>
      <x:c r="G238" s="4" t="inlineStr">
        <x:is>
          <x:t xml:space="preserve">S2</x:t>
        </x:is>
      </x:c>
      <x:c r="H238" s="17" t="inlineStr">
        <x:is>
          <x:t xml:space="preserve">Critical</x:t>
        </x:is>
      </x:c>
      <x:c r="I238" s="4" t="inlineStr">
        <x:is>
          <x:t xml:space="preserve">Senior Data Engineer</x:t>
        </x:is>
      </x:c>
      <x:c r="J238" s="17" t="n">
        <x:v>5</x:v>
      </x:c>
      <x:c r="K238" s="17" t="n">
        <x:v>3</x:v>
      </x:c>
      <x:c r="L238" s="18" t="n">
        <x:f>J238*2-K238</x:f>
        <x:v>7</x:v>
      </x:c>
      <x:c r="M238" s="4" t="inlineStr">
        <x:is>
          <x:t xml:space="preserve">TK-040, TK-251</x:t>
        </x:is>
      </x:c>
      <x:c r="N238" s="4" t="inlineStr">
        <x:is>
          <x:t xml:space="preserve">تریگر «مصرف بیش از ۶۰٪ بودجه روزانه کمپین تا پیش از ساعت ۱۱:۰۰ صبح،…» + Runbook 4 گامه + TST-17/18 سبز</x:t>
        </x:is>
      </x:c>
      <x:c r="O238" s="17" t="inlineStr">
        <x:is>
          <x:t xml:space="preserve">Proposed</x:t>
        </x:is>
      </x:c>
      <x:c r="P238" s="4" t="inlineStr">
        <x:is>
          <x:t xml:space="preserve">P1 - بحرانی (Critical)</x:t>
        </x:is>
      </x:c>
      <x:c r="Q238" s="30" t="str">
        <x:v>TK-237</x:v>
      </x:c>
      <x:c r="R238" s="30" t="str"/>
      <x:c r="S238" s="30" t="str">
        <x:v>Alert</x:v>
      </x:c>
      <x:c r="T238" s="30" t="str">
        <x:v>ALT-03</x:v>
      </x:c>
      <x:c r="U238" s="30" t="str">
        <x:v>هشدار: جهش غیرعادی در سرعت مصرف بودجه و ریسک اضافه مصرف</x:v>
      </x:c>
      <x:c r="V238" s="30" t="str">
        <x:v>Pending dependency review</x:v>
      </x:c>
      <x:c r="W238" s="30" t="str">
        <x:v>نیازمند تکمیل و تأیید مالک</x:v>
      </x:c>
      <x:c r="X238" s="30" t="str">
        <x:v>نیازمند تکمیل و تأیید مالک</x:v>
      </x:c>
      <x:c r="Y238" s="30" t="str">
        <x:v>Senior Data Engineer</x:v>
      </x:c>
      <x:c r="Z238" s="30" t="n">
        <x:v>7</x:v>
      </x:c>
      <x:c r="AA238" s="30" t="n">
        <x:v>237</x:v>
      </x:c>
      <x:c r="AB238" s="30" t="str">
        <x:v>تریگر «مصرف بیش از ۶۰٪ بودجه روزانه کمپین تا پیش از ساعت ۱۱:۰۰ صبح،…» + Runbook 4 گامه + TST-17/18 سبز</x:v>
      </x:c>
      <x:c r="AC238" s="30" t="str">
        <x:v>نیازمند تکمیل و تأیید مالک</x:v>
      </x:c>
      <x:c r="AD238" s="30" t="str">
        <x:v>نیازمند تکمیل و تأیید مالک</x:v>
      </x:c>
      <x:c r="AE238" s="30" t="str">
        <x:v>تریگر «مصرف بیش از ۶۰٪ بودجه روزانه کمپین تا پیش از ساعت ۱۱:۰۰ صبح،…» + Runbook 4 گامه + TST-17/18 سبز</x:v>
      </x:c>
      <x:c r="AF238" s="30" t="str"/>
      <x:c r="AG238" s="30" t="str"/>
      <x:c r="AH238" s="30" t="str"/>
    </x:row>
    <x:row r="239">
      <x:c r="A239" s="19" t="inlineStr">
        <x:is>
          <x:t xml:space="preserve">TK-238</x:t>
        </x:is>
      </x:c>
      <x:c r="B239" s="6" t="inlineStr">
        <x:is>
          <x:t xml:space="preserve">هشدار: جهش شدید در هزینه جذب لید واجد شرایط بازاریابی</x:t>
        </x:is>
      </x:c>
      <x:c r="C239" s="6" t="inlineStr">
        <x:is>
          <x:t xml:space="preserve">Implement Alert: Cost per MQL Surge Alert</x:t>
        </x:is>
      </x:c>
      <x:c r="D239" s="6" t="inlineStr">
        <x:is>
          <x:t xml:space="preserve">Alert</x:t>
        </x:is>
      </x:c>
      <x:c r="E239" s="6" t="inlineStr">
        <x:is>
          <x:t xml:space="preserve">ALT-04</x:t>
        </x:is>
      </x:c>
      <x:c r="F239" s="19" t="inlineStr">
        <x:is>
          <x:t xml:space="preserve">W5</x:t>
        </x:is>
      </x:c>
      <x:c r="G239" s="6" t="inlineStr">
        <x:is>
          <x:t xml:space="preserve">S2</x:t>
        </x:is>
      </x:c>
      <x:c r="H239" s="19" t="inlineStr">
        <x:is>
          <x:t xml:space="preserve">High</x:t>
        </x:is>
      </x:c>
      <x:c r="I239" s="6" t="inlineStr">
        <x:is>
          <x:t xml:space="preserve">Data Analyst</x:t>
        </x:is>
      </x:c>
      <x:c r="J239" s="19" t="n">
        <x:v>4</x:v>
      </x:c>
      <x:c r="K239" s="19" t="n">
        <x:v>3</x:v>
      </x:c>
      <x:c r="L239" s="18" t="n">
        <x:f>J239*2-K239</x:f>
        <x:v>5</x:v>
      </x:c>
      <x:c r="M239" s="6" t="inlineStr">
        <x:is>
          <x:t xml:space="preserve">TK-040, TK-251</x:t>
        </x:is>
      </x:c>
      <x:c r="N239" s="6" t="inlineStr">
        <x:is>
          <x:t xml:space="preserve">تریگر «افزایش هزینه به ازای هر MQL به میزان بیش از ۴۰٪ بالاتر از می…» + Runbook 4 گامه + TST-17/18 سبز</x:t>
        </x:is>
      </x:c>
      <x:c r="O239" s="19" t="inlineStr">
        <x:is>
          <x:t xml:space="preserve">Proposed</x:t>
        </x:is>
      </x:c>
      <x:c r="P239" s="6" t="inlineStr">
        <x:is>
          <x:t xml:space="preserve">P2 - هشدار جدی (Warning)</x:t>
        </x:is>
      </x:c>
      <x:c r="Q239" s="30" t="str">
        <x:v>TK-238</x:v>
      </x:c>
      <x:c r="R239" s="30" t="str"/>
      <x:c r="S239" s="30" t="str">
        <x:v>Alert</x:v>
      </x:c>
      <x:c r="T239" s="30" t="str">
        <x:v>ALT-04</x:v>
      </x:c>
      <x:c r="U239" s="30" t="str">
        <x:v>هشدار: جهش شدید در هزینه جذب لید واجد شرایط بازاریابی</x:v>
      </x:c>
      <x:c r="V239" s="30" t="str">
        <x:v>Pending dependency review</x:v>
      </x:c>
      <x:c r="W239" s="30" t="str">
        <x:v>نیازمند تکمیل و تأیید مالک</x:v>
      </x:c>
      <x:c r="X239" s="30" t="str">
        <x:v>نیازمند تکمیل و تأیید مالک</x:v>
      </x:c>
      <x:c r="Y239" s="30" t="str">
        <x:v>Data Analyst</x:v>
      </x:c>
      <x:c r="Z239" s="30" t="n">
        <x:v>7</x:v>
      </x:c>
      <x:c r="AA239" s="30" t="n">
        <x:v>238</x:v>
      </x:c>
      <x:c r="AB239" s="30" t="str">
        <x:v>تریگر «افزایش هزینه به ازای هر MQL به میزان بیش از ۴۰٪ بالاتر از می…» + Runbook 4 گامه + TST-17/18 سبز</x:v>
      </x:c>
      <x:c r="AC239" s="30" t="str">
        <x:v>نیازمند تکمیل و تأیید مالک</x:v>
      </x:c>
      <x:c r="AD239" s="30" t="str">
        <x:v>نیازمند تکمیل و تأیید مالک</x:v>
      </x:c>
      <x:c r="AE239" s="30" t="str">
        <x:v>تریگر «افزایش هزینه به ازای هر MQL به میزان بیش از ۴۰٪ بالاتر از می…» + Runbook 4 گامه + TST-17/18 سبز</x:v>
      </x:c>
      <x:c r="AF239" s="30" t="str"/>
      <x:c r="AG239" s="30" t="str"/>
      <x:c r="AH239" s="30" t="str"/>
    </x:row>
    <x:row r="240">
      <x:c r="A240" s="17" t="inlineStr">
        <x:is>
          <x:t xml:space="preserve">TK-239</x:t>
        </x:is>
      </x:c>
      <x:c r="B240" s="4" t="inlineStr">
        <x:is>
          <x:t xml:space="preserve">هشدار: جهش در زمان بارگذاری صفحه فرود و نرخ پرش کاربران</x:t>
        </x:is>
      </x:c>
      <x:c r="C240" s="4" t="inlineStr">
        <x:is>
          <x:t xml:space="preserve">Implement Alert: Landing Page Latency &amp; Bounce Rate Spike</x:t>
        </x:is>
      </x:c>
      <x:c r="D240" s="4" t="inlineStr">
        <x:is>
          <x:t xml:space="preserve">Alert</x:t>
        </x:is>
      </x:c>
      <x:c r="E240" s="4" t="inlineStr">
        <x:is>
          <x:t xml:space="preserve">ALT-05</x:t>
        </x:is>
      </x:c>
      <x:c r="F240" s="17" t="inlineStr">
        <x:is>
          <x:t xml:space="preserve">W5</x:t>
        </x:is>
      </x:c>
      <x:c r="G240" s="4" t="inlineStr">
        <x:is>
          <x:t xml:space="preserve">S2</x:t>
        </x:is>
      </x:c>
      <x:c r="H240" s="17" t="inlineStr">
        <x:is>
          <x:t xml:space="preserve">Critical</x:t>
        </x:is>
      </x:c>
      <x:c r="I240" s="4" t="inlineStr">
        <x:is>
          <x:t xml:space="preserve">DevOps/Web Engineer</x:t>
        </x:is>
      </x:c>
      <x:c r="J240" s="17" t="n">
        <x:v>5</x:v>
      </x:c>
      <x:c r="K240" s="17" t="n">
        <x:v>3</x:v>
      </x:c>
      <x:c r="L240" s="18" t="n">
        <x:f>J240*2-K240</x:f>
        <x:v>7</x:v>
      </x:c>
      <x:c r="M240" s="4" t="inlineStr">
        <x:is>
          <x:t xml:space="preserve">TK-040, TK-251</x:t>
        </x:is>
      </x:c>
      <x:c r="N240" s="4" t="inlineStr">
        <x:is>
          <x:t xml:space="preserve">تریگر «افزایش میانگین زمان بارگذاری لندینگ‌پیج‌های پرهزینه به بیش ا…» + Runbook 4 گامه + TST-17/18 سبز</x:t>
        </x:is>
      </x:c>
      <x:c r="O240" s="17" t="inlineStr">
        <x:is>
          <x:t xml:space="preserve">Proposed</x:t>
        </x:is>
      </x:c>
      <x:c r="P240" s="4" t="inlineStr">
        <x:is>
          <x:t xml:space="preserve">P1 - بحرانی (Critical)</x:t>
        </x:is>
      </x:c>
      <x:c r="Q240" s="30" t="str">
        <x:v>TK-239</x:v>
      </x:c>
      <x:c r="R240" s="30" t="str"/>
      <x:c r="S240" s="30" t="str">
        <x:v>Alert</x:v>
      </x:c>
      <x:c r="T240" s="30" t="str">
        <x:v>ALT-05</x:v>
      </x:c>
      <x:c r="U240" s="30" t="str">
        <x:v>هشدار: جهش در زمان بارگذاری صفحه فرود و نرخ پرش کاربران</x:v>
      </x:c>
      <x:c r="V240" s="30" t="str">
        <x:v>Pending dependency review</x:v>
      </x:c>
      <x:c r="W240" s="30" t="str">
        <x:v>نیازمند تکمیل و تأیید مالک</x:v>
      </x:c>
      <x:c r="X240" s="30" t="str">
        <x:v>نیازمند تکمیل و تأیید مالک</x:v>
      </x:c>
      <x:c r="Y240" s="30" t="str">
        <x:v>DevOps/Web Engineer</x:v>
      </x:c>
      <x:c r="Z240" s="30" t="n">
        <x:v>7</x:v>
      </x:c>
      <x:c r="AA240" s="30" t="n">
        <x:v>239</x:v>
      </x:c>
      <x:c r="AB240" s="30" t="str">
        <x:v>تریگر «افزایش میانگین زمان بارگذاری لندینگ‌پیج‌های پرهزینه به بیش ا…» + Runbook 4 گامه + TST-17/18 سبز</x:v>
      </x:c>
      <x:c r="AC240" s="30" t="str">
        <x:v>نیازمند تکمیل و تأیید مالک</x:v>
      </x:c>
      <x:c r="AD240" s="30" t="str">
        <x:v>نیازمند تکمیل و تأیید مالک</x:v>
      </x:c>
      <x:c r="AE240" s="30" t="str">
        <x:v>تریگر «افزایش میانگین زمان بارگذاری لندینگ‌پیج‌های پرهزینه به بیش ا…» + Runbook 4 گامه + TST-17/18 سبز</x:v>
      </x:c>
      <x:c r="AF240" s="30" t="str"/>
      <x:c r="AG240" s="30" t="str"/>
      <x:c r="AH240" s="30" t="str"/>
    </x:row>
    <x:row r="241">
      <x:c r="A241" s="19" t="inlineStr">
        <x:is>
          <x:t xml:space="preserve">TK-240</x:t>
        </x:is>
      </x:c>
      <x:c r="B241" s="6" t="inlineStr">
        <x:is>
          <x:t xml:space="preserve">هشدار: جهش ناگهانی هزینه به ازای هر کلیک در کمپین‌های سرچ</x:t>
        </x:is>
      </x:c>
      <x:c r="C241" s="6" t="inlineStr">
        <x:is>
          <x:t xml:space="preserve">Implement Alert: CPC Surge in Search Campaigns</x:t>
        </x:is>
      </x:c>
      <x:c r="D241" s="6" t="inlineStr">
        <x:is>
          <x:t xml:space="preserve">Alert</x:t>
        </x:is>
      </x:c>
      <x:c r="E241" s="6" t="inlineStr">
        <x:is>
          <x:t xml:space="preserve">ALT-06</x:t>
        </x:is>
      </x:c>
      <x:c r="F241" s="19" t="inlineStr">
        <x:is>
          <x:t xml:space="preserve">W5</x:t>
        </x:is>
      </x:c>
      <x:c r="G241" s="6" t="inlineStr">
        <x:is>
          <x:t xml:space="preserve">S2</x:t>
        </x:is>
      </x:c>
      <x:c r="H241" s="19" t="inlineStr">
        <x:is>
          <x:t xml:space="preserve">High</x:t>
        </x:is>
      </x:c>
      <x:c r="I241" s="6" t="inlineStr">
        <x:is>
          <x:t xml:space="preserve">Data Analyst</x:t>
        </x:is>
      </x:c>
      <x:c r="J241" s="19" t="n">
        <x:v>4</x:v>
      </x:c>
      <x:c r="K241" s="19" t="n">
        <x:v>3</x:v>
      </x:c>
      <x:c r="L241" s="18" t="n">
        <x:f>J241*2-K241</x:f>
        <x:v>5</x:v>
      </x:c>
      <x:c r="M241" s="6" t="inlineStr">
        <x:is>
          <x:t xml:space="preserve">TK-040, TK-251</x:t>
        </x:is>
      </x:c>
      <x:c r="N241" s="6" t="inlineStr">
        <x:is>
          <x:t xml:space="preserve">تریگر «افزایش میانگین CPC کمپین‌های سرچ تجهیزات به میزان بیش از ۴۵٪…» + Runbook 4 گامه + TST-17/18 سبز</x:t>
        </x:is>
      </x:c>
      <x:c r="O241" s="19" t="inlineStr">
        <x:is>
          <x:t xml:space="preserve">Proposed</x:t>
        </x:is>
      </x:c>
      <x:c r="P241" s="6" t="inlineStr">
        <x:is>
          <x:t xml:space="preserve">P2 - هشدار جدی (Warning)</x:t>
        </x:is>
      </x:c>
      <x:c r="Q241" s="30" t="str">
        <x:v>TK-240</x:v>
      </x:c>
      <x:c r="R241" s="30" t="str"/>
      <x:c r="S241" s="30" t="str">
        <x:v>Alert</x:v>
      </x:c>
      <x:c r="T241" s="30" t="str">
        <x:v>ALT-06</x:v>
      </x:c>
      <x:c r="U241" s="30" t="str">
        <x:v>هشدار: جهش ناگهانی هزینه به ازای هر کلیک در کمپین‌های سرچ</x:v>
      </x:c>
      <x:c r="V241" s="30" t="str">
        <x:v>Pending dependency review</x:v>
      </x:c>
      <x:c r="W241" s="30" t="str">
        <x:v>نیازمند تکمیل و تأیید مالک</x:v>
      </x:c>
      <x:c r="X241" s="30" t="str">
        <x:v>نیازمند تکمیل و تأیید مالک</x:v>
      </x:c>
      <x:c r="Y241" s="30" t="str">
        <x:v>Data Analyst</x:v>
      </x:c>
      <x:c r="Z241" s="30" t="n">
        <x:v>7</x:v>
      </x:c>
      <x:c r="AA241" s="30" t="n">
        <x:v>240</x:v>
      </x:c>
      <x:c r="AB241" s="30" t="str">
        <x:v>تریگر «افزایش میانگین CPC کمپین‌های سرچ تجهیزات به میزان بیش از ۴۵٪…» + Runbook 4 گامه + TST-17/18 سبز</x:v>
      </x:c>
      <x:c r="AC241" s="30" t="str">
        <x:v>نیازمند تکمیل و تأیید مالک</x:v>
      </x:c>
      <x:c r="AD241" s="30" t="str">
        <x:v>نیازمند تکمیل و تأیید مالک</x:v>
      </x:c>
      <x:c r="AE241" s="30" t="str">
        <x:v>تریگر «افزایش میانگین CPC کمپین‌های سرچ تجهیزات به میزان بیش از ۴۵٪…» + Runbook 4 گامه + TST-17/18 سبز</x:v>
      </x:c>
      <x:c r="AF241" s="30" t="str"/>
      <x:c r="AG241" s="30" t="str"/>
      <x:c r="AH241" s="30" t="str"/>
    </x:row>
    <x:row r="242">
      <x:c r="A242" s="17" t="inlineStr">
        <x:is>
          <x:t xml:space="preserve">TK-241</x:t>
        </x:is>
      </x:c>
      <x:c r="B242" s="4" t="inlineStr">
        <x:is>
          <x:t xml:space="preserve">هشدار: فرسایش شدید محتوای تبلیغاتی و افت ماندگاری ویدیو</x:t>
        </x:is>
      </x:c>
      <x:c r="C242" s="4" t="inlineStr">
        <x:is>
          <x:t xml:space="preserve">Implement Alert: Creative Fatigue &amp; Ad Engagement Decay Alert</x:t>
        </x:is>
      </x:c>
      <x:c r="D242" s="4" t="inlineStr">
        <x:is>
          <x:t xml:space="preserve">Alert</x:t>
        </x:is>
      </x:c>
      <x:c r="E242" s="4" t="inlineStr">
        <x:is>
          <x:t xml:space="preserve">ALT-07</x:t>
        </x:is>
      </x:c>
      <x:c r="F242" s="17" t="inlineStr">
        <x:is>
          <x:t xml:space="preserve">W5</x:t>
        </x:is>
      </x:c>
      <x:c r="G242" s="4" t="inlineStr">
        <x:is>
          <x:t xml:space="preserve">S2</x:t>
        </x:is>
      </x:c>
      <x:c r="H242" s="17" t="inlineStr">
        <x:is>
          <x:t xml:space="preserve">High</x:t>
        </x:is>
      </x:c>
      <x:c r="I242" s="4" t="inlineStr">
        <x:is>
          <x:t xml:space="preserve">Data Analyst</x:t>
        </x:is>
      </x:c>
      <x:c r="J242" s="17" t="n">
        <x:v>4</x:v>
      </x:c>
      <x:c r="K242" s="17" t="n">
        <x:v>3</x:v>
      </x:c>
      <x:c r="L242" s="18" t="n">
        <x:f>J242*2-K242</x:f>
        <x:v>5</x:v>
      </x:c>
      <x:c r="M242" s="4" t="inlineStr">
        <x:is>
          <x:t xml:space="preserve">TK-040, TK-251</x:t>
        </x:is>
      </x:c>
      <x:c r="N242" s="4" t="inlineStr">
        <x:is>
          <x:t xml:space="preserve">تریگر «افزایش فرکانس نمایش یک آگهی به بالای ۴.۰ همراه با افت بیش از…» + Runbook 4 گامه + TST-17/18 سبز</x:t>
        </x:is>
      </x:c>
      <x:c r="O242" s="17" t="inlineStr">
        <x:is>
          <x:t xml:space="preserve">Proposed</x:t>
        </x:is>
      </x:c>
      <x:c r="P242" s="4" t="inlineStr">
        <x:is>
          <x:t xml:space="preserve">P2 - هشدار جدی (Warning)</x:t>
        </x:is>
      </x:c>
      <x:c r="Q242" s="30" t="str">
        <x:v>TK-241</x:v>
      </x:c>
      <x:c r="R242" s="30" t="str"/>
      <x:c r="S242" s="30" t="str">
        <x:v>Alert</x:v>
      </x:c>
      <x:c r="T242" s="30" t="str">
        <x:v>ALT-07</x:v>
      </x:c>
      <x:c r="U242" s="30" t="str">
        <x:v>هشدار: فرسایش شدید محتوای تبلیغاتی و افت ماندگاری ویدیو</x:v>
      </x:c>
      <x:c r="V242" s="30" t="str">
        <x:v>Pending dependency review</x:v>
      </x:c>
      <x:c r="W242" s="30" t="str">
        <x:v>نیازمند تکمیل و تأیید مالک</x:v>
      </x:c>
      <x:c r="X242" s="30" t="str">
        <x:v>نیازمند تکمیل و تأیید مالک</x:v>
      </x:c>
      <x:c r="Y242" s="30" t="str">
        <x:v>Data Analyst</x:v>
      </x:c>
      <x:c r="Z242" s="30" t="n">
        <x:v>7</x:v>
      </x:c>
      <x:c r="AA242" s="30" t="n">
        <x:v>241</x:v>
      </x:c>
      <x:c r="AB242" s="30" t="str">
        <x:v>تریگر «افزایش فرکانس نمایش یک آگهی به بالای ۴.۰ همراه با افت بیش از…» + Runbook 4 گامه + TST-17/18 سبز</x:v>
      </x:c>
      <x:c r="AC242" s="30" t="str">
        <x:v>نیازمند تکمیل و تأیید مالک</x:v>
      </x:c>
      <x:c r="AD242" s="30" t="str">
        <x:v>نیازمند تکمیل و تأیید مالک</x:v>
      </x:c>
      <x:c r="AE242" s="30" t="str">
        <x:v>تریگر «افزایش فرکانس نمایش یک آگهی به بالای ۴.۰ همراه با افت بیش از…» + Runbook 4 گامه + TST-17/18 سبز</x:v>
      </x:c>
      <x:c r="AF242" s="30" t="str"/>
      <x:c r="AG242" s="30" t="str"/>
      <x:c r="AH242" s="30" t="str"/>
    </x:row>
    <x:row r="243">
      <x:c r="A243" s="19" t="inlineStr">
        <x:is>
          <x:t xml:space="preserve">TK-242</x:t>
        </x:is>
      </x:c>
      <x:c r="B243" s="6" t="inlineStr">
        <x:is>
          <x:t xml:space="preserve">هشدار: سقوط سهم نمایش در کلمات کلیدی برند و رده‌های اصلی</x:t>
        </x:is>
      </x:c>
      <x:c r="C243" s="6" t="inlineStr">
        <x:is>
          <x:t xml:space="preserve">Implement Alert: Search Impression Share Collapse Alert</x:t>
        </x:is>
      </x:c>
      <x:c r="D243" s="6" t="inlineStr">
        <x:is>
          <x:t xml:space="preserve">Alert</x:t>
        </x:is>
      </x:c>
      <x:c r="E243" s="6" t="inlineStr">
        <x:is>
          <x:t xml:space="preserve">ALT-08</x:t>
        </x:is>
      </x:c>
      <x:c r="F243" s="19" t="inlineStr">
        <x:is>
          <x:t xml:space="preserve">W5</x:t>
        </x:is>
      </x:c>
      <x:c r="G243" s="6" t="inlineStr">
        <x:is>
          <x:t xml:space="preserve">S2</x:t>
        </x:is>
      </x:c>
      <x:c r="H243" s="19" t="inlineStr">
        <x:is>
          <x:t xml:space="preserve">High</x:t>
        </x:is>
      </x:c>
      <x:c r="I243" s="6" t="inlineStr">
        <x:is>
          <x:t xml:space="preserve">Data Analyst</x:t>
        </x:is>
      </x:c>
      <x:c r="J243" s="19" t="n">
        <x:v>4</x:v>
      </x:c>
      <x:c r="K243" s="19" t="n">
        <x:v>3</x:v>
      </x:c>
      <x:c r="L243" s="18" t="n">
        <x:f>J243*2-K243</x:f>
        <x:v>5</x:v>
      </x:c>
      <x:c r="M243" s="6" t="inlineStr">
        <x:is>
          <x:t xml:space="preserve">TK-040, TK-251</x:t>
        </x:is>
      </x:c>
      <x:c r="N243" s="6" t="inlineStr">
        <x:is>
          <x:t xml:space="preserve">تریگر «افت سهم نمایش در کمپین محافظت از نام برند تیتانا (Brand Prot…» + Runbook 3 گامه + TST-17/18 سبز</x:t>
        </x:is>
      </x:c>
      <x:c r="O243" s="19" t="inlineStr">
        <x:is>
          <x:t xml:space="preserve">Proposed</x:t>
        </x:is>
      </x:c>
      <x:c r="P243" s="6" t="inlineStr">
        <x:is>
          <x:t xml:space="preserve">P2 - هشدار جدی (Warning)</x:t>
        </x:is>
      </x:c>
      <x:c r="Q243" s="30" t="str">
        <x:v>TK-242</x:v>
      </x:c>
      <x:c r="R243" s="30" t="str"/>
      <x:c r="S243" s="30" t="str">
        <x:v>Alert</x:v>
      </x:c>
      <x:c r="T243" s="30" t="str">
        <x:v>ALT-08</x:v>
      </x:c>
      <x:c r="U243" s="30" t="str">
        <x:v>هشدار: سقوط سهم نمایش در کلمات کلیدی برند و رده‌های اصلی</x:v>
      </x:c>
      <x:c r="V243" s="30" t="str">
        <x:v>Pending dependency review</x:v>
      </x:c>
      <x:c r="W243" s="30" t="str">
        <x:v>نیازمند تکمیل و تأیید مالک</x:v>
      </x:c>
      <x:c r="X243" s="30" t="str">
        <x:v>نیازمند تکمیل و تأیید مالک</x:v>
      </x:c>
      <x:c r="Y243" s="30" t="str">
        <x:v>Data Analyst</x:v>
      </x:c>
      <x:c r="Z243" s="30" t="n">
        <x:v>7</x:v>
      </x:c>
      <x:c r="AA243" s="30" t="n">
        <x:v>242</x:v>
      </x:c>
      <x:c r="AB243" s="30" t="str">
        <x:v>تریگر «افت سهم نمایش در کمپین محافظت از نام برند تیتانا (Brand Prot…» + Runbook 3 گامه + TST-17/18 سبز</x:v>
      </x:c>
      <x:c r="AC243" s="30" t="str">
        <x:v>نیازمند تکمیل و تأیید مالک</x:v>
      </x:c>
      <x:c r="AD243" s="30" t="str">
        <x:v>نیازمند تکمیل و تأیید مالک</x:v>
      </x:c>
      <x:c r="AE243" s="30" t="str">
        <x:v>تریگر «افت سهم نمایش در کمپین محافظت از نام برند تیتانا (Brand Prot…» + Runbook 3 گامه + TST-17/18 سبز</x:v>
      </x:c>
      <x:c r="AF243" s="30" t="str"/>
      <x:c r="AG243" s="30" t="str"/>
      <x:c r="AH243" s="30" t="str"/>
    </x:row>
    <x:row r="244">
      <x:c r="A244" s="17" t="inlineStr">
        <x:is>
          <x:t xml:space="preserve">TK-243</x:t>
        </x:is>
      </x:c>
      <x:c r="B244" s="4" t="inlineStr">
        <x:is>
          <x:t xml:space="preserve">هشدار: جهش در نرخ رهاسازی سبد سفارش کلینیک‌ها</x:t>
        </x:is>
      </x:c>
      <x:c r="C244" s="4" t="inlineStr">
        <x:is>
          <x:t xml:space="preserve">Implement Alert: Cart Abandonment Rate Anomaly</x:t>
        </x:is>
      </x:c>
      <x:c r="D244" s="4" t="inlineStr">
        <x:is>
          <x:t xml:space="preserve">Alert</x:t>
        </x:is>
      </x:c>
      <x:c r="E244" s="4" t="inlineStr">
        <x:is>
          <x:t xml:space="preserve">ALT-09</x:t>
        </x:is>
      </x:c>
      <x:c r="F244" s="17" t="inlineStr">
        <x:is>
          <x:t xml:space="preserve">W5</x:t>
        </x:is>
      </x:c>
      <x:c r="G244" s="4" t="inlineStr">
        <x:is>
          <x:t xml:space="preserve">S2</x:t>
        </x:is>
      </x:c>
      <x:c r="H244" s="17" t="inlineStr">
        <x:is>
          <x:t xml:space="preserve">High</x:t>
        </x:is>
      </x:c>
      <x:c r="I244" s="4" t="inlineStr">
        <x:is>
          <x:t xml:space="preserve">Data Analyst</x:t>
        </x:is>
      </x:c>
      <x:c r="J244" s="17" t="n">
        <x:v>4</x:v>
      </x:c>
      <x:c r="K244" s="17" t="n">
        <x:v>3</x:v>
      </x:c>
      <x:c r="L244" s="18" t="n">
        <x:f>J244*2-K244</x:f>
        <x:v>5</x:v>
      </x:c>
      <x:c r="M244" s="4" t="inlineStr">
        <x:is>
          <x:t xml:space="preserve">TK-040, TK-251</x:t>
        </x:is>
      </x:c>
      <x:c r="N244" s="4" t="inlineStr">
        <x:is>
          <x:t xml:space="preserve">تریگر «افزایش نرخ رهاسازی سبد به بالای ۸۵٪ در یک بازه ۲۴ ساعته به ه…» + Runbook 5 گامه + TST-17/18 سبز</x:t>
        </x:is>
      </x:c>
      <x:c r="O244" s="17" t="inlineStr">
        <x:is>
          <x:t xml:space="preserve">Proposed</x:t>
        </x:is>
      </x:c>
      <x:c r="P244" s="4" t="inlineStr">
        <x:is>
          <x:t xml:space="preserve">P2 - هشدار جدی (Warning)</x:t>
        </x:is>
      </x:c>
      <x:c r="Q244" s="30" t="str">
        <x:v>TK-243</x:v>
      </x:c>
      <x:c r="R244" s="30" t="str"/>
      <x:c r="S244" s="30" t="str">
        <x:v>Alert</x:v>
      </x:c>
      <x:c r="T244" s="30" t="str">
        <x:v>ALT-09</x:v>
      </x:c>
      <x:c r="U244" s="30" t="str">
        <x:v>هشدار: جهش در نرخ رهاسازی سبد سفارش کلینیک‌ها</x:v>
      </x:c>
      <x:c r="V244" s="30" t="str">
        <x:v>Pending dependency review</x:v>
      </x:c>
      <x:c r="W244" s="30" t="str">
        <x:v>نیازمند تکمیل و تأیید مالک</x:v>
      </x:c>
      <x:c r="X244" s="30" t="str">
        <x:v>نیازمند تکمیل و تأیید مالک</x:v>
      </x:c>
      <x:c r="Y244" s="30" t="str">
        <x:v>Data Analyst</x:v>
      </x:c>
      <x:c r="Z244" s="30" t="n">
        <x:v>7</x:v>
      </x:c>
      <x:c r="AA244" s="30" t="n">
        <x:v>243</x:v>
      </x:c>
      <x:c r="AB244" s="30" t="str">
        <x:v>تریگر «افزایش نرخ رهاسازی سبد به بالای ۸۵٪ در یک بازه ۲۴ ساعته به ه…» + Runbook 5 گامه + TST-17/18 سبز</x:v>
      </x:c>
      <x:c r="AC244" s="30" t="str">
        <x:v>نیازمند تکمیل و تأیید مالک</x:v>
      </x:c>
      <x:c r="AD244" s="30" t="str">
        <x:v>نیازمند تکمیل و تأیید مالک</x:v>
      </x:c>
      <x:c r="AE244" s="30" t="str">
        <x:v>تریگر «افزایش نرخ رهاسازی سبد به بالای ۸۵٪ در یک بازه ۲۴ ساعته به ه…» + Runbook 5 گامه + TST-17/18 سبز</x:v>
      </x:c>
      <x:c r="AF244" s="30" t="str"/>
      <x:c r="AG244" s="30" t="str"/>
      <x:c r="AH244" s="30" t="str"/>
    </x:row>
    <x:row r="245">
      <x:c r="A245" s="19" t="inlineStr">
        <x:is>
          <x:t xml:space="preserve">TK-244</x:t>
        </x:is>
      </x:c>
      <x:c r="B245" s="6" t="inlineStr">
        <x:is>
          <x:t xml:space="preserve">هشدار: نقض توافق سطح خدمات سرعت پاسخ به لید تجهیزات</x:t>
        </x:is>
      </x:c>
      <x:c r="C245" s="6" t="inlineStr">
        <x:is>
          <x:t xml:space="preserve">Implement Alert: Lead Response Time SLA Breach Alert</x:t>
        </x:is>
      </x:c>
      <x:c r="D245" s="6" t="inlineStr">
        <x:is>
          <x:t xml:space="preserve">Alert</x:t>
        </x:is>
      </x:c>
      <x:c r="E245" s="6" t="inlineStr">
        <x:is>
          <x:t xml:space="preserve">ALT-10</x:t>
        </x:is>
      </x:c>
      <x:c r="F245" s="19" t="inlineStr">
        <x:is>
          <x:t xml:space="preserve">W5</x:t>
        </x:is>
      </x:c>
      <x:c r="G245" s="6" t="inlineStr">
        <x:is>
          <x:t xml:space="preserve">S2</x:t>
        </x:is>
      </x:c>
      <x:c r="H245" s="19" t="inlineStr">
        <x:is>
          <x:t xml:space="preserve">Critical</x:t>
        </x:is>
      </x:c>
      <x:c r="I245" s="6" t="inlineStr">
        <x:is>
          <x:t xml:space="preserve">B2B Sales Director</x:t>
        </x:is>
      </x:c>
      <x:c r="J245" s="19" t="n">
        <x:v>5</x:v>
      </x:c>
      <x:c r="K245" s="19" t="n">
        <x:v>3</x:v>
      </x:c>
      <x:c r="L245" s="18" t="n">
        <x:f>J245*2-K245</x:f>
        <x:v>7</x:v>
      </x:c>
      <x:c r="M245" s="6" t="inlineStr">
        <x:is>
          <x:t xml:space="preserve">TK-040, TK-251</x:t>
        </x:is>
      </x:c>
      <x:c r="N245" s="6" t="inlineStr">
        <x:is>
          <x:t xml:space="preserve">تریگر «تعلل بیش از ۳۰ دقیقه در برقراری اولین تماس تلفنی با سرنخ‌های…» + Runbook 3 گامه + TST-17/18 سبز</x:t>
        </x:is>
      </x:c>
      <x:c r="O245" s="19" t="inlineStr">
        <x:is>
          <x:t xml:space="preserve">Proposed</x:t>
        </x:is>
      </x:c>
      <x:c r="P245" s="6" t="inlineStr">
        <x:is>
          <x:t xml:space="preserve">P1 - بحرانی (Critical)</x:t>
        </x:is>
      </x:c>
      <x:c r="Q245" s="30" t="str">
        <x:v>TK-244</x:v>
      </x:c>
      <x:c r="R245" s="30" t="str"/>
      <x:c r="S245" s="30" t="str">
        <x:v>Alert</x:v>
      </x:c>
      <x:c r="T245" s="30" t="str">
        <x:v>ALT-10</x:v>
      </x:c>
      <x:c r="U245" s="30" t="str">
        <x:v>هشدار: نقض توافق سطح خدمات سرعت پاسخ به لید تجهیزات</x:v>
      </x:c>
      <x:c r="V245" s="30" t="str">
        <x:v>Pending dependency review</x:v>
      </x:c>
      <x:c r="W245" s="30" t="str">
        <x:v>نیازمند تکمیل و تأیید مالک</x:v>
      </x:c>
      <x:c r="X245" s="30" t="str">
        <x:v>نیازمند تکمیل و تأیید مالک</x:v>
      </x:c>
      <x:c r="Y245" s="30" t="str">
        <x:v>B2B Sales Director</x:v>
      </x:c>
      <x:c r="Z245" s="30" t="n">
        <x:v>7</x:v>
      </x:c>
      <x:c r="AA245" s="30" t="n">
        <x:v>244</x:v>
      </x:c>
      <x:c r="AB245" s="30" t="str">
        <x:v>تریگر «تعلل بیش از ۳۰ دقیقه در برقراری اولین تماس تلفنی با سرنخ‌های…» + Runbook 3 گامه + TST-17/18 سبز</x:v>
      </x:c>
      <x:c r="AC245" s="30" t="str">
        <x:v>نیازمند تکمیل و تأیید مالک</x:v>
      </x:c>
      <x:c r="AD245" s="30" t="str">
        <x:v>نیازمند تکمیل و تأیید مالک</x:v>
      </x:c>
      <x:c r="AE245" s="30" t="str">
        <x:v>تریگر «تعلل بیش از ۳۰ دقیقه در برقراری اولین تماس تلفنی با سرنخ‌های…» + Runbook 3 گامه + TST-17/18 سبز</x:v>
      </x:c>
      <x:c r="AF245" s="30" t="str"/>
      <x:c r="AG245" s="30" t="str"/>
      <x:c r="AH245" s="30" t="str"/>
    </x:row>
    <x:row r="246">
      <x:c r="A246" s="17" t="inlineStr">
        <x:is>
          <x:t xml:space="preserve">TK-245</x:t>
        </x:is>
      </x:c>
      <x:c r="B246" s="4" t="inlineStr">
        <x:is>
          <x:t xml:space="preserve">هشدار: جهش غیرعادی در ترافیک نامعتبر یا کلیک مشکوک ربات‌ها</x:t>
        </x:is>
      </x:c>
      <x:c r="C246" s="4" t="inlineStr">
        <x:is>
          <x:t xml:space="preserve">Implement Alert: Invalid Traffic &amp; Click Fraud Spike</x:t>
        </x:is>
      </x:c>
      <x:c r="D246" s="4" t="inlineStr">
        <x:is>
          <x:t xml:space="preserve">Alert</x:t>
        </x:is>
      </x:c>
      <x:c r="E246" s="4" t="inlineStr">
        <x:is>
          <x:t xml:space="preserve">ALT-11</x:t>
        </x:is>
      </x:c>
      <x:c r="F246" s="17" t="inlineStr">
        <x:is>
          <x:t xml:space="preserve">W5</x:t>
        </x:is>
      </x:c>
      <x:c r="G246" s="4" t="inlineStr">
        <x:is>
          <x:t xml:space="preserve">S2</x:t>
        </x:is>
      </x:c>
      <x:c r="H246" s="17" t="inlineStr">
        <x:is>
          <x:t xml:space="preserve">Critical</x:t>
        </x:is>
      </x:c>
      <x:c r="I246" s="4" t="inlineStr">
        <x:is>
          <x:t xml:space="preserve">Senior Data Engineer</x:t>
        </x:is>
      </x:c>
      <x:c r="J246" s="17" t="n">
        <x:v>5</x:v>
      </x:c>
      <x:c r="K246" s="17" t="n">
        <x:v>3</x:v>
      </x:c>
      <x:c r="L246" s="18" t="n">
        <x:f>J246*2-K246</x:f>
        <x:v>7</x:v>
      </x:c>
      <x:c r="M246" s="4" t="inlineStr">
        <x:is>
          <x:t xml:space="preserve">TK-040, TK-251</x:t>
        </x:is>
      </x:c>
      <x:c r="N246" s="4" t="inlineStr">
        <x:is>
          <x:t xml:space="preserve">تریگر «ثبت بیش از ۵۰ کلیک متوالی از رنج IP مشترک یا دیتاسنتری ظرف ۱…» + Runbook 4 گامه + TST-17/18 سبز</x:t>
        </x:is>
      </x:c>
      <x:c r="O246" s="17" t="inlineStr">
        <x:is>
          <x:t xml:space="preserve">Proposed</x:t>
        </x:is>
      </x:c>
      <x:c r="P246" s="4" t="inlineStr">
        <x:is>
          <x:t xml:space="preserve">P1 - بحرانی (Critical)</x:t>
        </x:is>
      </x:c>
      <x:c r="Q246" s="30" t="str">
        <x:v>TK-245</x:v>
      </x:c>
      <x:c r="R246" s="30" t="str"/>
      <x:c r="S246" s="30" t="str">
        <x:v>Alert</x:v>
      </x:c>
      <x:c r="T246" s="30" t="str">
        <x:v>ALT-11</x:v>
      </x:c>
      <x:c r="U246" s="30" t="str">
        <x:v>هشدار: جهش غیرعادی در ترافیک نامعتبر یا کلیک مشکوک ربات‌ها</x:v>
      </x:c>
      <x:c r="V246" s="30" t="str">
        <x:v>Pending dependency review</x:v>
      </x:c>
      <x:c r="W246" s="30" t="str">
        <x:v>نیازمند تکمیل و تأیید مالک</x:v>
      </x:c>
      <x:c r="X246" s="30" t="str">
        <x:v>نیازمند تکمیل و تأیید مالک</x:v>
      </x:c>
      <x:c r="Y246" s="30" t="str">
        <x:v>Senior Data Engineer</x:v>
      </x:c>
      <x:c r="Z246" s="30" t="n">
        <x:v>7</x:v>
      </x:c>
      <x:c r="AA246" s="30" t="n">
        <x:v>245</x:v>
      </x:c>
      <x:c r="AB246" s="30" t="str">
        <x:v>تریگر «ثبت بیش از ۵۰ کلیک متوالی از رنج IP مشترک یا دیتاسنتری ظرف ۱…» + Runbook 4 گامه + TST-17/18 سبز</x:v>
      </x:c>
      <x:c r="AC246" s="30" t="str">
        <x:v>نیازمند تکمیل و تأیید مالک</x:v>
      </x:c>
      <x:c r="AD246" s="30" t="str">
        <x:v>نیازمند تکمیل و تأیید مالک</x:v>
      </x:c>
      <x:c r="AE246" s="30" t="str">
        <x:v>تریگر «ثبت بیش از ۵۰ کلیک متوالی از رنج IP مشترک یا دیتاسنتری ظرف ۱…» + Runbook 4 گامه + TST-17/18 سبز</x:v>
      </x:c>
      <x:c r="AF246" s="30" t="str"/>
      <x:c r="AG246" s="30" t="str"/>
      <x:c r="AH246" s="30" t="str"/>
    </x:row>
    <x:row r="247">
      <x:c r="A247" s="19" t="inlineStr">
        <x:is>
          <x:t xml:space="preserve">TK-246</x:t>
        </x:is>
      </x:c>
      <x:c r="B247" s="6" t="inlineStr">
        <x:is>
          <x:t xml:space="preserve">هشدار: افت شدید امتیاز کیفیت کلمات کلیدی تجهیزات</x:t>
        </x:is>
      </x:c>
      <x:c r="C247" s="6" t="inlineStr">
        <x:is>
          <x:t xml:space="preserve">Implement Alert: Google Ads Quality Score Degradation</x:t>
        </x:is>
      </x:c>
      <x:c r="D247" s="6" t="inlineStr">
        <x:is>
          <x:t xml:space="preserve">Alert</x:t>
        </x:is>
      </x:c>
      <x:c r="E247" s="6" t="inlineStr">
        <x:is>
          <x:t xml:space="preserve">ALT-12</x:t>
        </x:is>
      </x:c>
      <x:c r="F247" s="19" t="inlineStr">
        <x:is>
          <x:t xml:space="preserve">W5</x:t>
        </x:is>
      </x:c>
      <x:c r="G247" s="6" t="inlineStr">
        <x:is>
          <x:t xml:space="preserve">S2</x:t>
        </x:is>
      </x:c>
      <x:c r="H247" s="19" t="inlineStr">
        <x:is>
          <x:t xml:space="preserve">Medium</x:t>
        </x:is>
      </x:c>
      <x:c r="I247" s="6" t="inlineStr">
        <x:is>
          <x:t xml:space="preserve">Data Analyst</x:t>
        </x:is>
      </x:c>
      <x:c r="J247" s="19" t="n">
        <x:v>3</x:v>
      </x:c>
      <x:c r="K247" s="19" t="n">
        <x:v>3</x:v>
      </x:c>
      <x:c r="L247" s="18" t="n">
        <x:f>J247*2-K247</x:f>
        <x:v>3</x:v>
      </x:c>
      <x:c r="M247" s="6" t="inlineStr">
        <x:is>
          <x:t xml:space="preserve">TK-040, TK-251</x:t>
        </x:is>
      </x:c>
      <x:c r="N247" s="6" t="inlineStr">
        <x:is>
          <x:t xml:space="preserve">تریگر «کاهش امتیاز کیفیت کلمات کلیدی دارای بیش از ۱۰٪ هزینه کل اکان…» + Runbook 3 گامه + TST-17/18 سبز</x:t>
        </x:is>
      </x:c>
      <x:c r="O247" s="19" t="inlineStr">
        <x:is>
          <x:t xml:space="preserve">Proposed</x:t>
        </x:is>
      </x:c>
      <x:c r="P247" s="6" t="inlineStr">
        <x:is>
          <x:t xml:space="preserve">P3 - اطلاع‌رسانی و بهبود (Info)</x:t>
        </x:is>
      </x:c>
      <x:c r="Q247" s="30" t="str">
        <x:v>TK-246</x:v>
      </x:c>
      <x:c r="R247" s="30" t="str"/>
      <x:c r="S247" s="30" t="str">
        <x:v>Alert</x:v>
      </x:c>
      <x:c r="T247" s="30" t="str">
        <x:v>ALT-12</x:v>
      </x:c>
      <x:c r="U247" s="30" t="str">
        <x:v>هشدار: افت شدید امتیاز کیفیت کلمات کلیدی تجهیزات</x:v>
      </x:c>
      <x:c r="V247" s="30" t="str">
        <x:v>Pending dependency review</x:v>
      </x:c>
      <x:c r="W247" s="30" t="str">
        <x:v>نیازمند تکمیل و تأیید مالک</x:v>
      </x:c>
      <x:c r="X247" s="30" t="str">
        <x:v>نیازمند تکمیل و تأیید مالک</x:v>
      </x:c>
      <x:c r="Y247" s="30" t="str">
        <x:v>Data Analyst</x:v>
      </x:c>
      <x:c r="Z247" s="30" t="n">
        <x:v>7</x:v>
      </x:c>
      <x:c r="AA247" s="30" t="n">
        <x:v>246</x:v>
      </x:c>
      <x:c r="AB247" s="30" t="str">
        <x:v>تریگر «کاهش امتیاز کیفیت کلمات کلیدی دارای بیش از ۱۰٪ هزینه کل اکان…» + Runbook 3 گامه + TST-17/18 سبز</x:v>
      </x:c>
      <x:c r="AC247" s="30" t="str">
        <x:v>نیازمند تکمیل و تأیید مالک</x:v>
      </x:c>
      <x:c r="AD247" s="30" t="str">
        <x:v>نیازمند تکمیل و تأیید مالک</x:v>
      </x:c>
      <x:c r="AE247" s="30" t="str">
        <x:v>تریگر «کاهش امتیاز کیفیت کلمات کلیدی دارای بیش از ۱۰٪ هزینه کل اکان…» + Runbook 3 گامه + TST-17/18 سبز</x:v>
      </x:c>
      <x:c r="AF247" s="30" t="str"/>
      <x:c r="AG247" s="30" t="str"/>
      <x:c r="AH247" s="30" t="str"/>
    </x:row>
    <x:row r="248">
      <x:c r="A248" s="17" t="inlineStr">
        <x:is>
          <x:t xml:space="preserve">TK-247</x:t>
        </x:is>
      </x:c>
      <x:c r="B248" s="4" t="inlineStr">
        <x:is>
          <x:t xml:space="preserve">هشدار: ناموجودی انبار کالاهای دارای کمپین تبلیغاتی فعال</x:t>
        </x:is>
      </x:c>
      <x:c r="C248" s="4" t="inlineStr">
        <x:is>
          <x:t xml:space="preserve">Implement Alert: Zero-Inventory Active Ad Alert</x:t>
        </x:is>
      </x:c>
      <x:c r="D248" s="4" t="inlineStr">
        <x:is>
          <x:t xml:space="preserve">Alert</x:t>
        </x:is>
      </x:c>
      <x:c r="E248" s="4" t="inlineStr">
        <x:is>
          <x:t xml:space="preserve">ALT-13</x:t>
        </x:is>
      </x:c>
      <x:c r="F248" s="17" t="inlineStr">
        <x:is>
          <x:t xml:space="preserve">W5</x:t>
        </x:is>
      </x:c>
      <x:c r="G248" s="4" t="inlineStr">
        <x:is>
          <x:t xml:space="preserve">S2</x:t>
        </x:is>
      </x:c>
      <x:c r="H248" s="17" t="inlineStr">
        <x:is>
          <x:t xml:space="preserve">Critical</x:t>
        </x:is>
      </x:c>
      <x:c r="I248" s="4" t="inlineStr">
        <x:is>
          <x:t xml:space="preserve">Warehouse/Materials Manager</x:t>
        </x:is>
      </x:c>
      <x:c r="J248" s="17" t="n">
        <x:v>5</x:v>
      </x:c>
      <x:c r="K248" s="17" t="n">
        <x:v>3</x:v>
      </x:c>
      <x:c r="L248" s="18" t="n">
        <x:f>J248*2-K248</x:f>
        <x:v>7</x:v>
      </x:c>
      <x:c r="M248" s="4" t="inlineStr">
        <x:is>
          <x:t xml:space="preserve">TK-040, TK-251</x:t>
        </x:is>
      </x:c>
      <x:c r="N248" s="4" t="inlineStr">
        <x:is>
          <x:t xml:space="preserve">تریگر «رسیدن موجودی قابل‌فروش یک کالا در انبار به صفر، در حالی که آ…» + Runbook 4 گامه + TST-17/18 سبز</x:t>
        </x:is>
      </x:c>
      <x:c r="O248" s="17" t="inlineStr">
        <x:is>
          <x:t xml:space="preserve">Proposed</x:t>
        </x:is>
      </x:c>
      <x:c r="P248" s="4" t="inlineStr">
        <x:is>
          <x:t xml:space="preserve">P1 - بحرانی (Critical)</x:t>
        </x:is>
      </x:c>
      <x:c r="Q248" s="30" t="str">
        <x:v>TK-247</x:v>
      </x:c>
      <x:c r="R248" s="30" t="str"/>
      <x:c r="S248" s="30" t="str">
        <x:v>Alert</x:v>
      </x:c>
      <x:c r="T248" s="30" t="str">
        <x:v>ALT-13</x:v>
      </x:c>
      <x:c r="U248" s="30" t="str">
        <x:v>هشدار: ناموجودی انبار کالاهای دارای کمپین تبلیغاتی فعال</x:v>
      </x:c>
      <x:c r="V248" s="30" t="str">
        <x:v>Pending dependency review</x:v>
      </x:c>
      <x:c r="W248" s="30" t="str">
        <x:v>نیازمند تکمیل و تأیید مالک</x:v>
      </x:c>
      <x:c r="X248" s="30" t="str">
        <x:v>نیازمند تکمیل و تأیید مالک</x:v>
      </x:c>
      <x:c r="Y248" s="30" t="str">
        <x:v>Warehouse/Materials Manager</x:v>
      </x:c>
      <x:c r="Z248" s="30" t="n">
        <x:v>7</x:v>
      </x:c>
      <x:c r="AA248" s="30" t="n">
        <x:v>247</x:v>
      </x:c>
      <x:c r="AB248" s="30" t="str">
        <x:v>تریگر «رسیدن موجودی قابل‌فروش یک کالا در انبار به صفر، در حالی که آ…» + Runbook 4 گامه + TST-17/18 سبز</x:v>
      </x:c>
      <x:c r="AC248" s="30" t="str">
        <x:v>نیازمند تکمیل و تأیید مالک</x:v>
      </x:c>
      <x:c r="AD248" s="30" t="str">
        <x:v>نیازمند تکمیل و تأیید مالک</x:v>
      </x:c>
      <x:c r="AE248" s="30" t="str">
        <x:v>تریگر «رسیدن موجودی قابل‌فروش یک کالا در انبار به صفر، در حالی که آ…» + Runbook 4 گامه + TST-17/18 سبز</x:v>
      </x:c>
      <x:c r="AF248" s="30" t="str"/>
      <x:c r="AG248" s="30" t="str"/>
      <x:c r="AH248" s="30" t="str"/>
    </x:row>
    <x:row r="249">
      <x:c r="A249" s="19" t="inlineStr">
        <x:is>
          <x:t xml:space="preserve">TK-248</x:t>
        </x:is>
      </x:c>
      <x:c r="B249" s="6" t="inlineStr">
        <x:is>
          <x:t xml:space="preserve">هشدار: افزایش غیرعادی نرخ لغو و مرجوعی سفارش‌های تجهیزات</x:t>
        </x:is>
      </x:c>
      <x:c r="C249" s="6" t="inlineStr">
        <x:is>
          <x:t xml:space="preserve">Implement Alert: Order Return &amp; Refund Spike Alert</x:t>
        </x:is>
      </x:c>
      <x:c r="D249" s="6" t="inlineStr">
        <x:is>
          <x:t xml:space="preserve">Alert</x:t>
        </x:is>
      </x:c>
      <x:c r="E249" s="6" t="inlineStr">
        <x:is>
          <x:t xml:space="preserve">ALT-14</x:t>
        </x:is>
      </x:c>
      <x:c r="F249" s="19" t="inlineStr">
        <x:is>
          <x:t xml:space="preserve">W5</x:t>
        </x:is>
      </x:c>
      <x:c r="G249" s="6" t="inlineStr">
        <x:is>
          <x:t xml:space="preserve">S2</x:t>
        </x:is>
      </x:c>
      <x:c r="H249" s="19" t="inlineStr">
        <x:is>
          <x:t xml:space="preserve">High</x:t>
        </x:is>
      </x:c>
      <x:c r="I249" s="6" t="inlineStr">
        <x:is>
          <x:t xml:space="preserve">Data Analyst</x:t>
        </x:is>
      </x:c>
      <x:c r="J249" s="19" t="n">
        <x:v>4</x:v>
      </x:c>
      <x:c r="K249" s="19" t="n">
        <x:v>3</x:v>
      </x:c>
      <x:c r="L249" s="18" t="n">
        <x:f>J249*2-K249</x:f>
        <x:v>5</x:v>
      </x:c>
      <x:c r="M249" s="6" t="inlineStr">
        <x:is>
          <x:t xml:space="preserve">TK-040, TK-251</x:t>
        </x:is>
      </x:c>
      <x:c r="N249" s="6" t="inlineStr">
        <x:is>
          <x:t xml:space="preserve">تریگر «افزایش نرخ مرجوعی اقلام یک دسته کالایی به بیش از ۶٪ کل ارزش …» + Runbook 4 گامه + TST-17/18 سبز</x:t>
        </x:is>
      </x:c>
      <x:c r="O249" s="19" t="inlineStr">
        <x:is>
          <x:t xml:space="preserve">Proposed</x:t>
        </x:is>
      </x:c>
      <x:c r="P249" s="6" t="inlineStr">
        <x:is>
          <x:t xml:space="preserve">P2 - هشدار جدی (Warning)</x:t>
        </x:is>
      </x:c>
      <x:c r="Q249" s="30" t="str">
        <x:v>TK-248</x:v>
      </x:c>
      <x:c r="R249" s="30" t="str"/>
      <x:c r="S249" s="30" t="str">
        <x:v>Alert</x:v>
      </x:c>
      <x:c r="T249" s="30" t="str">
        <x:v>ALT-14</x:v>
      </x:c>
      <x:c r="U249" s="30" t="str">
        <x:v>هشدار: افزایش غیرعادی نرخ لغو و مرجوعی سفارش‌های تجهیزات</x:v>
      </x:c>
      <x:c r="V249" s="30" t="str">
        <x:v>Pending dependency review</x:v>
      </x:c>
      <x:c r="W249" s="30" t="str">
        <x:v>نیازمند تکمیل و تأیید مالک</x:v>
      </x:c>
      <x:c r="X249" s="30" t="str">
        <x:v>نیازمند تکمیل و تأیید مالک</x:v>
      </x:c>
      <x:c r="Y249" s="30" t="str">
        <x:v>Data Analyst</x:v>
      </x:c>
      <x:c r="Z249" s="30" t="n">
        <x:v>7</x:v>
      </x:c>
      <x:c r="AA249" s="30" t="n">
        <x:v>248</x:v>
      </x:c>
      <x:c r="AB249" s="30" t="str">
        <x:v>تریگر «افزایش نرخ مرجوعی اقلام یک دسته کالایی به بیش از ۶٪ کل ارزش …» + Runbook 4 گامه + TST-17/18 سبز</x:v>
      </x:c>
      <x:c r="AC249" s="30" t="str">
        <x:v>نیازمند تکمیل و تأیید مالک</x:v>
      </x:c>
      <x:c r="AD249" s="30" t="str">
        <x:v>نیازمند تکمیل و تأیید مالک</x:v>
      </x:c>
      <x:c r="AE249" s="30" t="str">
        <x:v>تریگر «افزایش نرخ مرجوعی اقلام یک دسته کالایی به بیش از ۶٪ کل ارزش …» + Runbook 4 گامه + TST-17/18 سبز</x:v>
      </x:c>
      <x:c r="AF249" s="30" t="str"/>
      <x:c r="AG249" s="30" t="str"/>
      <x:c r="AH249" s="30" t="str"/>
    </x:row>
    <x:row r="250">
      <x:c r="A250" s="17" t="inlineStr">
        <x:is>
          <x:t xml:space="preserve">TK-249</x:t>
        </x:is>
      </x:c>
      <x:c r="B250" s="4" t="inlineStr">
        <x:is>
          <x:t xml:space="preserve">هشدار: انحراف منفی شدید در سرعت مصرف بودجه کلان</x:t>
        </x:is>
      </x:c>
      <x:c r="C250" s="4" t="inlineStr">
        <x:is>
          <x:t xml:space="preserve">Implement Alert: Budget Underspend &amp; Delivery Pacing Stagnation</x:t>
        </x:is>
      </x:c>
      <x:c r="D250" s="4" t="inlineStr">
        <x:is>
          <x:t xml:space="preserve">Alert</x:t>
        </x:is>
      </x:c>
      <x:c r="E250" s="4" t="inlineStr">
        <x:is>
          <x:t xml:space="preserve">ALT-15</x:t>
        </x:is>
      </x:c>
      <x:c r="F250" s="17" t="inlineStr">
        <x:is>
          <x:t xml:space="preserve">W5</x:t>
        </x:is>
      </x:c>
      <x:c r="G250" s="4" t="inlineStr">
        <x:is>
          <x:t xml:space="preserve">S2</x:t>
        </x:is>
      </x:c>
      <x:c r="H250" s="17" t="inlineStr">
        <x:is>
          <x:t xml:space="preserve">High</x:t>
        </x:is>
      </x:c>
      <x:c r="I250" s="4" t="inlineStr">
        <x:is>
          <x:t xml:space="preserve">Data Analyst</x:t>
        </x:is>
      </x:c>
      <x:c r="J250" s="17" t="n">
        <x:v>4</x:v>
      </x:c>
      <x:c r="K250" s="17" t="n">
        <x:v>3</x:v>
      </x:c>
      <x:c r="L250" s="18" t="n">
        <x:f>J250*2-K250</x:f>
        <x:v>5</x:v>
      </x:c>
      <x:c r="M250" s="4" t="inlineStr">
        <x:is>
          <x:t xml:space="preserve">TK-040, TK-251</x:t>
        </x:is>
      </x:c>
      <x:c r="N250" s="4" t="inlineStr">
        <x:is>
          <x:t xml:space="preserve">تریگر «مصرف کمتر از ۷۵٪ بودجه برنامه‌ریزی‌شده تا نیمه ماه تقویمی به…» + Runbook 4 گامه + TST-17/18 سبز</x:t>
        </x:is>
      </x:c>
      <x:c r="O250" s="17" t="inlineStr">
        <x:is>
          <x:t xml:space="preserve">Proposed</x:t>
        </x:is>
      </x:c>
      <x:c r="P250" s="4" t="inlineStr">
        <x:is>
          <x:t xml:space="preserve">P2 - هشدار جدی (Warning)</x:t>
        </x:is>
      </x:c>
      <x:c r="Q250" s="30" t="str">
        <x:v>TK-249</x:v>
      </x:c>
      <x:c r="R250" s="30" t="str"/>
      <x:c r="S250" s="30" t="str">
        <x:v>Alert</x:v>
      </x:c>
      <x:c r="T250" s="30" t="str">
        <x:v>ALT-15</x:v>
      </x:c>
      <x:c r="U250" s="30" t="str">
        <x:v>هشدار: انحراف منفی شدید در سرعت مصرف بودجه کلان</x:v>
      </x:c>
      <x:c r="V250" s="30" t="str">
        <x:v>Pending dependency review</x:v>
      </x:c>
      <x:c r="W250" s="30" t="str">
        <x:v>نیازمند تکمیل و تأیید مالک</x:v>
      </x:c>
      <x:c r="X250" s="30" t="str">
        <x:v>نیازمند تکمیل و تأیید مالک</x:v>
      </x:c>
      <x:c r="Y250" s="30" t="str">
        <x:v>Data Analyst</x:v>
      </x:c>
      <x:c r="Z250" s="30" t="n">
        <x:v>7</x:v>
      </x:c>
      <x:c r="AA250" s="30" t="n">
        <x:v>249</x:v>
      </x:c>
      <x:c r="AB250" s="30" t="str">
        <x:v>تریگر «مصرف کمتر از ۷۵٪ بودجه برنامه‌ریزی‌شده تا نیمه ماه تقویمی به…» + Runbook 4 گامه + TST-17/18 سبز</x:v>
      </x:c>
      <x:c r="AC250" s="30" t="str">
        <x:v>نیازمند تکمیل و تأیید مالک</x:v>
      </x:c>
      <x:c r="AD250" s="30" t="str">
        <x:v>نیازمند تکمیل و تأیید مالک</x:v>
      </x:c>
      <x:c r="AE250" s="30" t="str">
        <x:v>تریگر «مصرف کمتر از ۷۵٪ بودجه برنامه‌ریزی‌شده تا نیمه ماه تقویمی به…» + Runbook 4 گامه + TST-17/18 سبز</x:v>
      </x:c>
      <x:c r="AF250" s="30" t="str"/>
      <x:c r="AG250" s="30" t="str"/>
      <x:c r="AH250" s="30" t="str"/>
    </x:row>
    <x:row r="251">
      <x:c r="A251" s="19" t="inlineStr">
        <x:is>
          <x:t xml:space="preserve">TK-250</x:t>
        </x:is>
      </x:c>
      <x:c r="B251" s="6" t="inlineStr">
        <x:is>
          <x:t xml:space="preserve">هشدار: ریزش ناگهانی سفارش‌های مجدد کلینیک‌های طلایی و VIP</x:t>
        </x:is>
      </x:c>
      <x:c r="C251" s="6" t="inlineStr">
        <x:is>
          <x:t xml:space="preserve">Implement Alert: High-Tier Repeat Churn Anomaly Alert</x:t>
        </x:is>
      </x:c>
      <x:c r="D251" s="6" t="inlineStr">
        <x:is>
          <x:t xml:space="preserve">Alert</x:t>
        </x:is>
      </x:c>
      <x:c r="E251" s="6" t="inlineStr">
        <x:is>
          <x:t xml:space="preserve">ALT-16</x:t>
        </x:is>
      </x:c>
      <x:c r="F251" s="19" t="inlineStr">
        <x:is>
          <x:t xml:space="preserve">W5</x:t>
        </x:is>
      </x:c>
      <x:c r="G251" s="6" t="inlineStr">
        <x:is>
          <x:t xml:space="preserve">S2</x:t>
        </x:is>
      </x:c>
      <x:c r="H251" s="19" t="inlineStr">
        <x:is>
          <x:t xml:space="preserve">Critical</x:t>
        </x:is>
      </x:c>
      <x:c r="I251" s="6" t="inlineStr">
        <x:is>
          <x:t xml:space="preserve">Senior Data Engineer</x:t>
        </x:is>
      </x:c>
      <x:c r="J251" s="19" t="n">
        <x:v>5</x:v>
      </x:c>
      <x:c r="K251" s="19" t="n">
        <x:v>3</x:v>
      </x:c>
      <x:c r="L251" s="18" t="n">
        <x:f>J251*2-K251</x:f>
        <x:v>7</x:v>
      </x:c>
      <x:c r="M251" s="6" t="inlineStr">
        <x:is>
          <x:t xml:space="preserve">TK-040, TK-251</x:t>
        </x:is>
      </x:c>
      <x:c r="N251" s="6" t="inlineStr">
        <x:is>
          <x:t xml:space="preserve">تریگر «سپری شدن بیش از ۴۵ روز از تاریخ پیش‌بینی‌شده خرید مجدد برای …» + Runbook 4 گامه + TST-17/18 سبز</x:t>
        </x:is>
      </x:c>
      <x:c r="O251" s="19" t="inlineStr">
        <x:is>
          <x:t xml:space="preserve">Proposed</x:t>
        </x:is>
      </x:c>
      <x:c r="P251" s="6" t="inlineStr">
        <x:is>
          <x:t xml:space="preserve">P1 - بحرانی (Critical)</x:t>
        </x:is>
      </x:c>
      <x:c r="Q251" s="30" t="str">
        <x:v>TK-250</x:v>
      </x:c>
      <x:c r="R251" s="30" t="str"/>
      <x:c r="S251" s="30" t="str">
        <x:v>Alert</x:v>
      </x:c>
      <x:c r="T251" s="30" t="str">
        <x:v>ALT-16</x:v>
      </x:c>
      <x:c r="U251" s="30" t="str">
        <x:v>هشدار: ریزش ناگهانی سفارش‌های مجدد کلینیک‌های طلایی و VIP</x:v>
      </x:c>
      <x:c r="V251" s="30" t="str">
        <x:v>Pending dependency review</x:v>
      </x:c>
      <x:c r="W251" s="30" t="str">
        <x:v>نیازمند تکمیل و تأیید مالک</x:v>
      </x:c>
      <x:c r="X251" s="30" t="str">
        <x:v>نیازمند تکمیل و تأیید مالک</x:v>
      </x:c>
      <x:c r="Y251" s="30" t="str">
        <x:v>Senior Data Engineer</x:v>
      </x:c>
      <x:c r="Z251" s="30" t="n">
        <x:v>7</x:v>
      </x:c>
      <x:c r="AA251" s="30" t="n">
        <x:v>250</x:v>
      </x:c>
      <x:c r="AB251" s="30" t="str">
        <x:v>تریگر «سپری شدن بیش از ۴۵ روز از تاریخ پیش‌بینی‌شده خرید مجدد برای …» + Runbook 4 گامه + TST-17/18 سبز</x:v>
      </x:c>
      <x:c r="AC251" s="30" t="str">
        <x:v>نیازمند تکمیل و تأیید مالک</x:v>
      </x:c>
      <x:c r="AD251" s="30" t="str">
        <x:v>نیازمند تکمیل و تأیید مالک</x:v>
      </x:c>
      <x:c r="AE251" s="30" t="str">
        <x:v>تریگر «سپری شدن بیش از ۴۵ روز از تاریخ پیش‌بینی‌شده خرید مجدد برای …» + Runbook 4 گامه + TST-17/18 سبز</x:v>
      </x:c>
      <x:c r="AF251" s="30" t="str"/>
      <x:c r="AG251" s="30" t="str"/>
      <x:c r="AH251" s="30" t="str"/>
    </x:row>
    <x:row r="252">
      <x:c r="A252" s="17" t="inlineStr">
        <x:is>
          <x:t xml:space="preserve">TK-251</x:t>
        </x:is>
      </x:c>
      <x:c r="B252" s="4" t="inlineStr">
        <x:is>
          <x:t xml:space="preserve">پایپ‌لاین بلادرنگ ۱۵ دقیقه‌ای (هزینه/تبدیل)</x:t>
        </x:is>
      </x:c>
      <x:c r="C252" s="4" t="inlineStr">
        <x:is>
          <x:t xml:space="preserve">15-Minute Near Real-Time Pipeline (Spend/Conv)</x:t>
        </x:is>
      </x:c>
      <x:c r="D252" s="4" t="inlineStr">
        <x:is>
          <x:t xml:space="preserve">Data</x:t>
        </x:is>
      </x:c>
      <x:c r="E252" s="4" t="inlineStr">
        <x:is>
          <x:t xml:space="preserve">DASH-PERF-03</x:t>
        </x:is>
      </x:c>
      <x:c r="F252" s="17" t="inlineStr">
        <x:is>
          <x:t xml:space="preserve">W5</x:t>
        </x:is>
      </x:c>
      <x:c r="G252" s="4" t="inlineStr">
        <x:is>
          <x:t xml:space="preserve">S2</x:t>
        </x:is>
      </x:c>
      <x:c r="H252" s="17" t="inlineStr">
        <x:is>
          <x:t xml:space="preserve">High</x:t>
        </x:is>
      </x:c>
      <x:c r="I252" s="4" t="inlineStr">
        <x:is>
          <x:t xml:space="preserve">Senior Data Engineer</x:t>
        </x:is>
      </x:c>
      <x:c r="J252" s="17" t="n">
        <x:v>4</x:v>
      </x:c>
      <x:c r="K252" s="17" t="n">
        <x:v>4</x:v>
      </x:c>
      <x:c r="L252" s="18" t="n">
        <x:f>J252*2-K252</x:f>
        <x:v>4</x:v>
      </x:c>
      <x:c r="M252" s="4" t="inlineStr">
        <x:is>
          <x:t xml:space="preserve">TK-040</x:t>
        </x:is>
      </x:c>
      <x:c r="N252" s="4" t="inlineStr">
        <x:is>
          <x:t xml:space="preserve">Refresh هزینه/تبدیل هر ۱۵ دقیقه در Tier 3 (TST-11)</x:t>
        </x:is>
      </x:c>
      <x:c r="O252" s="17" t="inlineStr">
        <x:is>
          <x:t xml:space="preserve">Proposed</x:t>
        </x:is>
      </x:c>
      <x:c r="P252" s="4" t="inlineStr">
        <x:is>
          <x:t xml:space="preserve">KPI-79 SLA</x:t>
        </x:is>
      </x:c>
      <x:c r="Q252" s="30" t="str">
        <x:v>TK-251</x:v>
      </x:c>
      <x:c r="R252" s="30" t="str"/>
      <x:c r="S252" s="30" t="str">
        <x:v>Data</x:v>
      </x:c>
      <x:c r="T252" s="30" t="str">
        <x:v>DASH-PERF-03</x:v>
      </x:c>
      <x:c r="U252" s="30" t="str">
        <x:v>پایپ‌لاین بلادرنگ ۱۵ دقیقه‌ای (هزینه/تبدیل)</x:v>
      </x:c>
      <x:c r="V252" s="30" t="str">
        <x:v>Pending dependency review</x:v>
      </x:c>
      <x:c r="W252" s="30" t="str">
        <x:v>نیازمند تکمیل و تأیید مالک</x:v>
      </x:c>
      <x:c r="X252" s="30" t="str">
        <x:v>نیازمند تکمیل و تأیید مالک</x:v>
      </x:c>
      <x:c r="Y252" s="30" t="str">
        <x:v>Senior Data Engineer</x:v>
      </x:c>
      <x:c r="Z252" s="30" t="n">
        <x:v>7</x:v>
      </x:c>
      <x:c r="AA252" s="30" t="n">
        <x:v>251</x:v>
      </x:c>
      <x:c r="AB252" s="30" t="str">
        <x:v>Refresh هزینه/تبدیل هر ۱۵ دقیقه در Tier 3 (TST-11)</x:v>
      </x:c>
      <x:c r="AC252" s="30" t="str">
        <x:v>نیازمند تکمیل و تأیید مالک</x:v>
      </x:c>
      <x:c r="AD252" s="30" t="str">
        <x:v>نیازمند تکمیل و تأیید مالک</x:v>
      </x:c>
      <x:c r="AE252" s="30" t="str">
        <x:v>Refresh هزینه/تبدیل هر ۱۵ دقیقه در Tier 3 (TST-11)</x:v>
      </x:c>
      <x:c r="AF252" s="30" t="str"/>
      <x:c r="AG252" s="30" t="str"/>
      <x:c r="AH252" s="30" t="str"/>
    </x:row>
    <x:row r="253">
      <x:c r="A253" s="19" t="inlineStr">
        <x:is>
          <x:t xml:space="preserve">TK-252</x:t>
        </x:is>
      </x:c>
      <x:c r="B253" s="6" t="inlineStr">
        <x:is>
          <x:t xml:space="preserve">اتوماسیون پایپ‌لاین لید و ارجاع به فروش B2B</x:t>
        </x:is>
      </x:c>
      <x:c r="C253" s="6" t="inlineStr">
        <x:is>
          <x:t xml:space="preserve">B2B Lead Pipeline Automation &amp; Routing</x:t>
        </x:is>
      </x:c>
      <x:c r="D253" s="6" t="inlineStr">
        <x:is>
          <x:t xml:space="preserve">Automation</x:t>
        </x:is>
      </x:c>
      <x:c r="E253" s="6" t="inlineStr">
        <x:is>
          <x:t xml:space="preserve">P-09</x:t>
        </x:is>
      </x:c>
      <x:c r="F253" s="19" t="inlineStr">
        <x:is>
          <x:t xml:space="preserve">W5</x:t>
        </x:is>
      </x:c>
      <x:c r="G253" s="6" t="inlineStr">
        <x:is>
          <x:t xml:space="preserve">S2</x:t>
        </x:is>
      </x:c>
      <x:c r="H253" s="19" t="inlineStr">
        <x:is>
          <x:t xml:space="preserve">Critical</x:t>
        </x:is>
      </x:c>
      <x:c r="I253" s="6" t="inlineStr">
        <x:is>
          <x:t xml:space="preserve">CRM Manager</x:t>
        </x:is>
      </x:c>
      <x:c r="J253" s="19" t="n">
        <x:v>5</x:v>
      </x:c>
      <x:c r="K253" s="19" t="n">
        <x:v>4</x:v>
      </x:c>
      <x:c r="L253" s="18" t="n">
        <x:f>J253*2-K253</x:f>
        <x:v>6</x:v>
      </x:c>
      <x:c r="M253" s="6" t="inlineStr">
        <x:is>
          <x:t xml:space="preserve">TK-054, TK-030</x:t>
        </x:is>
      </x:c>
      <x:c r="N253" s="6" t="inlineStr">
        <x:is>
          <x:t xml:space="preserve">لید→MQL خودکار (استعلام نظام) → روتینگ CRM + تایمر SLA 30 دقیقه (TST-29)</x:t>
        </x:is>
      </x:c>
      <x:c r="O253" s="19" t="inlineStr">
        <x:is>
          <x:t xml:space="preserve">Proposed</x:t>
        </x:is>
      </x:c>
      <x:c r="P253" s="6" t="inlineStr">
        <x:is>
          <x:t xml:space="preserve">P-09</x:t>
        </x:is>
      </x:c>
      <x:c r="Q253" s="30" t="str">
        <x:v>TK-252</x:v>
      </x:c>
      <x:c r="R253" s="30" t="str"/>
      <x:c r="S253" s="30" t="str">
        <x:v>Automation</x:v>
      </x:c>
      <x:c r="T253" s="30" t="str">
        <x:v>P-09</x:v>
      </x:c>
      <x:c r="U253" s="30" t="str">
        <x:v>اتوماسیون پایپ‌لاین لید و ارجاع به فروش B2B</x:v>
      </x:c>
      <x:c r="V253" s="30" t="str">
        <x:v>Pending dependency review</x:v>
      </x:c>
      <x:c r="W253" s="30" t="str">
        <x:v>نیازمند تکمیل و تأیید مالک</x:v>
      </x:c>
      <x:c r="X253" s="30" t="str">
        <x:v>نیازمند تکمیل و تأیید مالک</x:v>
      </x:c>
      <x:c r="Y253" s="30" t="str">
        <x:v>CRM Manager</x:v>
      </x:c>
      <x:c r="Z253" s="30" t="n">
        <x:v>7</x:v>
      </x:c>
      <x:c r="AA253" s="30" t="n">
        <x:v>252</x:v>
      </x:c>
      <x:c r="AB253" s="30" t="str">
        <x:v>لید→MQL خودکار (استعلام نظام) → روتینگ CRM + تایمر SLA 30 دقیقه (TST-29)</x:v>
      </x:c>
      <x:c r="AC253" s="30" t="str">
        <x:v>نیازمند تکمیل و تأیید مالک</x:v>
      </x:c>
      <x:c r="AD253" s="30" t="str">
        <x:v>نیازمند تکمیل و تأیید مالک</x:v>
      </x:c>
      <x:c r="AE253" s="30" t="str">
        <x:v>لید→MQL خودکار (استعلام نظام) → روتینگ CRM + تایمر SLA 30 دقیقه (TST-29)</x:v>
      </x:c>
      <x:c r="AF253" s="30" t="str"/>
      <x:c r="AG253" s="30" t="str"/>
      <x:c r="AH253" s="30" t="str"/>
    </x:row>
    <x:row r="254">
      <x:c r="A254" s="17" t="inlineStr">
        <x:is>
          <x:t xml:space="preserve">TK-253</x:t>
        </x:is>
      </x:c>
      <x:c r="B254" s="4" t="inlineStr">
        <x:is>
          <x:t xml:space="preserve">اجرای عملیاتی RFM و CLV برای سگمنت‌بندی</x:t>
        </x:is>
      </x:c>
      <x:c r="C254" s="4" t="inlineStr">
        <x:is>
          <x:t xml:space="preserve">Operationalize RFM &amp; CLV Segmentation</x:t>
        </x:is>
      </x:c>
      <x:c r="D254" s="4" t="inlineStr">
        <x:is>
          <x:t xml:space="preserve">Automation</x:t>
        </x:is>
      </x:c>
      <x:c r="E254" s="4" t="inlineStr">
        <x:is>
          <x:t xml:space="preserve">P-12, REP-19,22</x:t>
        </x:is>
      </x:c>
      <x:c r="F254" s="17" t="inlineStr">
        <x:is>
          <x:t xml:space="preserve">W5</x:t>
        </x:is>
      </x:c>
      <x:c r="G254" s="4" t="inlineStr">
        <x:is>
          <x:t xml:space="preserve">S2</x:t>
        </x:is>
      </x:c>
      <x:c r="H254" s="17" t="inlineStr">
        <x:is>
          <x:t xml:space="preserve">High</x:t>
        </x:is>
      </x:c>
      <x:c r="I254" s="4" t="inlineStr">
        <x:is>
          <x:t xml:space="preserve">Data Analyst</x:t>
        </x:is>
      </x:c>
      <x:c r="J254" s="17" t="n">
        <x:v>4</x:v>
      </x:c>
      <x:c r="K254" s="17" t="n">
        <x:v>3</x:v>
      </x:c>
      <x:c r="L254" s="18" t="n">
        <x:f>J254*2-K254</x:f>
        <x:v>5</x:v>
      </x:c>
      <x:c r="M254" s="4" t="inlineStr">
        <x:is>
          <x:t xml:space="preserve">TK-092..176</x:t>
        </x:is>
      </x:c>
      <x:c r="N254" s="4" t="inlineStr">
        <x:is>
          <x:t xml:space="preserve">سگمنت‌های RFM در CRM + لایه‌بندی VIP برای وین‌بک</x:t>
        </x:is>
      </x:c>
      <x:c r="O254" s="17" t="inlineStr">
        <x:is>
          <x:t xml:space="preserve">Proposed</x:t>
        </x:is>
      </x:c>
      <x:c r="P254" s="4" t="inlineStr">
        <x:is>
          <x:t xml:space="preserve">P-12</x:t>
        </x:is>
      </x:c>
      <x:c r="Q254" s="30" t="str">
        <x:v>TK-253</x:v>
      </x:c>
      <x:c r="R254" s="30" t="str"/>
      <x:c r="S254" s="30" t="str">
        <x:v>Automation</x:v>
      </x:c>
      <x:c r="T254" s="30" t="str">
        <x:v>P-12, REP-19,22</x:v>
      </x:c>
      <x:c r="U254" s="30" t="str">
        <x:v>اجرای عملیاتی RFM و CLV برای سگمنت‌بندی</x:v>
      </x:c>
      <x:c r="V254" s="30" t="str">
        <x:v>Pending dependency review</x:v>
      </x:c>
      <x:c r="W254" s="30" t="str">
        <x:v>نیازمند تکمیل و تأیید مالک</x:v>
      </x:c>
      <x:c r="X254" s="30" t="str">
        <x:v>نیازمند تکمیل و تأیید مالک</x:v>
      </x:c>
      <x:c r="Y254" s="30" t="str">
        <x:v>Data Analyst</x:v>
      </x:c>
      <x:c r="Z254" s="30" t="n">
        <x:v>7</x:v>
      </x:c>
      <x:c r="AA254" s="30" t="n">
        <x:v>253</x:v>
      </x:c>
      <x:c r="AB254" s="30" t="str">
        <x:v>سگمنت‌های RFM در CRM + لایه‌بندی VIP برای وین‌بک</x:v>
      </x:c>
      <x:c r="AC254" s="30" t="str">
        <x:v>نیازمند تکمیل و تأیید مالک</x:v>
      </x:c>
      <x:c r="AD254" s="30" t="str">
        <x:v>نیازمند تکمیل و تأیید مالک</x:v>
      </x:c>
      <x:c r="AE254" s="30" t="str">
        <x:v>سگمنت‌های RFM در CRM + لایه‌بندی VIP برای وین‌بک</x:v>
      </x:c>
      <x:c r="AF254" s="30" t="str"/>
      <x:c r="AG254" s="30" t="str"/>
      <x:c r="AH254" s="30" t="str">
        <x:v>P-12, REP-19,22</x:v>
      </x:c>
    </x:row>
    <x:row r="255">
      <x:c r="A255" s="19" t="inlineStr">
        <x:is>
          <x:t xml:space="preserve">TK-254</x:t>
        </x:is>
      </x:c>
      <x:c r="B255" s="6" t="inlineStr">
        <x:is>
          <x:t xml:space="preserve">اتوماسیون SMS شارژ مواد مصرفی</x:t>
        </x:is>
      </x:c>
      <x:c r="C255" s="6" t="inlineStr">
        <x:is>
          <x:t xml:space="preserve">Consumables Replenishment SMS Automation</x:t>
        </x:is>
      </x:c>
      <x:c r="D255" s="6" t="inlineStr">
        <x:is>
          <x:t xml:space="preserve">Automation</x:t>
        </x:is>
      </x:c>
      <x:c r="E255" s="6" t="inlineStr">
        <x:is>
          <x:t xml:space="preserve">P-13</x:t>
        </x:is>
      </x:c>
      <x:c r="F255" s="19" t="inlineStr">
        <x:is>
          <x:t xml:space="preserve">W5</x:t>
        </x:is>
      </x:c>
      <x:c r="G255" s="6" t="inlineStr">
        <x:is>
          <x:t xml:space="preserve">S2</x:t>
        </x:is>
      </x:c>
      <x:c r="H255" s="19" t="inlineStr">
        <x:is>
          <x:t xml:space="preserve">High</x:t>
        </x:is>
      </x:c>
      <x:c r="I255" s="6" t="inlineStr">
        <x:is>
          <x:t xml:space="preserve">CRM Manager</x:t>
        </x:is>
      </x:c>
      <x:c r="J255" s="19" t="n">
        <x:v>4</x:v>
      </x:c>
      <x:c r="K255" s="19" t="n">
        <x:v>3</x:v>
      </x:c>
      <x:c r="L255" s="18" t="n">
        <x:f>J255*2-K255</x:f>
        <x:v>5</x:v>
      </x:c>
      <x:c r="M255" s="6" t="inlineStr">
        <x:is>
          <x:t xml:space="preserve">TK-054, TK-036</x:t>
        </x:is>
      </x:c>
      <x:c r="N255" s="6" t="inlineStr">
        <x:is>
          <x:t xml:space="preserve">ارسال خودکار بر اساس ATBP (KPI-73) + UTM اختصاصی + S2S</x:t>
        </x:is>
      </x:c>
      <x:c r="O255" s="19" t="inlineStr">
        <x:is>
          <x:t xml:space="preserve">Proposed</x:t>
        </x:is>
      </x:c>
      <x:c r="P255" s="6" t="inlineStr">
        <x:is>
          <x:t xml:space="preserve">P-13</x:t>
        </x:is>
      </x:c>
      <x:c r="Q255" s="30" t="str">
        <x:v>TK-254</x:v>
      </x:c>
      <x:c r="R255" s="30" t="str"/>
      <x:c r="S255" s="30" t="str">
        <x:v>Automation</x:v>
      </x:c>
      <x:c r="T255" s="30" t="str">
        <x:v>P-13</x:v>
      </x:c>
      <x:c r="U255" s="30" t="str">
        <x:v>اتوماسیون SMS شارژ مواد مصرفی</x:v>
      </x:c>
      <x:c r="V255" s="30" t="str">
        <x:v>Pending dependency review</x:v>
      </x:c>
      <x:c r="W255" s="30" t="str">
        <x:v>نیازمند تکمیل و تأیید مالک</x:v>
      </x:c>
      <x:c r="X255" s="30" t="str">
        <x:v>نیازمند تکمیل و تأیید مالک</x:v>
      </x:c>
      <x:c r="Y255" s="30" t="str">
        <x:v>CRM Manager</x:v>
      </x:c>
      <x:c r="Z255" s="30" t="n">
        <x:v>7</x:v>
      </x:c>
      <x:c r="AA255" s="30" t="n">
        <x:v>254</x:v>
      </x:c>
      <x:c r="AB255" s="30" t="str">
        <x:v>ارسال خودکار بر اساس ATBP (KPI-73) + UTM اختصاصی + S2S</x:v>
      </x:c>
      <x:c r="AC255" s="30" t="str">
        <x:v>نیازمند تکمیل و تأیید مالک</x:v>
      </x:c>
      <x:c r="AD255" s="30" t="str">
        <x:v>نیازمند تکمیل و تأیید مالک</x:v>
      </x:c>
      <x:c r="AE255" s="30" t="str">
        <x:v>ارسال خودکار بر اساس ATBP (KPI-73) + UTM اختصاصی + S2S</x:v>
      </x:c>
      <x:c r="AF255" s="30" t="str"/>
      <x:c r="AG255" s="30" t="str"/>
      <x:c r="AH255" s="30" t="str"/>
    </x:row>
    <x:row r="256">
      <x:c r="A256" s="17" t="inlineStr">
        <x:is>
          <x:t xml:space="preserve">TK-255</x:t>
        </x:is>
      </x:c>
      <x:c r="B256" s="4" t="inlineStr">
        <x:is>
          <x:t xml:space="preserve">توقف خودکار تبلیغ SKU ناموجود (WMS→Ads)</x:t>
        </x:is>
      </x:c>
      <x:c r="C256" s="4" t="inlineStr">
        <x:is>
          <x:t xml:space="preserve">Auto-Stop Ads for Zero-Inventory SKU (WMS→Ads)</x:t>
        </x:is>
      </x:c>
      <x:c r="D256" s="4" t="inlineStr">
        <x:is>
          <x:t xml:space="preserve">Automation</x:t>
        </x:is>
      </x:c>
      <x:c r="E256" s="4" t="inlineStr">
        <x:is>
          <x:t xml:space="preserve">P-15, ALT-13</x:t>
        </x:is>
      </x:c>
      <x:c r="F256" s="17" t="inlineStr">
        <x:is>
          <x:t xml:space="preserve">W5</x:t>
        </x:is>
      </x:c>
      <x:c r="G256" s="4" t="inlineStr">
        <x:is>
          <x:t xml:space="preserve">S2</x:t>
        </x:is>
      </x:c>
      <x:c r="H256" s="17" t="inlineStr">
        <x:is>
          <x:t xml:space="preserve">High</x:t>
        </x:is>
      </x:c>
      <x:c r="I256" s="4" t="inlineStr">
        <x:is>
          <x:t xml:space="preserve">DevOps/Web Engineer</x:t>
        </x:is>
      </x:c>
      <x:c r="J256" s="17" t="n">
        <x:v>4</x:v>
      </x:c>
      <x:c r="K256" s="17" t="n">
        <x:v>3</x:v>
      </x:c>
      <x:c r="L256" s="18" t="n">
        <x:f>J256*2-K256</x:f>
        <x:v>5</x:v>
      </x:c>
      <x:c r="M256" s="4" t="inlineStr">
        <x:is>
          <x:t xml:space="preserve">TK-085, CRED-01</x:t>
        </x:is>
      </x:c>
      <x:c r="N256" s="4" t="inlineStr">
        <x:is>
          <x:t xml:space="preserve">اسکریپت Ads API با Webhook WMS؛ توقف &lt;۱۵ دقیقه (TST-28)</x:t>
        </x:is>
      </x:c>
      <x:c r="O256" s="17" t="inlineStr">
        <x:is>
          <x:t xml:space="preserve">Proposed</x:t>
        </x:is>
      </x:c>
      <x:c r="P256" s="4" t="inlineStr">
        <x:is>
          <x:t xml:space="preserve">P-15</x:t>
        </x:is>
      </x:c>
      <x:c r="Q256" s="30" t="str">
        <x:v>TK-255</x:v>
      </x:c>
      <x:c r="R256" s="30" t="str"/>
      <x:c r="S256" s="30" t="str">
        <x:v>Automation</x:v>
      </x:c>
      <x:c r="T256" s="30" t="str">
        <x:v>P-15, ALT-13</x:v>
      </x:c>
      <x:c r="U256" s="30" t="str">
        <x:v>توقف خودکار تبلیغ SKU ناموجود (WMS→Ads)</x:v>
      </x:c>
      <x:c r="V256" s="30" t="str">
        <x:v>Pending dependency review</x:v>
      </x:c>
      <x:c r="W256" s="30" t="str">
        <x:v>نیازمند تکمیل و تأیید مالک</x:v>
      </x:c>
      <x:c r="X256" s="30" t="str">
        <x:v>نیازمند تکمیل و تأیید مالک</x:v>
      </x:c>
      <x:c r="Y256" s="30" t="str">
        <x:v>DevOps/Web Engineer</x:v>
      </x:c>
      <x:c r="Z256" s="30" t="n">
        <x:v>7</x:v>
      </x:c>
      <x:c r="AA256" s="30" t="n">
        <x:v>255</x:v>
      </x:c>
      <x:c r="AB256" s="30" t="str">
        <x:v>اسکریپت Ads API با Webhook WMS؛ توقف &lt;۱۵ دقیقه (TST-28)</x:v>
      </x:c>
      <x:c r="AC256" s="30" t="str">
        <x:v>نیازمند تکمیل و تأیید مالک</x:v>
      </x:c>
      <x:c r="AD256" s="30" t="str">
        <x:v>نیازمند تکمیل و تأیید مالک</x:v>
      </x:c>
      <x:c r="AE256" s="30" t="str">
        <x:v>اسکریپت Ads API با Webhook WMS؛ توقف &lt;۱۵ دقیقه (TST-28)</x:v>
      </x:c>
      <x:c r="AF256" s="30" t="str"/>
      <x:c r="AG256" s="30" t="str"/>
      <x:c r="AH256" s="30" t="str"/>
    </x:row>
    <x:row r="257">
      <x:c r="A257" s="19" t="inlineStr">
        <x:is>
          <x:t xml:space="preserve">TK-256</x:t>
        </x:is>
      </x:c>
      <x:c r="B257" s="6" t="inlineStr">
        <x:is>
          <x:t xml:space="preserve">راه‌اندازی ۱۰ چک‌لیست عملیاتی در شیت زنده</x:t>
        </x:is>
      </x:c>
      <x:c r="C257" s="6" t="inlineStr">
        <x:is>
          <x:t xml:space="preserve">Activate 10 Operational Checklists (Live Sheet)</x:t>
        </x:is>
      </x:c>
      <x:c r="D257" s="6" t="inlineStr">
        <x:is>
          <x:t xml:space="preserve">Process</x:t>
        </x:is>
      </x:c>
      <x:c r="E257" s="6" t="inlineStr">
        <x:is>
          <x:t xml:space="preserve">T_CHECKLISTS</x:t>
        </x:is>
      </x:c>
      <x:c r="F257" s="19" t="inlineStr">
        <x:is>
          <x:t xml:space="preserve">W5</x:t>
        </x:is>
      </x:c>
      <x:c r="G257" s="6" t="inlineStr">
        <x:is>
          <x:t xml:space="preserve">S2</x:t>
        </x:is>
      </x:c>
      <x:c r="H257" s="19" t="inlineStr">
        <x:is>
          <x:t xml:space="preserve">Medium</x:t>
        </x:is>
      </x:c>
      <x:c r="I257" s="6" t="inlineStr">
        <x:is>
          <x:t xml:space="preserve">Performance Marketing Lead</x:t>
        </x:is>
      </x:c>
      <x:c r="J257" s="19" t="n">
        <x:v>3</x:v>
      </x:c>
      <x:c r="K257" s="19" t="n">
        <x:v>1</x:v>
      </x:c>
      <x:c r="L257" s="18" t="n">
        <x:f>J257*2-K257</x:f>
        <x:v>5</x:v>
      </x:c>
      <x:c r="M257" s="6" t="inlineStr">
        <x:is>
          <x:t xml:space="preserve">TK-226..235</x:t>
        </x:is>
      </x:c>
      <x:c r="N257" s="6" t="inlineStr">
        <x:is>
          <x:t xml:space="preserve">۶۶ آیتم چک‌لیست در شیت ۱۷ با ستون وضعیت</x:t>
        </x:is>
      </x:c>
      <x:c r="O257" s="19" t="inlineStr">
        <x:is>
          <x:t xml:space="preserve">Proposed</x:t>
        </x:is>
      </x:c>
      <x:c r="P257" s="6" t="inlineStr">
        <x:is>
          <x:t xml:space="preserve">Checklists doc 10</x:t>
        </x:is>
      </x:c>
      <x:c r="Q257" s="30" t="str">
        <x:v>TK-256</x:v>
      </x:c>
      <x:c r="R257" s="30" t="str"/>
      <x:c r="S257" s="30" t="str">
        <x:v>Process</x:v>
      </x:c>
      <x:c r="T257" s="30" t="str">
        <x:v>T_CHECKLISTS</x:v>
      </x:c>
      <x:c r="U257" s="30" t="str">
        <x:v>راه‌اندازی ۱۰ چک‌لیست عملیاتی در شیت زنده</x:v>
      </x:c>
      <x:c r="V257" s="30" t="str">
        <x:v>Pending dependency review</x:v>
      </x:c>
      <x:c r="W257" s="30" t="str">
        <x:v>نیازمند تکمیل و تأیید مالک</x:v>
      </x:c>
      <x:c r="X257" s="30" t="str">
        <x:v>نیازمند تکمیل و تأیید مالک</x:v>
      </x:c>
      <x:c r="Y257" s="30" t="str">
        <x:v>Performance Marketing Lead</x:v>
      </x:c>
      <x:c r="Z257" s="30" t="n">
        <x:v>7</x:v>
      </x:c>
      <x:c r="AA257" s="30" t="n">
        <x:v>256</x:v>
      </x:c>
      <x:c r="AB257" s="30" t="str">
        <x:v>۶۶ آیتم چک‌لیست در شیت ۱۷ با ستون وضعیت</x:v>
      </x:c>
      <x:c r="AC257" s="30" t="str">
        <x:v>نیازمند تکمیل و تأیید مالک</x:v>
      </x:c>
      <x:c r="AD257" s="30" t="str">
        <x:v>نیازمند تکمیل و تأیید مالک</x:v>
      </x:c>
      <x:c r="AE257" s="30" t="str">
        <x:v>۶۶ آیتم چک‌لیست در شیت ۱۷ با ستون وضعیت</x:v>
      </x:c>
      <x:c r="AF257" s="30" t="str"/>
      <x:c r="AG257" s="30" t="str"/>
      <x:c r="AH257" s="30" t="str"/>
    </x:row>
    <x:row r="258">
      <x:c r="A258" s="17" t="inlineStr">
        <x:is>
          <x:t xml:space="preserve">TK-257</x:t>
        </x:is>
      </x:c>
      <x:c r="B258" s="4" t="inlineStr">
        <x:is>
          <x:t xml:space="preserve">راه‌اندازی ریتم گزارش‌دهی CAD-01..04 و بات تلگرام</x:t>
        </x:is>
      </x:c>
      <x:c r="C258" s="4" t="inlineStr">
        <x:is>
          <x:t xml:space="preserve">Stand Up Reporting Cadence CAD-01..04 &amp; Telegram Bot</x:t>
        </x:is>
      </x:c>
      <x:c r="D258" s="4" t="inlineStr">
        <x:is>
          <x:t xml:space="preserve">Process</x:t>
        </x:is>
      </x:c>
      <x:c r="E258" s="4" t="inlineStr">
        <x:is>
          <x:t xml:space="preserve">CAD-01..04</x:t>
        </x:is>
      </x:c>
      <x:c r="F258" s="17" t="inlineStr">
        <x:is>
          <x:t xml:space="preserve">W5</x:t>
        </x:is>
      </x:c>
      <x:c r="G258" s="4" t="inlineStr">
        <x:is>
          <x:t xml:space="preserve">S2</x:t>
        </x:is>
      </x:c>
      <x:c r="H258" s="17" t="inlineStr">
        <x:is>
          <x:t xml:space="preserve">Medium</x:t>
        </x:is>
      </x:c>
      <x:c r="I258" s="4" t="inlineStr">
        <x:is>
          <x:t xml:space="preserve">BI Lead</x:t>
        </x:is>
      </x:c>
      <x:c r="J258" s="17" t="n">
        <x:v>3</x:v>
      </x:c>
      <x:c r="K258" s="17" t="n">
        <x:v>2</x:v>
      </x:c>
      <x:c r="L258" s="18" t="n">
        <x:f>J258*2-K258</x:f>
        <x:v>4</x:v>
      </x:c>
      <x:c r="M258" s="4" t="inlineStr">
        <x:is>
          <x:t xml:space="preserve">TK-226..235</x:t>
        </x:is>
      </x:c>
      <x:c r="N258" s="4" t="inlineStr">
        <x:is>
          <x:t xml:space="preserve">خلاصه خودکار روز ۰۹:۰۰ / هفتگی ۰۸:۳۰ + پیوند داشبورد</x:t>
        </x:is>
      </x:c>
      <x:c r="O258" s="17" t="inlineStr">
        <x:is>
          <x:t xml:space="preserve">Proposed</x:t>
        </x:is>
      </x:c>
      <x:c r="P258" s="4" t="inlineStr">
        <x:is>
          <x:t xml:space="preserve">doc 06</x:t>
        </x:is>
      </x:c>
      <x:c r="Q258" s="30" t="str">
        <x:v>TK-257</x:v>
      </x:c>
      <x:c r="R258" s="30" t="str"/>
      <x:c r="S258" s="30" t="str">
        <x:v>Process</x:v>
      </x:c>
      <x:c r="T258" s="30" t="str">
        <x:v>CAD-01..04</x:v>
      </x:c>
      <x:c r="U258" s="30" t="str">
        <x:v>راه‌اندازی ریتم گزارش‌دهی CAD-01..04 و بات تلگرام</x:v>
      </x:c>
      <x:c r="V258" s="30" t="str">
        <x:v>Pending dependency review</x:v>
      </x:c>
      <x:c r="W258" s="30" t="str">
        <x:v>نیازمند تکمیل و تأیید مالک</x:v>
      </x:c>
      <x:c r="X258" s="30" t="str">
        <x:v>نیازمند تکمیل و تأیید مالک</x:v>
      </x:c>
      <x:c r="Y258" s="30" t="str">
        <x:v>BI Lead</x:v>
      </x:c>
      <x:c r="Z258" s="30" t="n">
        <x:v>7</x:v>
      </x:c>
      <x:c r="AA258" s="30" t="n">
        <x:v>257</x:v>
      </x:c>
      <x:c r="AB258" s="30" t="str">
        <x:v>خلاصه خودکار روز ۰۹:۰۰ / هفتگی ۰۸:۳۰ + پیوند داشبورد</x:v>
      </x:c>
      <x:c r="AC258" s="30" t="str">
        <x:v>نیازمند تکمیل و تأیید مالک</x:v>
      </x:c>
      <x:c r="AD258" s="30" t="str">
        <x:v>نیازمند تکمیل و تأیید مالک</x:v>
      </x:c>
      <x:c r="AE258" s="30" t="str">
        <x:v>خلاصه خودکار روز ۰۹:۰۰ / هفتگی ۰۸:۳۰ + پیوند داشبورد</x:v>
      </x:c>
      <x:c r="AF258" s="30" t="str"/>
      <x:c r="AG258" s="30" t="str"/>
      <x:c r="AH258" s="30" t="str"/>
    </x:row>
    <x:row r="259">
      <x:c r="A259" s="19" t="inlineStr">
        <x:is>
          <x:t xml:space="preserve">TK-258</x:t>
        </x:is>
      </x:c>
      <x:c r="B259" s="6" t="inlineStr">
        <x:is>
          <x:t xml:space="preserve">مدل: مدل‌سازی آمیخته بازاریابی بایزی</x:t>
        </x:is>
      </x:c>
      <x:c r="C259" s="6" t="inlineStr">
        <x:is>
          <x:t xml:space="preserve">Build Model: MMM</x:t>
        </x:is>
      </x:c>
      <x:c r="D259" s="6" t="inlineStr">
        <x:is>
          <x:t xml:space="preserve">Model</x:t>
        </x:is>
      </x:c>
      <x:c r="E259" s="6" t="inlineStr">
        <x:is>
          <x:t xml:space="preserve">MOD-01</x:t>
        </x:is>
      </x:c>
      <x:c r="F259" s="19" t="inlineStr">
        <x:is>
          <x:t xml:space="preserve">W6</x:t>
        </x:is>
      </x:c>
      <x:c r="G259" s="6" t="inlineStr">
        <x:is>
          <x:t xml:space="preserve">S3</x:t>
        </x:is>
      </x:c>
      <x:c r="H259" s="19" t="inlineStr">
        <x:is>
          <x:t xml:space="preserve">High</x:t>
        </x:is>
      </x:c>
      <x:c r="I259" s="6" t="inlineStr">
        <x:is>
          <x:t xml:space="preserve">Data Scientist</x:t>
        </x:is>
      </x:c>
      <x:c r="J259" s="19" t="n">
        <x:v>5</x:v>
      </x:c>
      <x:c r="K259" s="19" t="n">
        <x:v>5</x:v>
      </x:c>
      <x:c r="L259" s="18" t="n">
        <x:f>J259*2-K259</x:f>
        <x:v>5</x:v>
      </x:c>
      <x:c r="M259" s="6" t="inlineStr">
        <x:is>
          <x:t xml:space="preserve">TK-088, TK-092..176</x:t>
        </x:is>
      </x:c>
      <x:c r="N259" s="6" t="inlineStr">
        <x:is>
          <x:t xml:space="preserve">خروجی «سهم درصد انتساب هر رسانه به درآمد کلان (Decomposit…» + ارزیابی معیار خطای میانگین مربعات درصد (MAPE &lt; 1 (TST-36)</x:t>
        </x:is>
      </x:c>
      <x:c r="O259" s="19" t="inlineStr">
        <x:is>
          <x:t xml:space="preserve">Proposed</x:t>
        </x:is>
      </x:c>
      <x:c r="P259" s="6" t="inlineStr">
        <x:is>
          <x:t xml:space="preserve">نیاز به دست‌کم ۹۰ تا ۱۰۴ هفته داده تاریخی مستمر؛ هم‌خطی شدید</x:t>
        </x:is>
      </x:c>
      <x:c r="Q259" s="30" t="str">
        <x:v>TK-258</x:v>
      </x:c>
      <x:c r="R259" s="30" t="str"/>
      <x:c r="S259" s="30" t="str">
        <x:v>Model</x:v>
      </x:c>
      <x:c r="T259" s="30" t="str">
        <x:v>MOD-01</x:v>
      </x:c>
      <x:c r="U259" s="30" t="str">
        <x:v>مدل: مدل‌سازی آمیخته بازاریابی بایزی</x:v>
      </x:c>
      <x:c r="V259" s="30" t="str">
        <x:v>Pending dependency review</x:v>
      </x:c>
      <x:c r="W259" s="30" t="str">
        <x:v>نیازمند تکمیل و تأیید مالک</x:v>
      </x:c>
      <x:c r="X259" s="30" t="str">
        <x:v>نیازمند تکمیل و تأیید مالک</x:v>
      </x:c>
      <x:c r="Y259" s="30" t="str">
        <x:v>Data Scientist</x:v>
      </x:c>
      <x:c r="Z259" s="30" t="n">
        <x:v>15</x:v>
      </x:c>
      <x:c r="AA259" s="30" t="n">
        <x:v>258</x:v>
      </x:c>
      <x:c r="AB259" s="30" t="str">
        <x:v>خروجی «سهم درصد انتساب هر رسانه به درآمد کلان (Decomposit…» + ارزیابی معیار خطای میانگین مربعات درصد (MAPE &lt; 1 (TST-36)</x:v>
      </x:c>
      <x:c r="AC259" s="30" t="str">
        <x:v>نیازمند تکمیل و تأیید مالک</x:v>
      </x:c>
      <x:c r="AD259" s="30" t="str">
        <x:v>نیازمند تکمیل و تأیید مالک</x:v>
      </x:c>
      <x:c r="AE259" s="30" t="str">
        <x:v>خروجی «سهم درصد انتساب هر رسانه به درآمد کلان (Decomposit…» + ارزیابی معیار خطای میانگین مربعات درصد (MAPE &lt; 1 (TST-36)</x:v>
      </x:c>
      <x:c r="AF259" s="30" t="str"/>
      <x:c r="AG259" s="30" t="str"/>
      <x:c r="AH259" s="30" t="str"/>
    </x:row>
    <x:row r="260">
      <x:c r="A260" s="17" t="inlineStr">
        <x:is>
          <x:t xml:space="preserve">TK-259</x:t>
        </x:is>
      </x:c>
      <x:c r="B260" s="4" t="inlineStr">
        <x:is>
          <x:t xml:space="preserve">مدل: مدل اتریبیوشن چندلمسی مبتنی بر زنجیره مارکوف و مقادیر شاپلی</x:t>
        </x:is>
      </x:c>
      <x:c r="C260" s="4" t="inlineStr">
        <x:is>
          <x:t xml:space="preserve">Build Model: MTA</x:t>
        </x:is>
      </x:c>
      <x:c r="D260" s="4" t="inlineStr">
        <x:is>
          <x:t xml:space="preserve">Model</x:t>
        </x:is>
      </x:c>
      <x:c r="E260" s="4" t="inlineStr">
        <x:is>
          <x:t xml:space="preserve">MOD-02</x:t>
        </x:is>
      </x:c>
      <x:c r="F260" s="17" t="inlineStr">
        <x:is>
          <x:t xml:space="preserve">W6</x:t>
        </x:is>
      </x:c>
      <x:c r="G260" s="4" t="inlineStr">
        <x:is>
          <x:t xml:space="preserve">S3</x:t>
        </x:is>
      </x:c>
      <x:c r="H260" s="17" t="inlineStr">
        <x:is>
          <x:t xml:space="preserve">High</x:t>
        </x:is>
      </x:c>
      <x:c r="I260" s="4" t="inlineStr">
        <x:is>
          <x:t xml:space="preserve">Data Scientist</x:t>
        </x:is>
      </x:c>
      <x:c r="J260" s="17" t="n">
        <x:v>5</x:v>
      </x:c>
      <x:c r="K260" s="17" t="n">
        <x:v>5</x:v>
      </x:c>
      <x:c r="L260" s="18" t="n">
        <x:f>J260*2-K260</x:f>
        <x:v>5</x:v>
      </x:c>
      <x:c r="M260" s="4" t="inlineStr">
        <x:is>
          <x:t xml:space="preserve">TK-088, TK-092..176</x:t>
        </x:is>
      </x:c>
      <x:c r="N260" s="4" t="inlineStr">
        <x:is>
          <x:t xml:space="preserve">خروجی «جدول اوزان کسری کانال‌ها به ازای هر سفارش، گزارش R…» + ارزیابی شاخص ثبات وزن‌ها (Weight Stability Index (TST-36)</x:t>
        </x:is>
      </x:c>
      <x:c r="O260" s="17" t="inlineStr">
        <x:is>
          <x:t xml:space="preserve">Proposed</x:t>
        </x:is>
      </x:c>
      <x:c r="P260" s="4" t="inlineStr">
        <x:is>
          <x:t xml:space="preserve">محدودیت‌های ترکینگ کلاینت به دلیل ITP اپل و بلاکرهای مرورگر؛</x:t>
        </x:is>
      </x:c>
      <x:c r="Q260" s="30" t="str">
        <x:v>TK-259</x:v>
      </x:c>
      <x:c r="R260" s="30" t="str"/>
      <x:c r="S260" s="30" t="str">
        <x:v>Model</x:v>
      </x:c>
      <x:c r="T260" s="30" t="str">
        <x:v>MOD-02</x:v>
      </x:c>
      <x:c r="U260" s="30" t="str">
        <x:v>مدل: مدل اتریبیوشن چندلمسی مبتنی بر زنجیره مارکوف و مقادیر شاپلی</x:v>
      </x:c>
      <x:c r="V260" s="30" t="str">
        <x:v>Pending dependency review</x:v>
      </x:c>
      <x:c r="W260" s="30" t="str">
        <x:v>نیازمند تکمیل و تأیید مالک</x:v>
      </x:c>
      <x:c r="X260" s="30" t="str">
        <x:v>نیازمند تکمیل و تأیید مالک</x:v>
      </x:c>
      <x:c r="Y260" s="30" t="str">
        <x:v>Data Scientist</x:v>
      </x:c>
      <x:c r="Z260" s="30" t="n">
        <x:v>15</x:v>
      </x:c>
      <x:c r="AA260" s="30" t="n">
        <x:v>259</x:v>
      </x:c>
      <x:c r="AB260" s="30" t="str">
        <x:v>خروجی «جدول اوزان کسری کانال‌ها به ازای هر سفارش، گزارش R…» + ارزیابی شاخص ثبات وزن‌ها (Weight Stability Index (TST-36)</x:v>
      </x:c>
      <x:c r="AC260" s="30" t="str">
        <x:v>نیازمند تکمیل و تأیید مالک</x:v>
      </x:c>
      <x:c r="AD260" s="30" t="str">
        <x:v>نیازمند تکمیل و تأیید مالک</x:v>
      </x:c>
      <x:c r="AE260" s="30" t="str">
        <x:v>خروجی «جدول اوزان کسری کانال‌ها به ازای هر سفارش، گزارش R…» + ارزیابی شاخص ثبات وزن‌ها (Weight Stability Index (TST-36)</x:v>
      </x:c>
      <x:c r="AF260" s="30" t="str"/>
      <x:c r="AG260" s="30" t="str"/>
      <x:c r="AH260" s="30" t="str"/>
    </x:row>
    <x:row r="261">
      <x:c r="A261" s="19" t="inlineStr">
        <x:is>
          <x:t xml:space="preserve">TK-260</x:t>
        </x:is>
      </x:c>
      <x:c r="B261" s="6" t="inlineStr">
        <x:is>
          <x:t xml:space="preserve">مدل: مدل ارزش طول عمر مشتری با توزیع احتمالی BG/NBD و گاما-گاما</x:t>
        </x:is>
      </x:c>
      <x:c r="C261" s="6" t="inlineStr">
        <x:is>
          <x:t xml:space="preserve">Build Model: BG/NBD &amp; Gamma-Gamma</x:t>
        </x:is>
      </x:c>
      <x:c r="D261" s="6" t="inlineStr">
        <x:is>
          <x:t xml:space="preserve">Model</x:t>
        </x:is>
      </x:c>
      <x:c r="E261" s="6" t="inlineStr">
        <x:is>
          <x:t xml:space="preserve">MOD-03</x:t>
        </x:is>
      </x:c>
      <x:c r="F261" s="19" t="inlineStr">
        <x:is>
          <x:t xml:space="preserve">W6</x:t>
        </x:is>
      </x:c>
      <x:c r="G261" s="6" t="inlineStr">
        <x:is>
          <x:t xml:space="preserve">S3</x:t>
        </x:is>
      </x:c>
      <x:c r="H261" s="19" t="inlineStr">
        <x:is>
          <x:t xml:space="preserve">High</x:t>
        </x:is>
      </x:c>
      <x:c r="I261" s="6" t="inlineStr">
        <x:is>
          <x:t xml:space="preserve">Data Scientist</x:t>
        </x:is>
      </x:c>
      <x:c r="J261" s="19" t="n">
        <x:v>5</x:v>
      </x:c>
      <x:c r="K261" s="19" t="n">
        <x:v>5</x:v>
      </x:c>
      <x:c r="L261" s="18" t="n">
        <x:f>J261*2-K261</x:f>
        <x:v>5</x:v>
      </x:c>
      <x:c r="M261" s="6" t="inlineStr">
        <x:is>
          <x:t xml:space="preserve">TK-088, TK-092..176</x:t>
        </x:is>
      </x:c>
      <x:c r="N261" s="6" t="inlineStr">
        <x:is>
          <x:t xml:space="preserve">خروجی «احتمال زنده بودن مشتری P(Alive)، تعداد خریدهای پیش…» + ارزیابی معیار ریشه میانگین مربعات خطا (RMSE) روی (TST-36)</x:t>
        </x:is>
      </x:c>
      <x:c r="O261" s="19" t="inlineStr">
        <x:is>
          <x:t xml:space="preserve">Proposed</x:t>
        </x:is>
      </x:c>
      <x:c r="P261" s="6" t="inlineStr">
        <x:is>
          <x:t xml:space="preserve">رفتار متفاوت خرید دستگاه‌های سنگین (خرید هر چند سال یک‌بار) </x:t>
        </x:is>
      </x:c>
      <x:c r="Q261" s="30" t="str">
        <x:v>TK-260</x:v>
      </x:c>
      <x:c r="R261" s="30" t="str"/>
      <x:c r="S261" s="30" t="str">
        <x:v>Model</x:v>
      </x:c>
      <x:c r="T261" s="30" t="str">
        <x:v>MOD-03</x:v>
      </x:c>
      <x:c r="U261" s="30" t="str">
        <x:v>مدل: مدل ارزش طول عمر مشتری با توزیع احتمالی BG/NBD و گاما-گاما</x:v>
      </x:c>
      <x:c r="V261" s="30" t="str">
        <x:v>Pending dependency review</x:v>
      </x:c>
      <x:c r="W261" s="30" t="str">
        <x:v>نیازمند تکمیل و تأیید مالک</x:v>
      </x:c>
      <x:c r="X261" s="30" t="str">
        <x:v>نیازمند تکمیل و تأیید مالک</x:v>
      </x:c>
      <x:c r="Y261" s="30" t="str">
        <x:v>Data Scientist</x:v>
      </x:c>
      <x:c r="Z261" s="30" t="n">
        <x:v>15</x:v>
      </x:c>
      <x:c r="AA261" s="30" t="n">
        <x:v>260</x:v>
      </x:c>
      <x:c r="AB261" s="30" t="str">
        <x:v>خروجی «احتمال زنده بودن مشتری P(Alive)، تعداد خریدهای پیش…» + ارزیابی معیار ریشه میانگین مربعات خطا (RMSE) روی (TST-36)</x:v>
      </x:c>
      <x:c r="AC261" s="30" t="str">
        <x:v>نیازمند تکمیل و تأیید مالک</x:v>
      </x:c>
      <x:c r="AD261" s="30" t="str">
        <x:v>نیازمند تکمیل و تأیید مالک</x:v>
      </x:c>
      <x:c r="AE261" s="30" t="str">
        <x:v>خروجی «احتمال زنده بودن مشتری P(Alive)، تعداد خریدهای پیش…» + ارزیابی معیار ریشه میانگین مربعات خطا (RMSE) روی (TST-36)</x:v>
      </x:c>
      <x:c r="AF261" s="30" t="str"/>
      <x:c r="AG261" s="30" t="str"/>
      <x:c r="AH261" s="30" t="str"/>
    </x:row>
    <x:row r="262">
      <x:c r="A262" s="17" t="inlineStr">
        <x:is>
          <x:t xml:space="preserve">TK-261</x:t>
        </x:is>
      </x:c>
      <x:c r="B262" s="4" t="inlineStr">
        <x:is>
          <x:t xml:space="preserve">مدل: مدل پیش‌بینی احتمال ریزش کلینیک‌ها و دندان‌پزشکان</x:t>
        </x:is>
      </x:c>
      <x:c r="C262" s="4" t="inlineStr">
        <x:is>
          <x:t xml:space="preserve">Build Model: B2B Dental Clinic Churn Prediction Model</x:t>
        </x:is>
      </x:c>
      <x:c r="D262" s="4" t="inlineStr">
        <x:is>
          <x:t xml:space="preserve">Model</x:t>
        </x:is>
      </x:c>
      <x:c r="E262" s="4" t="inlineStr">
        <x:is>
          <x:t xml:space="preserve">MOD-04</x:t>
        </x:is>
      </x:c>
      <x:c r="F262" s="17" t="inlineStr">
        <x:is>
          <x:t xml:space="preserve">W6</x:t>
        </x:is>
      </x:c>
      <x:c r="G262" s="4" t="inlineStr">
        <x:is>
          <x:t xml:space="preserve">S3</x:t>
        </x:is>
      </x:c>
      <x:c r="H262" s="17" t="inlineStr">
        <x:is>
          <x:t xml:space="preserve">High</x:t>
        </x:is>
      </x:c>
      <x:c r="I262" s="4" t="inlineStr">
        <x:is>
          <x:t xml:space="preserve">Data Scientist</x:t>
        </x:is>
      </x:c>
      <x:c r="J262" s="17" t="n">
        <x:v>4</x:v>
      </x:c>
      <x:c r="K262" s="17" t="n">
        <x:v>5</x:v>
      </x:c>
      <x:c r="L262" s="18" t="n">
        <x:f>J262*2-K262</x:f>
        <x:v>3</x:v>
      </x:c>
      <x:c r="M262" s="4" t="inlineStr">
        <x:is>
          <x:t xml:space="preserve">TK-088, TK-092..176</x:t>
        </x:is>
      </x:c>
      <x:c r="N262" s="4" t="inlineStr">
        <x:is>
          <x:t xml:space="preserve">خروجی «نمره احتمال ریزش (Churn Probability Score بین ۰ تا…» + ارزیابی سطح زیر منحنی مشخصه عملکرد گیرنده (ROC-A (TST-36)</x:t>
        </x:is>
      </x:c>
      <x:c r="O262" s="17" t="inlineStr">
        <x:is>
          <x:t xml:space="preserve">Proposed</x:t>
        </x:is>
      </x:c>
      <x:c r="P262" s="4" t="inlineStr">
        <x:is>
          <x:t xml:space="preserve">سوگیری در فصول رکود (ماه رمضان یا تعطیلات نوروز)؛ نیاز به نر</x:t>
        </x:is>
      </x:c>
      <x:c r="Q262" s="30" t="str">
        <x:v>TK-261</x:v>
      </x:c>
      <x:c r="R262" s="30" t="str"/>
      <x:c r="S262" s="30" t="str">
        <x:v>Model</x:v>
      </x:c>
      <x:c r="T262" s="30" t="str">
        <x:v>MOD-04</x:v>
      </x:c>
      <x:c r="U262" s="30" t="str">
        <x:v>مدل: مدل پیش‌بینی احتمال ریزش کلینیک‌ها و دندان‌پزشکان</x:v>
      </x:c>
      <x:c r="V262" s="30" t="str">
        <x:v>Pending dependency review</x:v>
      </x:c>
      <x:c r="W262" s="30" t="str">
        <x:v>نیازمند تکمیل و تأیید مالک</x:v>
      </x:c>
      <x:c r="X262" s="30" t="str">
        <x:v>نیازمند تکمیل و تأیید مالک</x:v>
      </x:c>
      <x:c r="Y262" s="30" t="str">
        <x:v>Data Scientist</x:v>
      </x:c>
      <x:c r="Z262" s="30" t="n">
        <x:v>15</x:v>
      </x:c>
      <x:c r="AA262" s="30" t="n">
        <x:v>261</x:v>
      </x:c>
      <x:c r="AB262" s="30" t="str">
        <x:v>خروجی «نمره احتمال ریزش (Churn Probability Score بین ۰ تا…» + ارزیابی سطح زیر منحنی مشخصه عملکرد گیرنده (ROC-A (TST-36)</x:v>
      </x:c>
      <x:c r="AC262" s="30" t="str">
        <x:v>نیازمند تکمیل و تأیید مالک</x:v>
      </x:c>
      <x:c r="AD262" s="30" t="str">
        <x:v>نیازمند تکمیل و تأیید مالک</x:v>
      </x:c>
      <x:c r="AE262" s="30" t="str">
        <x:v>خروجی «نمره احتمال ریزش (Churn Probability Score بین ۰ تا…» + ارزیابی سطح زیر منحنی مشخصه عملکرد گیرنده (ROC-A (TST-36)</x:v>
      </x:c>
      <x:c r="AF262" s="30" t="str"/>
      <x:c r="AG262" s="30" t="str"/>
      <x:c r="AH262" s="30" t="str"/>
    </x:row>
    <x:row r="263">
      <x:c r="A263" s="19" t="inlineStr">
        <x:is>
          <x:t xml:space="preserve">TK-262</x:t>
        </x:is>
      </x:c>
      <x:c r="B263" s="6" t="inlineStr">
        <x:is>
          <x:t xml:space="preserve">مدل: مدل امتیازدهی پیش‌بینانه سرنخ‌های ورودی B2B</x:t>
        </x:is>
      </x:c>
      <x:c r="C263" s="6" t="inlineStr">
        <x:is>
          <x:t xml:space="preserve">Build Model: Predictive B2B Lead Scoring Model</x:t>
        </x:is>
      </x:c>
      <x:c r="D263" s="6" t="inlineStr">
        <x:is>
          <x:t xml:space="preserve">Model</x:t>
        </x:is>
      </x:c>
      <x:c r="E263" s="6" t="inlineStr">
        <x:is>
          <x:t xml:space="preserve">MOD-05</x:t>
        </x:is>
      </x:c>
      <x:c r="F263" s="19" t="inlineStr">
        <x:is>
          <x:t xml:space="preserve">W6</x:t>
        </x:is>
      </x:c>
      <x:c r="G263" s="6" t="inlineStr">
        <x:is>
          <x:t xml:space="preserve">S3</x:t>
        </x:is>
      </x:c>
      <x:c r="H263" s="19" t="inlineStr">
        <x:is>
          <x:t xml:space="preserve">High</x:t>
        </x:is>
      </x:c>
      <x:c r="I263" s="6" t="inlineStr">
        <x:is>
          <x:t xml:space="preserve">Data Scientist</x:t>
        </x:is>
      </x:c>
      <x:c r="J263" s="19" t="n">
        <x:v>4</x:v>
      </x:c>
      <x:c r="K263" s="19" t="n">
        <x:v>5</x:v>
      </x:c>
      <x:c r="L263" s="18" t="n">
        <x:f>J263*2-K263</x:f>
        <x:v>3</x:v>
      </x:c>
      <x:c r="M263" s="6" t="inlineStr">
        <x:is>
          <x:t xml:space="preserve">TK-088, TK-092..176</x:t>
        </x:is>
      </x:c>
      <x:c r="N263" s="6" t="inlineStr">
        <x:is>
          <x:t xml:space="preserve">خروجی «امتیاز کیفی لید (Lead Score از ۱ تا ۱۰۰) و برچسب‌گ…» + ارزیابی معیار دقت و بازیابی Precision-Recall AUC (TST-36)</x:t>
        </x:is>
      </x:c>
      <x:c r="O263" s="19" t="inlineStr">
        <x:is>
          <x:t xml:space="preserve">Proposed</x:t>
        </x:is>
      </x:c>
      <x:c r="P263" s="6" t="inlineStr">
        <x:is>
          <x:t xml:space="preserve">کمبود نمونه‌های تبدیل قطعی در فازهای ابتدایی؛ اتکای بیش از ح</x:t>
        </x:is>
      </x:c>
      <x:c r="Q263" s="30" t="str">
        <x:v>TK-262</x:v>
      </x:c>
      <x:c r="R263" s="30" t="str"/>
      <x:c r="S263" s="30" t="str">
        <x:v>Model</x:v>
      </x:c>
      <x:c r="T263" s="30" t="str">
        <x:v>MOD-05</x:v>
      </x:c>
      <x:c r="U263" s="30" t="str">
        <x:v>مدل: مدل امتیازدهی پیش‌بینانه سرنخ‌های ورودی B2B</x:v>
      </x:c>
      <x:c r="V263" s="30" t="str">
        <x:v>Pending dependency review</x:v>
      </x:c>
      <x:c r="W263" s="30" t="str">
        <x:v>نیازمند تکمیل و تأیید مالک</x:v>
      </x:c>
      <x:c r="X263" s="30" t="str">
        <x:v>نیازمند تکمیل و تأیید مالک</x:v>
      </x:c>
      <x:c r="Y263" s="30" t="str">
        <x:v>Data Scientist</x:v>
      </x:c>
      <x:c r="Z263" s="30" t="n">
        <x:v>15</x:v>
      </x:c>
      <x:c r="AA263" s="30" t="n">
        <x:v>262</x:v>
      </x:c>
      <x:c r="AB263" s="30" t="str">
        <x:v>خروجی «امتیاز کیفی لید (Lead Score از ۱ تا ۱۰۰) و برچسب‌گ…» + ارزیابی معیار دقت و بازیابی Precision-Recall AUC (TST-36)</x:v>
      </x:c>
      <x:c r="AC263" s="30" t="str">
        <x:v>نیازمند تکمیل و تأیید مالک</x:v>
      </x:c>
      <x:c r="AD263" s="30" t="str">
        <x:v>نیازمند تکمیل و تأیید مالک</x:v>
      </x:c>
      <x:c r="AE263" s="30" t="str">
        <x:v>خروجی «امتیاز کیفی لید (Lead Score از ۱ تا ۱۰۰) و برچسب‌گ…» + ارزیابی معیار دقت و بازیابی Precision-Recall AUC (TST-36)</x:v>
      </x:c>
      <x:c r="AF263" s="30" t="str"/>
      <x:c r="AG263" s="30" t="str"/>
      <x:c r="AH263" s="30" t="str"/>
    </x:row>
    <x:row r="264">
      <x:c r="A264" s="17" t="inlineStr">
        <x:is>
          <x:t xml:space="preserve">TK-263</x:t>
        </x:is>
      </x:c>
      <x:c r="B264" s="4" t="inlineStr">
        <x:is>
          <x:t xml:space="preserve">مدل: مدل بهینه‌سازی و تخصیص پویای بودجه رسانه‌ای</x:t>
        </x:is>
      </x:c>
      <x:c r="C264" s="4" t="inlineStr">
        <x:is>
          <x:t xml:space="preserve">Build Model: Dynamic Media Budget Allocation &amp; Optimization</x:t>
        </x:is>
      </x:c>
      <x:c r="D264" s="4" t="inlineStr">
        <x:is>
          <x:t xml:space="preserve">Model</x:t>
        </x:is>
      </x:c>
      <x:c r="E264" s="4" t="inlineStr">
        <x:is>
          <x:t xml:space="preserve">MOD-06</x:t>
        </x:is>
      </x:c>
      <x:c r="F264" s="17" t="inlineStr">
        <x:is>
          <x:t xml:space="preserve">W6</x:t>
        </x:is>
      </x:c>
      <x:c r="G264" s="4" t="inlineStr">
        <x:is>
          <x:t xml:space="preserve">S3</x:t>
        </x:is>
      </x:c>
      <x:c r="H264" s="17" t="inlineStr">
        <x:is>
          <x:t xml:space="preserve">High</x:t>
        </x:is>
      </x:c>
      <x:c r="I264" s="4" t="inlineStr">
        <x:is>
          <x:t xml:space="preserve">Data Scientist</x:t>
        </x:is>
      </x:c>
      <x:c r="J264" s="17" t="n">
        <x:v>4</x:v>
      </x:c>
      <x:c r="K264" s="17" t="n">
        <x:v>5</x:v>
      </x:c>
      <x:c r="L264" s="18" t="n">
        <x:f>J264*2-K264</x:f>
        <x:v>3</x:v>
      </x:c>
      <x:c r="M264" s="4" t="inlineStr">
        <x:is>
          <x:t xml:space="preserve">TK-088, TK-092..176</x:t>
        </x:is>
      </x:c>
      <x:c r="N264" s="4" t="inlineStr">
        <x:is>
          <x:t xml:space="preserve">خروجی «جدول ریالی تخصیص بودجه هفتگی برای هر کانال به همرا…» + ارزیابی مقایسه درآمد سناریوی بهینه با تخصیص پیش‌ (TST-36)</x:t>
        </x:is>
      </x:c>
      <x:c r="O264" s="17" t="inlineStr">
        <x:is>
          <x:t xml:space="preserve">Proposed</x:t>
        </x:is>
      </x:c>
      <x:c r="P264" s="4" t="inlineStr">
        <x:is>
          <x:t xml:space="preserve">تغییرات پیش‌بینی‌نشده در ظرفیت جذب ترافیک پلتفرم‌ها (مانند ا</x:t>
        </x:is>
      </x:c>
      <x:c r="Q264" s="30" t="str">
        <x:v>TK-263</x:v>
      </x:c>
      <x:c r="R264" s="30" t="str"/>
      <x:c r="S264" s="30" t="str">
        <x:v>Model</x:v>
      </x:c>
      <x:c r="T264" s="30" t="str">
        <x:v>MOD-06</x:v>
      </x:c>
      <x:c r="U264" s="30" t="str">
        <x:v>مدل: مدل بهینه‌سازی و تخصیص پویای بودجه رسانه‌ای</x:v>
      </x:c>
      <x:c r="V264" s="30" t="str">
        <x:v>Pending dependency review</x:v>
      </x:c>
      <x:c r="W264" s="30" t="str">
        <x:v>نیازمند تکمیل و تأیید مالک</x:v>
      </x:c>
      <x:c r="X264" s="30" t="str">
        <x:v>نیازمند تکمیل و تأیید مالک</x:v>
      </x:c>
      <x:c r="Y264" s="30" t="str">
        <x:v>Data Scientist</x:v>
      </x:c>
      <x:c r="Z264" s="30" t="n">
        <x:v>15</x:v>
      </x:c>
      <x:c r="AA264" s="30" t="n">
        <x:v>263</x:v>
      </x:c>
      <x:c r="AB264" s="30" t="str">
        <x:v>خروجی «جدول ریالی تخصیص بودجه هفتگی برای هر کانال به همرا…» + ارزیابی مقایسه درآمد سناریوی بهینه با تخصیص پیش‌ (TST-36)</x:v>
      </x:c>
      <x:c r="AC264" s="30" t="str">
        <x:v>نیازمند تکمیل و تأیید مالک</x:v>
      </x:c>
      <x:c r="AD264" s="30" t="str">
        <x:v>نیازمند تکمیل و تأیید مالک</x:v>
      </x:c>
      <x:c r="AE264" s="30" t="str">
        <x:v>خروجی «جدول ریالی تخصیص بودجه هفتگی برای هر کانال به همرا…» + ارزیابی مقایسه درآمد سناریوی بهینه با تخصیص پیش‌ (TST-36)</x:v>
      </x:c>
      <x:c r="AF264" s="30" t="str"/>
      <x:c r="AG264" s="30" t="str"/>
      <x:c r="AH264" s="30" t="str"/>
    </x:row>
    <x:row r="265">
      <x:c r="A265" s="19" t="inlineStr">
        <x:is>
          <x:t xml:space="preserve">TK-264</x:t>
        </x:is>
      </x:c>
      <x:c r="B265" s="6" t="inlineStr">
        <x:is>
          <x:t xml:space="preserve">مدل: مدل سنجش لیفت افزایشی و آزمایش‌های جغرافیایی</x:t>
        </x:is>
      </x:c>
      <x:c r="C265" s="6" t="inlineStr">
        <x:is>
          <x:t xml:space="preserve">Build Model: Geo-Lift &amp; Matched-Market Incrementality Model</x:t>
        </x:is>
      </x:c>
      <x:c r="D265" s="6" t="inlineStr">
        <x:is>
          <x:t xml:space="preserve">Model</x:t>
        </x:is>
      </x:c>
      <x:c r="E265" s="6" t="inlineStr">
        <x:is>
          <x:t xml:space="preserve">MOD-07</x:t>
        </x:is>
      </x:c>
      <x:c r="F265" s="19" t="inlineStr">
        <x:is>
          <x:t xml:space="preserve">W6</x:t>
        </x:is>
      </x:c>
      <x:c r="G265" s="6" t="inlineStr">
        <x:is>
          <x:t xml:space="preserve">S3</x:t>
        </x:is>
      </x:c>
      <x:c r="H265" s="19" t="inlineStr">
        <x:is>
          <x:t xml:space="preserve">High</x:t>
        </x:is>
      </x:c>
      <x:c r="I265" s="6" t="inlineStr">
        <x:is>
          <x:t xml:space="preserve">Data Scientist</x:t>
        </x:is>
      </x:c>
      <x:c r="J265" s="19" t="n">
        <x:v>5</x:v>
      </x:c>
      <x:c r="K265" s="19" t="n">
        <x:v>5</x:v>
      </x:c>
      <x:c r="L265" s="18" t="n">
        <x:f>J265*2-K265</x:f>
        <x:v>5</x:v>
      </x:c>
      <x:c r="M265" s="6" t="inlineStr">
        <x:is>
          <x:t xml:space="preserve">TK-088, TK-092..176</x:t>
        </x:is>
      </x:c>
      <x:c r="N265" s="6" t="inlineStr">
        <x:is>
          <x:t xml:space="preserve">خروجی «درصد افزایش خالص واقعی درآمد ناشی از تبلیغات (Incr…» + ارزیابی فاصله اطمینان آماری ۹۵٪، رد فرض صفر با P (TST-36)</x:t>
        </x:is>
      </x:c>
      <x:c r="O265" s="19" t="inlineStr">
        <x:is>
          <x:t xml:space="preserve">Proposed</x:t>
        </x:is>
      </x:c>
      <x:c r="P265" s="6" t="inlineStr">
        <x:is>
          <x:t xml:space="preserve">نشت ترافیک و خرید میان استانی (پزشک در قم خرید می‌کند اما تح</x:t>
        </x:is>
      </x:c>
      <x:c r="Q265" s="30" t="str">
        <x:v>TK-264</x:v>
      </x:c>
      <x:c r="R265" s="30" t="str"/>
      <x:c r="S265" s="30" t="str">
        <x:v>Model</x:v>
      </x:c>
      <x:c r="T265" s="30" t="str">
        <x:v>MOD-07</x:v>
      </x:c>
      <x:c r="U265" s="30" t="str">
        <x:v>مدل: مدل سنجش لیفت افزایشی و آزمایش‌های جغرافیایی</x:v>
      </x:c>
      <x:c r="V265" s="30" t="str">
        <x:v>Pending dependency review</x:v>
      </x:c>
      <x:c r="W265" s="30" t="str">
        <x:v>نیازمند تکمیل و تأیید مالک</x:v>
      </x:c>
      <x:c r="X265" s="30" t="str">
        <x:v>نیازمند تکمیل و تأیید مالک</x:v>
      </x:c>
      <x:c r="Y265" s="30" t="str">
        <x:v>Data Scientist</x:v>
      </x:c>
      <x:c r="Z265" s="30" t="n">
        <x:v>15</x:v>
      </x:c>
      <x:c r="AA265" s="30" t="n">
        <x:v>264</x:v>
      </x:c>
      <x:c r="AB265" s="30" t="str">
        <x:v>خروجی «درصد افزایش خالص واقعی درآمد ناشی از تبلیغات (Incr…» + ارزیابی فاصله اطمینان آماری ۹۵٪، رد فرض صفر با P (TST-36)</x:v>
      </x:c>
      <x:c r="AC265" s="30" t="str">
        <x:v>نیازمند تکمیل و تأیید مالک</x:v>
      </x:c>
      <x:c r="AD265" s="30" t="str">
        <x:v>نیازمند تکمیل و تأیید مالک</x:v>
      </x:c>
      <x:c r="AE265" s="30" t="str">
        <x:v>خروجی «درصد افزایش خالص واقعی درآمد ناشی از تبلیغات (Incr…» + ارزیابی فاصله اطمینان آماری ۹۵٪، رد فرض صفر با P (TST-36)</x:v>
      </x:c>
      <x:c r="AF265" s="30" t="str"/>
      <x:c r="AG265" s="30" t="str"/>
      <x:c r="AH265" s="30" t="str"/>
    </x:row>
    <x:row r="266">
      <x:c r="A266" s="17" t="inlineStr">
        <x:is>
          <x:t xml:space="preserve">TK-265</x:t>
        </x:is>
      </x:c>
      <x:c r="B266" s="4" t="inlineStr">
        <x:is>
          <x:t xml:space="preserve">مدل: مدل بهترین اقدام بعدی مبتنی بر یادگیری تقویتی</x:t>
        </x:is>
      </x:c>
      <x:c r="C266" s="4" t="inlineStr">
        <x:is>
          <x:t xml:space="preserve">Build Model: NBA) Engine</x:t>
        </x:is>
      </x:c>
      <x:c r="D266" s="4" t="inlineStr">
        <x:is>
          <x:t xml:space="preserve">Model</x:t>
        </x:is>
      </x:c>
      <x:c r="E266" s="4" t="inlineStr">
        <x:is>
          <x:t xml:space="preserve">MOD-08</x:t>
        </x:is>
      </x:c>
      <x:c r="F266" s="17" t="inlineStr">
        <x:is>
          <x:t xml:space="preserve">W6</x:t>
        </x:is>
      </x:c>
      <x:c r="G266" s="4" t="inlineStr">
        <x:is>
          <x:t xml:space="preserve">S3</x:t>
        </x:is>
      </x:c>
      <x:c r="H266" s="17" t="inlineStr">
        <x:is>
          <x:t xml:space="preserve">Medium</x:t>
        </x:is>
      </x:c>
      <x:c r="I266" s="4" t="inlineStr">
        <x:is>
          <x:t xml:space="preserve">Data Scientist</x:t>
        </x:is>
      </x:c>
      <x:c r="J266" s="17" t="n">
        <x:v>3</x:v>
      </x:c>
      <x:c r="K266" s="17" t="n">
        <x:v>5</x:v>
      </x:c>
      <x:c r="L266" s="18" t="n">
        <x:f>J266*2-K266</x:f>
        <x:v>1</x:v>
      </x:c>
      <x:c r="M266" s="4" t="inlineStr">
        <x:is>
          <x:t xml:space="preserve">TK-088, TK-092..176</x:t>
        </x:is>
      </x:c>
      <x:c r="N266" s="4" t="inlineStr">
        <x:is>
          <x:t xml:space="preserve">خروجی «تعیین اقدام منتخب (Action Code)، کانال ارسال و بهت…» + ارزیابی نرخ پذیرش اقدام (Action Acceptance Rate) (TST-36)</x:t>
        </x:is>
      </x:c>
      <x:c r="O266" s="17" t="inlineStr">
        <x:is>
          <x:t xml:space="preserve">Proposed</x:t>
        </x:is>
      </x:c>
      <x:c r="P266" s="4" t="inlineStr">
        <x:is>
          <x:t xml:space="preserve">پدیده خستگی و ایجاد مزاحمت ارتباطی برای پزشکان؛ الزام به رعا</x:t>
        </x:is>
      </x:c>
      <x:c r="Q266" s="30" t="str">
        <x:v>TK-265</x:v>
      </x:c>
      <x:c r="R266" s="30" t="str"/>
      <x:c r="S266" s="30" t="str">
        <x:v>Model</x:v>
      </x:c>
      <x:c r="T266" s="30" t="str">
        <x:v>MOD-08</x:v>
      </x:c>
      <x:c r="U266" s="30" t="str">
        <x:v>مدل: مدل بهترین اقدام بعدی مبتنی بر یادگیری تقویتی</x:v>
      </x:c>
      <x:c r="V266" s="30" t="str">
        <x:v>Pending dependency review</x:v>
      </x:c>
      <x:c r="W266" s="30" t="str">
        <x:v>نیازمند تکمیل و تأیید مالک</x:v>
      </x:c>
      <x:c r="X266" s="30" t="str">
        <x:v>نیازمند تکمیل و تأیید مالک</x:v>
      </x:c>
      <x:c r="Y266" s="30" t="str">
        <x:v>Data Scientist</x:v>
      </x:c>
      <x:c r="Z266" s="30" t="n">
        <x:v>15</x:v>
      </x:c>
      <x:c r="AA266" s="30" t="n">
        <x:v>265</x:v>
      </x:c>
      <x:c r="AB266" s="30" t="str">
        <x:v>خروجی «تعیین اقدام منتخب (Action Code)، کانال ارسال و بهت…» + ارزیابی نرخ پذیرش اقدام (Action Acceptance Rate) (TST-36)</x:v>
      </x:c>
      <x:c r="AC266" s="30" t="str">
        <x:v>نیازمند تکمیل و تأیید مالک</x:v>
      </x:c>
      <x:c r="AD266" s="30" t="str">
        <x:v>نیازمند تکمیل و تأیید مالک</x:v>
      </x:c>
      <x:c r="AE266" s="30" t="str">
        <x:v>خروجی «تعیین اقدام منتخب (Action Code)، کانال ارسال و بهت…» + ارزیابی نرخ پذیرش اقدام (Action Acceptance Rate) (TST-36)</x:v>
      </x:c>
      <x:c r="AF266" s="30" t="str"/>
      <x:c r="AG266" s="30" t="str"/>
      <x:c r="AH266" s="30" t="str"/>
    </x:row>
    <x:row r="267">
      <x:c r="A267" s="19" t="inlineStr">
        <x:is>
          <x:t xml:space="preserve">TK-266</x:t>
        </x:is>
      </x:c>
      <x:c r="B267" s="6" t="inlineStr">
        <x:is>
          <x:t xml:space="preserve">مدل: موتور پیشنهاد هوشمند کالای بعدی</x:t>
        </x:is>
      </x:c>
      <x:c r="C267" s="6" t="inlineStr">
        <x:is>
          <x:t xml:space="preserve">Build Model: NBP) Recommender</x:t>
        </x:is>
      </x:c>
      <x:c r="D267" s="6" t="inlineStr">
        <x:is>
          <x:t xml:space="preserve">Model</x:t>
        </x:is>
      </x:c>
      <x:c r="E267" s="6" t="inlineStr">
        <x:is>
          <x:t xml:space="preserve">MOD-09</x:t>
        </x:is>
      </x:c>
      <x:c r="F267" s="19" t="inlineStr">
        <x:is>
          <x:t xml:space="preserve">W6</x:t>
        </x:is>
      </x:c>
      <x:c r="G267" s="6" t="inlineStr">
        <x:is>
          <x:t xml:space="preserve">S3</x:t>
        </x:is>
      </x:c>
      <x:c r="H267" s="19" t="inlineStr">
        <x:is>
          <x:t xml:space="preserve">Medium</x:t>
        </x:is>
      </x:c>
      <x:c r="I267" s="6" t="inlineStr">
        <x:is>
          <x:t xml:space="preserve">Data Scientist</x:t>
        </x:is>
      </x:c>
      <x:c r="J267" s="19" t="n">
        <x:v>3</x:v>
      </x:c>
      <x:c r="K267" s="19" t="n">
        <x:v>5</x:v>
      </x:c>
      <x:c r="L267" s="18" t="n">
        <x:f>J267*2-K267</x:f>
        <x:v>1</x:v>
      </x:c>
      <x:c r="M267" s="6" t="inlineStr">
        <x:is>
          <x:t xml:space="preserve">TK-088, TK-092..176</x:t>
        </x:is>
      </x:c>
      <x:c r="N267" s="6" t="inlineStr">
        <x:is>
          <x:t xml:space="preserve">خروجی «لیست رتبه‌بندی‌شده ۵ کالای پیشنهادی دارای بیشترین …» + ارزیابی میانگین رتبه متقابل (MRR)، دقت در K پیشن (TST-36)</x:t>
        </x:is>
      </x:c>
      <x:c r="O267" s="19" t="inlineStr">
        <x:is>
          <x:t xml:space="preserve">Proposed</x:t>
        </x:is>
      </x:c>
      <x:c r="P267" s="6" t="inlineStr">
        <x:is>
          <x:t xml:space="preserve">پیشنهاد ابزارهای نامرتبط با تخصص دندان‌پزشک (مانند پیشنهاد ب</x:t>
        </x:is>
      </x:c>
      <x:c r="Q267" s="30" t="str">
        <x:v>TK-266</x:v>
      </x:c>
      <x:c r="R267" s="30" t="str"/>
      <x:c r="S267" s="30" t="str">
        <x:v>Model</x:v>
      </x:c>
      <x:c r="T267" s="30" t="str">
        <x:v>MOD-09</x:v>
      </x:c>
      <x:c r="U267" s="30" t="str">
        <x:v>مدل: موتور پیشنهاد هوشمند کالای بعدی</x:v>
      </x:c>
      <x:c r="V267" s="30" t="str">
        <x:v>Pending dependency review</x:v>
      </x:c>
      <x:c r="W267" s="30" t="str">
        <x:v>نیازمند تکمیل و تأیید مالک</x:v>
      </x:c>
      <x:c r="X267" s="30" t="str">
        <x:v>نیازمند تکمیل و تأیید مالک</x:v>
      </x:c>
      <x:c r="Y267" s="30" t="str">
        <x:v>Data Scientist</x:v>
      </x:c>
      <x:c r="Z267" s="30" t="n">
        <x:v>15</x:v>
      </x:c>
      <x:c r="AA267" s="30" t="n">
        <x:v>266</x:v>
      </x:c>
      <x:c r="AB267" s="30" t="str">
        <x:v>خروجی «لیست رتبه‌بندی‌شده ۵ کالای پیشنهادی دارای بیشترین …» + ارزیابی میانگین رتبه متقابل (MRR)، دقت در K پیشن (TST-36)</x:v>
      </x:c>
      <x:c r="AC267" s="30" t="str">
        <x:v>نیازمند تکمیل و تأیید مالک</x:v>
      </x:c>
      <x:c r="AD267" s="30" t="str">
        <x:v>نیازمند تکمیل و تأیید مالک</x:v>
      </x:c>
      <x:c r="AE267" s="30" t="str">
        <x:v>خروجی «لیست رتبه‌بندی‌شده ۵ کالای پیشنهادی دارای بیشترین …» + ارزیابی میانگین رتبه متقابل (MRR)، دقت در K پیشن (TST-36)</x:v>
      </x:c>
      <x:c r="AF267" s="30" t="str"/>
      <x:c r="AG267" s="30" t="str"/>
      <x:c r="AH267" s="30" t="str"/>
    </x:row>
    <x:row r="268">
      <x:c r="A268" s="17" t="inlineStr">
        <x:is>
          <x:t xml:space="preserve">TK-267</x:t>
        </x:is>
      </x:c>
      <x:c r="B268" s="4" t="inlineStr">
        <x:is>
          <x:t xml:space="preserve">مدل: مدل تحلیل تمایل به خرید مجدد مواد مصرفی</x:t>
        </x:is>
      </x:c>
      <x:c r="C268" s="4" t="inlineStr">
        <x:is>
          <x:t xml:space="preserve">Build Model: Consumables Replenishment Propensity Model</x:t>
        </x:is>
      </x:c>
      <x:c r="D268" s="4" t="inlineStr">
        <x:is>
          <x:t xml:space="preserve">Model</x:t>
        </x:is>
      </x:c>
      <x:c r="E268" s="4" t="inlineStr">
        <x:is>
          <x:t xml:space="preserve">MOD-10</x:t>
        </x:is>
      </x:c>
      <x:c r="F268" s="17" t="inlineStr">
        <x:is>
          <x:t xml:space="preserve">W6</x:t>
        </x:is>
      </x:c>
      <x:c r="G268" s="4" t="inlineStr">
        <x:is>
          <x:t xml:space="preserve">S3</x:t>
        </x:is>
      </x:c>
      <x:c r="H268" s="17" t="inlineStr">
        <x:is>
          <x:t xml:space="preserve">Medium</x:t>
        </x:is>
      </x:c>
      <x:c r="I268" s="4" t="inlineStr">
        <x:is>
          <x:t xml:space="preserve">Data Scientist</x:t>
        </x:is>
      </x:c>
      <x:c r="J268" s="17" t="n">
        <x:v>3</x:v>
      </x:c>
      <x:c r="K268" s="17" t="n">
        <x:v>5</x:v>
      </x:c>
      <x:c r="L268" s="18" t="n">
        <x:f>J268*2-K268</x:f>
        <x:v>1</x:v>
      </x:c>
      <x:c r="M268" s="4" t="inlineStr">
        <x:is>
          <x:t xml:space="preserve">TK-088, TK-092..176</x:t>
        </x:is>
      </x:c>
      <x:c r="N268" s="4" t="inlineStr">
        <x:is>
          <x:t xml:space="preserve">خروجی «تاریخ پیش‌بینی‌شده اتمام موجودی مطب، فعال‌سازی تری…» + ارزیابی میانگین قدر مطلق خطای روزانه اتمام (MAE  (TST-36)</x:t>
        </x:is>
      </x:c>
      <x:c r="O268" s="17" t="inlineStr">
        <x:is>
          <x:t xml:space="preserve">Proposed</x:t>
        </x:is>
      </x:c>
      <x:c r="P268" s="4" t="inlineStr">
        <x:is>
          <x:t xml:space="preserve">تغییر ناگهانی ظرفیت پذیرش بیمار در مطب (تعطیلات، بازسازی یا </x:t>
        </x:is>
      </x:c>
      <x:c r="Q268" s="30" t="str">
        <x:v>TK-267</x:v>
      </x:c>
      <x:c r="R268" s="30" t="str"/>
      <x:c r="S268" s="30" t="str">
        <x:v>Model</x:v>
      </x:c>
      <x:c r="T268" s="30" t="str">
        <x:v>MOD-10</x:v>
      </x:c>
      <x:c r="U268" s="30" t="str">
        <x:v>مدل: مدل تحلیل تمایل به خرید مجدد مواد مصرفی</x:v>
      </x:c>
      <x:c r="V268" s="30" t="str">
        <x:v>Pending dependency review</x:v>
      </x:c>
      <x:c r="W268" s="30" t="str">
        <x:v>نیازمند تکمیل و تأیید مالک</x:v>
      </x:c>
      <x:c r="X268" s="30" t="str">
        <x:v>نیازمند تکمیل و تأیید مالک</x:v>
      </x:c>
      <x:c r="Y268" s="30" t="str">
        <x:v>Data Scientist</x:v>
      </x:c>
      <x:c r="Z268" s="30" t="n">
        <x:v>15</x:v>
      </x:c>
      <x:c r="AA268" s="30" t="n">
        <x:v>267</x:v>
      </x:c>
      <x:c r="AB268" s="30" t="str">
        <x:v>خروجی «تاریخ پیش‌بینی‌شده اتمام موجودی مطب، فعال‌سازی تری…» + ارزیابی میانگین قدر مطلق خطای روزانه اتمام (MAE  (TST-36)</x:v>
      </x:c>
      <x:c r="AC268" s="30" t="str">
        <x:v>نیازمند تکمیل و تأیید مالک</x:v>
      </x:c>
      <x:c r="AD268" s="30" t="str">
        <x:v>نیازمند تکمیل و تأیید مالک</x:v>
      </x:c>
      <x:c r="AE268" s="30" t="str">
        <x:v>خروجی «تاریخ پیش‌بینی‌شده اتمام موجودی مطب، فعال‌سازی تری…» + ارزیابی میانگین قدر مطلق خطای روزانه اتمام (MAE  (TST-36)</x:v>
      </x:c>
      <x:c r="AF268" s="30" t="str"/>
      <x:c r="AG268" s="30" t="str"/>
      <x:c r="AH268" s="30" t="str"/>
    </x:row>
    <x:row r="269">
      <x:c r="A269" s="19" t="inlineStr">
        <x:is>
          <x:t xml:space="preserve">TK-268</x:t>
        </x:is>
      </x:c>
      <x:c r="B269" s="6" t="inlineStr">
        <x:is>
          <x:t xml:space="preserve">مدل: مدل پیش‌بینی تقاضای فصلی تجهیزات و مواد</x:t>
        </x:is>
      </x:c>
      <x:c r="C269" s="6" t="inlineStr">
        <x:is>
          <x:t xml:space="preserve">Build Model: Demand &amp; Inventory Forecasting Model</x:t>
        </x:is>
      </x:c>
      <x:c r="D269" s="6" t="inlineStr">
        <x:is>
          <x:t xml:space="preserve">Model</x:t>
        </x:is>
      </x:c>
      <x:c r="E269" s="6" t="inlineStr">
        <x:is>
          <x:t xml:space="preserve">MOD-11</x:t>
        </x:is>
      </x:c>
      <x:c r="F269" s="19" t="inlineStr">
        <x:is>
          <x:t xml:space="preserve">W6</x:t>
        </x:is>
      </x:c>
      <x:c r="G269" s="6" t="inlineStr">
        <x:is>
          <x:t xml:space="preserve">S3</x:t>
        </x:is>
      </x:c>
      <x:c r="H269" s="19" t="inlineStr">
        <x:is>
          <x:t xml:space="preserve">Medium</x:t>
        </x:is>
      </x:c>
      <x:c r="I269" s="6" t="inlineStr">
        <x:is>
          <x:t xml:space="preserve">Data Scientist</x:t>
        </x:is>
      </x:c>
      <x:c r="J269" s="19" t="n">
        <x:v>3</x:v>
      </x:c>
      <x:c r="K269" s="19" t="n">
        <x:v>5</x:v>
      </x:c>
      <x:c r="L269" s="18" t="n">
        <x:f>J269*2-K269</x:f>
        <x:v>1</x:v>
      </x:c>
      <x:c r="M269" s="6" t="inlineStr">
        <x:is>
          <x:t xml:space="preserve">TK-088, TK-092..176</x:t>
        </x:is>
      </x:c>
      <x:c r="N269" s="6" t="inlineStr">
        <x:is>
          <x:t xml:space="preserve">خروجی «پیش‌بینی فروش ۳۰ و ۹۰ روز آینده هر SKU با بازه‌های…» + ارزیابی معیار وزنی خطای قدرمطلق درصد (WMAPE &lt; 12 (TST-36)</x:t>
        </x:is>
      </x:c>
      <x:c r="O269" s="19" t="inlineStr">
        <x:is>
          <x:t xml:space="preserve">Proposed</x:t>
        </x:is>
      </x:c>
      <x:c r="P269" s="6" t="inlineStr">
        <x:is>
          <x:t xml:space="preserve">تاخیرهای غیرمترقبه در ترخیص گمرکی تجهیزات وارداتی؛ عدم قطعیت</x:t>
        </x:is>
      </x:c>
      <x:c r="Q269" s="30" t="str">
        <x:v>TK-268</x:v>
      </x:c>
      <x:c r="R269" s="30" t="str"/>
      <x:c r="S269" s="30" t="str">
        <x:v>Model</x:v>
      </x:c>
      <x:c r="T269" s="30" t="str">
        <x:v>MOD-11</x:v>
      </x:c>
      <x:c r="U269" s="30" t="str">
        <x:v>مدل: مدل پیش‌بینی تقاضای فصلی تجهیزات و مواد</x:v>
      </x:c>
      <x:c r="V269" s="30" t="str">
        <x:v>Pending dependency review</x:v>
      </x:c>
      <x:c r="W269" s="30" t="str">
        <x:v>نیازمند تکمیل و تأیید مالک</x:v>
      </x:c>
      <x:c r="X269" s="30" t="str">
        <x:v>نیازمند تکمیل و تأیید مالک</x:v>
      </x:c>
      <x:c r="Y269" s="30" t="str">
        <x:v>Data Scientist</x:v>
      </x:c>
      <x:c r="Z269" s="30" t="n">
        <x:v>15</x:v>
      </x:c>
      <x:c r="AA269" s="30" t="n">
        <x:v>268</x:v>
      </x:c>
      <x:c r="AB269" s="30" t="str">
        <x:v>خروجی «پیش‌بینی فروش ۳۰ و ۹۰ روز آینده هر SKU با بازه‌های…» + ارزیابی معیار وزنی خطای قدرمطلق درصد (WMAPE &lt; 12 (TST-36)</x:v>
      </x:c>
      <x:c r="AC269" s="30" t="str">
        <x:v>نیازمند تکمیل و تأیید مالک</x:v>
      </x:c>
      <x:c r="AD269" s="30" t="str">
        <x:v>نیازمند تکمیل و تأیید مالک</x:v>
      </x:c>
      <x:c r="AE269" s="30" t="str">
        <x:v>خروجی «پیش‌بینی فروش ۳۰ و ۹۰ روز آینده هر SKU با بازه‌های…» + ارزیابی معیار وزنی خطای قدرمطلق درصد (WMAPE &lt; 12 (TST-36)</x:v>
      </x:c>
      <x:c r="AF269" s="30" t="str"/>
      <x:c r="AG269" s="30" t="str"/>
      <x:c r="AH269" s="30" t="str"/>
    </x:row>
    <x:row r="270">
      <x:c r="A270" s="17" t="inlineStr">
        <x:is>
          <x:t xml:space="preserve">TK-269</x:t>
        </x:is>
      </x:c>
      <x:c r="B270" s="4" t="inlineStr">
        <x:is>
          <x:t xml:space="preserve">مدل: مدل تحلیل همبستگی اقلام و قواعد وابستگی سبد خرید</x:t>
        </x:is>
      </x:c>
      <x:c r="C270" s="4" t="inlineStr">
        <x:is>
          <x:t xml:space="preserve">Build Model: Market Basket Affinity &amp; Association Rules</x:t>
        </x:is>
      </x:c>
      <x:c r="D270" s="4" t="inlineStr">
        <x:is>
          <x:t xml:space="preserve">Model</x:t>
        </x:is>
      </x:c>
      <x:c r="E270" s="4" t="inlineStr">
        <x:is>
          <x:t xml:space="preserve">MOD-12</x:t>
        </x:is>
      </x:c>
      <x:c r="F270" s="17" t="inlineStr">
        <x:is>
          <x:t xml:space="preserve">W6</x:t>
        </x:is>
      </x:c>
      <x:c r="G270" s="4" t="inlineStr">
        <x:is>
          <x:t xml:space="preserve">S3</x:t>
        </x:is>
      </x:c>
      <x:c r="H270" s="17" t="inlineStr">
        <x:is>
          <x:t xml:space="preserve">Medium</x:t>
        </x:is>
      </x:c>
      <x:c r="I270" s="4" t="inlineStr">
        <x:is>
          <x:t xml:space="preserve">Data Scientist</x:t>
        </x:is>
      </x:c>
      <x:c r="J270" s="17" t="n">
        <x:v>3</x:v>
      </x:c>
      <x:c r="K270" s="17" t="n">
        <x:v>5</x:v>
      </x:c>
      <x:c r="L270" s="18" t="n">
        <x:f>J270*2-K270</x:f>
        <x:v>1</x:v>
      </x:c>
      <x:c r="M270" s="4" t="inlineStr">
        <x:is>
          <x:t xml:space="preserve">TK-088, TK-092..176</x:t>
        </x:is>
      </x:c>
      <x:c r="N270" s="4" t="inlineStr">
        <x:is>
          <x:t xml:space="preserve">خروجی «ماتریس قواعد همنشینی کالاها با Lift &gt; 1.5، پیشنهاد…» + ارزیابی ارزش شاخص Lift قواعد منتخب، افزایش میانگ (TST-36)</x:t>
        </x:is>
      </x:c>
      <x:c r="O270" s="17" t="inlineStr">
        <x:is>
          <x:t xml:space="preserve">Proposed</x:t>
        </x:is>
      </x:c>
      <x:c r="P270" s="4" t="inlineStr">
        <x:is>
          <x:t xml:space="preserve">ایجاد قواعد بدیهی و بی‌ارزش تجاری؛ نیاز به نظارت مهندس تجهیز</x:t>
        </x:is>
      </x:c>
      <x:c r="Q270" s="30" t="str">
        <x:v>TK-269</x:v>
      </x:c>
      <x:c r="R270" s="30" t="str"/>
      <x:c r="S270" s="30" t="str">
        <x:v>Model</x:v>
      </x:c>
      <x:c r="T270" s="30" t="str">
        <x:v>MOD-12</x:v>
      </x:c>
      <x:c r="U270" s="30" t="str">
        <x:v>مدل: مدل تحلیل همبستگی اقلام و قواعد وابستگی سبد خرید</x:v>
      </x:c>
      <x:c r="V270" s="30" t="str">
        <x:v>Pending dependency review</x:v>
      </x:c>
      <x:c r="W270" s="30" t="str">
        <x:v>نیازمند تکمیل و تأیید مالک</x:v>
      </x:c>
      <x:c r="X270" s="30" t="str">
        <x:v>نیازمند تکمیل و تأیید مالک</x:v>
      </x:c>
      <x:c r="Y270" s="30" t="str">
        <x:v>Data Scientist</x:v>
      </x:c>
      <x:c r="Z270" s="30" t="n">
        <x:v>15</x:v>
      </x:c>
      <x:c r="AA270" s="30" t="n">
        <x:v>269</x:v>
      </x:c>
      <x:c r="AB270" s="30" t="str">
        <x:v>خروجی «ماتریس قواعد همنشینی کالاها با Lift &gt; 1.5، پیشنهاد…» + ارزیابی ارزش شاخص Lift قواعد منتخب، افزایش میانگ (TST-36)</x:v>
      </x:c>
      <x:c r="AC270" s="30" t="str">
        <x:v>نیازمند تکمیل و تأیید مالک</x:v>
      </x:c>
      <x:c r="AD270" s="30" t="str">
        <x:v>نیازمند تکمیل و تأیید مالک</x:v>
      </x:c>
      <x:c r="AE270" s="30" t="str">
        <x:v>خروجی «ماتریس قواعد همنشینی کالاها با Lift &gt; 1.5، پیشنهاد…» + ارزیابی ارزش شاخص Lift قواعد منتخب، افزایش میانگ (TST-36)</x:v>
      </x:c>
      <x:c r="AF270" s="30" t="str"/>
      <x:c r="AG270" s="30" t="str"/>
      <x:c r="AH270" s="30" t="str"/>
    </x:row>
    <x:row r="271">
      <x:c r="A271" s="19" t="inlineStr">
        <x:is>
          <x:t xml:space="preserve">TK-270</x:t>
        </x:is>
      </x:c>
      <x:c r="B271" s="6" t="inlineStr">
        <x:is>
          <x:t xml:space="preserve">مدل: مدل تحلیل کشش قیمتی تقاضا و بهینه‌سازی تخفیف</x:t>
        </x:is>
      </x:c>
      <x:c r="C271" s="6" t="inlineStr">
        <x:is>
          <x:t xml:space="preserve">Build Model: Price Elasticity &amp; Dynamic Discounting</x:t>
        </x:is>
      </x:c>
      <x:c r="D271" s="6" t="inlineStr">
        <x:is>
          <x:t xml:space="preserve">Model</x:t>
        </x:is>
      </x:c>
      <x:c r="E271" s="6" t="inlineStr">
        <x:is>
          <x:t xml:space="preserve">MOD-13</x:t>
        </x:is>
      </x:c>
      <x:c r="F271" s="19" t="inlineStr">
        <x:is>
          <x:t xml:space="preserve">W6</x:t>
        </x:is>
      </x:c>
      <x:c r="G271" s="6" t="inlineStr">
        <x:is>
          <x:t xml:space="preserve">S3</x:t>
        </x:is>
      </x:c>
      <x:c r="H271" s="19" t="inlineStr">
        <x:is>
          <x:t xml:space="preserve">Medium</x:t>
        </x:is>
      </x:c>
      <x:c r="I271" s="6" t="inlineStr">
        <x:is>
          <x:t xml:space="preserve">Data Scientist</x:t>
        </x:is>
      </x:c>
      <x:c r="J271" s="19" t="n">
        <x:v>3</x:v>
      </x:c>
      <x:c r="K271" s="19" t="n">
        <x:v>5</x:v>
      </x:c>
      <x:c r="L271" s="18" t="n">
        <x:f>J271*2-K271</x:f>
        <x:v>1</x:v>
      </x:c>
      <x:c r="M271" s="6" t="inlineStr">
        <x:is>
          <x:t xml:space="preserve">TK-088, TK-092..176</x:t>
        </x:is>
      </x:c>
      <x:c r="N271" s="6" t="inlineStr">
        <x:is>
          <x:t xml:space="preserve">خروجی «ضریب کشش قیمتی برای هر دسته کالایی (الاستیک، خنثی …» + ارزیابی ضریب تعیین R2 رگرسیون کشش، پایش تحقق Con (TST-36)</x:t>
        </x:is>
      </x:c>
      <x:c r="O271" s="19" t="inlineStr">
        <x:is>
          <x:t xml:space="preserve">Proposed</x:t>
        </x:is>
      </x:c>
      <x:c r="P271" s="6" t="inlineStr">
        <x:is>
          <x:t xml:space="preserve">آسیب به جایگاه لوکس و برندینگ برخی تجهیزات خارجی در صورت اعم</x:t>
        </x:is>
      </x:c>
      <x:c r="Q271" s="30" t="str">
        <x:v>TK-270</x:v>
      </x:c>
      <x:c r="R271" s="30" t="str"/>
      <x:c r="S271" s="30" t="str">
        <x:v>Model</x:v>
      </x:c>
      <x:c r="T271" s="30" t="str">
        <x:v>MOD-13</x:v>
      </x:c>
      <x:c r="U271" s="30" t="str">
        <x:v>مدل: مدل تحلیل کشش قیمتی تقاضا و بهینه‌سازی تخفیف</x:v>
      </x:c>
      <x:c r="V271" s="30" t="str">
        <x:v>Pending dependency review</x:v>
      </x:c>
      <x:c r="W271" s="30" t="str">
        <x:v>نیازمند تکمیل و تأیید مالک</x:v>
      </x:c>
      <x:c r="X271" s="30" t="str">
        <x:v>نیازمند تکمیل و تأیید مالک</x:v>
      </x:c>
      <x:c r="Y271" s="30" t="str">
        <x:v>Data Scientist</x:v>
      </x:c>
      <x:c r="Z271" s="30" t="n">
        <x:v>15</x:v>
      </x:c>
      <x:c r="AA271" s="30" t="n">
        <x:v>270</x:v>
      </x:c>
      <x:c r="AB271" s="30" t="str">
        <x:v>خروجی «ضریب کشش قیمتی برای هر دسته کالایی (الاستیک، خنثی …» + ارزیابی ضریب تعیین R2 رگرسیون کشش، پایش تحقق Con (TST-36)</x:v>
      </x:c>
      <x:c r="AC271" s="30" t="str">
        <x:v>نیازمند تکمیل و تأیید مالک</x:v>
      </x:c>
      <x:c r="AD271" s="30" t="str">
        <x:v>نیازمند تکمیل و تأیید مالک</x:v>
      </x:c>
      <x:c r="AE271" s="30" t="str">
        <x:v>خروجی «ضریب کشش قیمتی برای هر دسته کالایی (الاستیک، خنثی …» + ارزیابی ضریب تعیین R2 رگرسیون کشش، پایش تحقق Con (TST-36)</x:v>
      </x:c>
      <x:c r="AF271" s="30" t="str"/>
      <x:c r="AG271" s="30" t="str"/>
      <x:c r="AH271" s="30" t="str"/>
    </x:row>
    <x:row r="272">
      <x:c r="A272" s="17" t="inlineStr">
        <x:is>
          <x:t xml:space="preserve">TK-271</x:t>
        </x:is>
      </x:c>
      <x:c r="B272" s="4" t="inlineStr">
        <x:is>
          <x:t xml:space="preserve">مدل: مدل تحلیل خستگی و فرسایش کریتیوها</x:t>
        </x:is>
      </x:c>
      <x:c r="C272" s="4" t="inlineStr">
        <x:is>
          <x:t xml:space="preserve">Build Model: Ad Creative Decay &amp; Fatigue Forecasting</x:t>
        </x:is>
      </x:c>
      <x:c r="D272" s="4" t="inlineStr">
        <x:is>
          <x:t xml:space="preserve">Model</x:t>
        </x:is>
      </x:c>
      <x:c r="E272" s="4" t="inlineStr">
        <x:is>
          <x:t xml:space="preserve">MOD-14</x:t>
        </x:is>
      </x:c>
      <x:c r="F272" s="17" t="inlineStr">
        <x:is>
          <x:t xml:space="preserve">W6</x:t>
        </x:is>
      </x:c>
      <x:c r="G272" s="4" t="inlineStr">
        <x:is>
          <x:t xml:space="preserve">S3</x:t>
        </x:is>
      </x:c>
      <x:c r="H272" s="17" t="inlineStr">
        <x:is>
          <x:t xml:space="preserve">Medium</x:t>
        </x:is>
      </x:c>
      <x:c r="I272" s="4" t="inlineStr">
        <x:is>
          <x:t xml:space="preserve">Data Scientist</x:t>
        </x:is>
      </x:c>
      <x:c r="J272" s="17" t="n">
        <x:v>3</x:v>
      </x:c>
      <x:c r="K272" s="17" t="n">
        <x:v>5</x:v>
      </x:c>
      <x:c r="L272" s="18" t="n">
        <x:f>J272*2-K272</x:f>
        <x:v>1</x:v>
      </x:c>
      <x:c r="M272" s="4" t="inlineStr">
        <x:is>
          <x:t xml:space="preserve">TK-088, TK-092..176</x:t>
        </x:is>
      </x:c>
      <x:c r="N272" s="4" t="inlineStr">
        <x:is>
          <x:t xml:space="preserve">خروجی «شاخص طول عمر باقیمانده کریتیو (Creative Half-Life …» + ارزیابی دقت پیش‌بینی روز رسیدن به آستانه بحرانی  (TST-36)</x:t>
        </x:is>
      </x:c>
      <x:c r="O272" s="17" t="inlineStr">
        <x:is>
          <x:t xml:space="preserve">Proposed</x:t>
        </x:is>
      </x:c>
      <x:c r="P272" s="4" t="inlineStr">
        <x:is>
          <x:t xml:space="preserve">تاثیر عوامل بیرونی (مثل تغییر الگوریتم متا ادز) بر نوسان CTR</x:t>
        </x:is>
      </x:c>
      <x:c r="Q272" s="30" t="str">
        <x:v>TK-271</x:v>
      </x:c>
      <x:c r="R272" s="30" t="str"/>
      <x:c r="S272" s="30" t="str">
        <x:v>Model</x:v>
      </x:c>
      <x:c r="T272" s="30" t="str">
        <x:v>MOD-14</x:v>
      </x:c>
      <x:c r="U272" s="30" t="str">
        <x:v>مدل: مدل تحلیل خستگی و فرسایش کریتیوها</x:v>
      </x:c>
      <x:c r="V272" s="30" t="str">
        <x:v>Pending dependency review</x:v>
      </x:c>
      <x:c r="W272" s="30" t="str">
        <x:v>نیازمند تکمیل و تأیید مالک</x:v>
      </x:c>
      <x:c r="X272" s="30" t="str">
        <x:v>نیازمند تکمیل و تأیید مالک</x:v>
      </x:c>
      <x:c r="Y272" s="30" t="str">
        <x:v>Data Scientist</x:v>
      </x:c>
      <x:c r="Z272" s="30" t="n">
        <x:v>15</x:v>
      </x:c>
      <x:c r="AA272" s="30" t="n">
        <x:v>271</x:v>
      </x:c>
      <x:c r="AB272" s="30" t="str">
        <x:v>خروجی «شاخص طول عمر باقیمانده کریتیو (Creative Half-Life …» + ارزیابی دقت پیش‌بینی روز رسیدن به آستانه بحرانی  (TST-36)</x:v>
      </x:c>
      <x:c r="AC272" s="30" t="str">
        <x:v>نیازمند تکمیل و تأیید مالک</x:v>
      </x:c>
      <x:c r="AD272" s="30" t="str">
        <x:v>نیازمند تکمیل و تأیید مالک</x:v>
      </x:c>
      <x:c r="AE272" s="30" t="str">
        <x:v>خروجی «شاخص طول عمر باقیمانده کریتیو (Creative Half-Life …» + ارزیابی دقت پیش‌بینی روز رسیدن به آستانه بحرانی  (TST-36)</x:v>
      </x:c>
      <x:c r="AF272" s="30" t="str"/>
      <x:c r="AG272" s="30" t="str"/>
      <x:c r="AH272" s="30" t="str"/>
    </x:row>
    <x:row r="273">
      <x:c r="A273" s="19" t="inlineStr">
        <x:is>
          <x:t xml:space="preserve">TK-272</x:t>
        </x:is>
      </x:c>
      <x:c r="B273" s="6" t="inlineStr">
        <x:is>
          <x:t xml:space="preserve">مدل: مدل تشخیص و فیلترینگ کلاهبرداری کلیکی و ترافیک نامعتبر</x:t>
        </x:is>
      </x:c>
      <x:c r="C273" s="6" t="inlineStr">
        <x:is>
          <x:t xml:space="preserve">Build Model: Click Fraud &amp; Invalid Traffic Detection Model</x:t>
        </x:is>
      </x:c>
      <x:c r="D273" s="6" t="inlineStr">
        <x:is>
          <x:t xml:space="preserve">Model</x:t>
        </x:is>
      </x:c>
      <x:c r="E273" s="6" t="inlineStr">
        <x:is>
          <x:t xml:space="preserve">MOD-15</x:t>
        </x:is>
      </x:c>
      <x:c r="F273" s="19" t="inlineStr">
        <x:is>
          <x:t xml:space="preserve">W6</x:t>
        </x:is>
      </x:c>
      <x:c r="G273" s="6" t="inlineStr">
        <x:is>
          <x:t xml:space="preserve">S3</x:t>
        </x:is>
      </x:c>
      <x:c r="H273" s="19" t="inlineStr">
        <x:is>
          <x:t xml:space="preserve">High</x:t>
        </x:is>
      </x:c>
      <x:c r="I273" s="6" t="inlineStr">
        <x:is>
          <x:t xml:space="preserve">Data Scientist</x:t>
        </x:is>
      </x:c>
      <x:c r="J273" s="19" t="n">
        <x:v>4</x:v>
      </x:c>
      <x:c r="K273" s="19" t="n">
        <x:v>5</x:v>
      </x:c>
      <x:c r="L273" s="18" t="n">
        <x:f>J273*2-K273</x:f>
        <x:v>3</x:v>
      </x:c>
      <x:c r="M273" s="6" t="inlineStr">
        <x:is>
          <x:t xml:space="preserve">TK-088, TK-092..176</x:t>
        </x:is>
      </x:c>
      <x:c r="N273" s="6" t="inlineStr">
        <x:is>
          <x:t xml:space="preserve">خروجی «نمره احتمال ربات بودن سشن (Bot Score از ۰ تا ۱)، م…» + ارزیابی نرخ تشخیص مثبت کاذب (False Positive Rate (TST-36)</x:t>
        </x:is>
      </x:c>
      <x:c r="O273" s="19" t="inlineStr">
        <x:is>
          <x:t xml:space="preserve">Proposed</x:t>
        </x:is>
      </x:c>
      <x:c r="P273" s="6" t="inlineStr">
        <x:is>
          <x:t xml:space="preserve">مسدود شدن کاربران اینترنت اشتراکی بیمارستان‌ها یا مراکز درما</x:t>
        </x:is>
      </x:c>
      <x:c r="Q273" s="30" t="str">
        <x:v>TK-272</x:v>
      </x:c>
      <x:c r="R273" s="30" t="str"/>
      <x:c r="S273" s="30" t="str">
        <x:v>Model</x:v>
      </x:c>
      <x:c r="T273" s="30" t="str">
        <x:v>MOD-15</x:v>
      </x:c>
      <x:c r="U273" s="30" t="str">
        <x:v>مدل: مدل تشخیص و فیلترینگ کلاهبرداری کلیکی و ترافیک نامعتبر</x:v>
      </x:c>
      <x:c r="V273" s="30" t="str">
        <x:v>Pending dependency review</x:v>
      </x:c>
      <x:c r="W273" s="30" t="str">
        <x:v>نیازمند تکمیل و تأیید مالک</x:v>
      </x:c>
      <x:c r="X273" s="30" t="str">
        <x:v>نیازمند تکمیل و تأیید مالک</x:v>
      </x:c>
      <x:c r="Y273" s="30" t="str">
        <x:v>Data Scientist</x:v>
      </x:c>
      <x:c r="Z273" s="30" t="n">
        <x:v>15</x:v>
      </x:c>
      <x:c r="AA273" s="30" t="n">
        <x:v>272</x:v>
      </x:c>
      <x:c r="AB273" s="30" t="str">
        <x:v>خروجی «نمره احتمال ربات بودن سشن (Bot Score از ۰ تا ۱)، م…» + ارزیابی نرخ تشخیص مثبت کاذب (False Positive Rate (TST-36)</x:v>
      </x:c>
      <x:c r="AC273" s="30" t="str">
        <x:v>نیازمند تکمیل و تأیید مالک</x:v>
      </x:c>
      <x:c r="AD273" s="30" t="str">
        <x:v>نیازمند تکمیل و تأیید مالک</x:v>
      </x:c>
      <x:c r="AE273" s="30" t="str">
        <x:v>خروجی «نمره احتمال ربات بودن سشن (Bot Score از ۰ تا ۱)، م…» + ارزیابی نرخ تشخیص مثبت کاذب (False Positive Rate (TST-36)</x:v>
      </x:c>
      <x:c r="AF273" s="30" t="str"/>
      <x:c r="AG273" s="30" t="str"/>
      <x:c r="AH273" s="30" t="str"/>
    </x:row>
    <x:row r="274">
      <x:c r="A274" s="17" t="inlineStr">
        <x:is>
          <x:t xml:space="preserve">TK-273</x:t>
        </x:is>
      </x:c>
      <x:c r="B274" s="4" t="inlineStr">
        <x:is>
          <x:t xml:space="preserve">مدل: مدل بخش‌بندی رفتاری پیشرفته دندان‌پزشکان</x:t>
        </x:is>
      </x:c>
      <x:c r="C274" s="4" t="inlineStr">
        <x:is>
          <x:t xml:space="preserve">Build Model: Advanced Behavioral RFM &amp; Latent Class Clustering</x:t>
        </x:is>
      </x:c>
      <x:c r="D274" s="4" t="inlineStr">
        <x:is>
          <x:t xml:space="preserve">Model</x:t>
        </x:is>
      </x:c>
      <x:c r="E274" s="4" t="inlineStr">
        <x:is>
          <x:t xml:space="preserve">MOD-16</x:t>
        </x:is>
      </x:c>
      <x:c r="F274" s="17" t="inlineStr">
        <x:is>
          <x:t xml:space="preserve">W6</x:t>
        </x:is>
      </x:c>
      <x:c r="G274" s="4" t="inlineStr">
        <x:is>
          <x:t xml:space="preserve">S3</x:t>
        </x:is>
      </x:c>
      <x:c r="H274" s="17" t="inlineStr">
        <x:is>
          <x:t xml:space="preserve">Medium</x:t>
        </x:is>
      </x:c>
      <x:c r="I274" s="4" t="inlineStr">
        <x:is>
          <x:t xml:space="preserve">Data Scientist</x:t>
        </x:is>
      </x:c>
      <x:c r="J274" s="17" t="n">
        <x:v>3</x:v>
      </x:c>
      <x:c r="K274" s="17" t="n">
        <x:v>5</x:v>
      </x:c>
      <x:c r="L274" s="18" t="n">
        <x:f>J274*2-K274</x:f>
        <x:v>1</x:v>
      </x:c>
      <x:c r="M274" s="4" t="inlineStr">
        <x:is>
          <x:t xml:space="preserve">TK-088, TK-092..176</x:t>
        </x:is>
      </x:c>
      <x:c r="N274" s="4" t="inlineStr">
        <x:is>
          <x:t xml:space="preserve">خروجی «شناسه خوشه رفتاری هر مشتری (خوشه کلینیک‌های پرمصرف…» + ارزیابی ضریب شباهت Silhouette Score &gt; 0.65، پاید (TST-36)</x:t>
        </x:is>
      </x:c>
      <x:c r="O274" s="17" t="inlineStr">
        <x:is>
          <x:t xml:space="preserve">Proposed</x:t>
        </x:is>
      </x:c>
      <x:c r="P274" s="4" t="inlineStr">
        <x:is>
          <x:t xml:space="preserve">تغییر مداوم خوشه مشتریان در صورت تغییرات سریع مقیاس مطب؛ نیا</x:t>
        </x:is>
      </x:c>
      <x:c r="Q274" s="30" t="str">
        <x:v>TK-273</x:v>
      </x:c>
      <x:c r="R274" s="30" t="str"/>
      <x:c r="S274" s="30" t="str">
        <x:v>Model</x:v>
      </x:c>
      <x:c r="T274" s="30" t="str">
        <x:v>MOD-16</x:v>
      </x:c>
      <x:c r="U274" s="30" t="str">
        <x:v>مدل: مدل بخش‌بندی رفتاری پیشرفته دندان‌پزشکان</x:v>
      </x:c>
      <x:c r="V274" s="30" t="str">
        <x:v>Pending dependency review</x:v>
      </x:c>
      <x:c r="W274" s="30" t="str">
        <x:v>نیازمند تکمیل و تأیید مالک</x:v>
      </x:c>
      <x:c r="X274" s="30" t="str">
        <x:v>نیازمند تکمیل و تأیید مالک</x:v>
      </x:c>
      <x:c r="Y274" s="30" t="str">
        <x:v>Data Scientist</x:v>
      </x:c>
      <x:c r="Z274" s="30" t="n">
        <x:v>15</x:v>
      </x:c>
      <x:c r="AA274" s="30" t="n">
        <x:v>273</x:v>
      </x:c>
      <x:c r="AB274" s="30" t="str">
        <x:v>خروجی «شناسه خوشه رفتاری هر مشتری (خوشه کلینیک‌های پرمصرف…» + ارزیابی ضریب شباهت Silhouette Score &gt; 0.65، پاید (TST-36)</x:v>
      </x:c>
      <x:c r="AC274" s="30" t="str">
        <x:v>نیازمند تکمیل و تأیید مالک</x:v>
      </x:c>
      <x:c r="AD274" s="30" t="str">
        <x:v>نیازمند تکمیل و تأیید مالک</x:v>
      </x:c>
      <x:c r="AE274" s="30" t="str">
        <x:v>خروجی «شناسه خوشه رفتاری هر مشتری (خوشه کلینیک‌های پرمصرف…» + ارزیابی ضریب شباهت Silhouette Score &gt; 0.65، پاید (TST-36)</x:v>
      </x:c>
      <x:c r="AF274" s="30" t="str"/>
      <x:c r="AG274" s="30" t="str"/>
      <x:c r="AH274" s="30" t="str"/>
    </x:row>
    <x:row r="275">
      <x:c r="A275" s="19" t="inlineStr">
        <x:is>
          <x:t xml:space="preserve">TK-274</x:t>
        </x:is>
      </x:c>
      <x:c r="B275" s="6" t="inlineStr">
        <x:is>
          <x:t xml:space="preserve">مدل: مدل تحلیل بقای قراردادها و طول عمر چرخه خرید</x:t>
        </x:is>
      </x:c>
      <x:c r="C275" s="6" t="inlineStr">
        <x:is>
          <x:t xml:space="preserve">Build Model: Customer Lifetime Survival Analysis</x:t>
        </x:is>
      </x:c>
      <x:c r="D275" s="6" t="inlineStr">
        <x:is>
          <x:t xml:space="preserve">Model</x:t>
        </x:is>
      </x:c>
      <x:c r="E275" s="6" t="inlineStr">
        <x:is>
          <x:t xml:space="preserve">MOD-17</x:t>
        </x:is>
      </x:c>
      <x:c r="F275" s="19" t="inlineStr">
        <x:is>
          <x:t xml:space="preserve">W6</x:t>
        </x:is>
      </x:c>
      <x:c r="G275" s="6" t="inlineStr">
        <x:is>
          <x:t xml:space="preserve">S3</x:t>
        </x:is>
      </x:c>
      <x:c r="H275" s="19" t="inlineStr">
        <x:is>
          <x:t xml:space="preserve">Medium</x:t>
        </x:is>
      </x:c>
      <x:c r="I275" s="6" t="inlineStr">
        <x:is>
          <x:t xml:space="preserve">Data Scientist</x:t>
        </x:is>
      </x:c>
      <x:c r="J275" s="19" t="n">
        <x:v>3</x:v>
      </x:c>
      <x:c r="K275" s="19" t="n">
        <x:v>5</x:v>
      </x:c>
      <x:c r="L275" s="18" t="n">
        <x:f>J275*2-K275</x:f>
        <x:v>1</x:v>
      </x:c>
      <x:c r="M275" s="6" t="inlineStr">
        <x:is>
          <x:t xml:space="preserve">TK-088, TK-092..176</x:t>
        </x:is>
      </x:c>
      <x:c r="N275" s="6" t="inlineStr">
        <x:is>
          <x:t xml:space="preserve">خروجی «منحنی بقای هر سگمنت کلینیکی، نسبت خطر (Hazard Rati…» + ارزیابی شاخص همخوانی هَرِل (Harrell's C-index &gt;  (TST-36)</x:t>
        </x:is>
      </x:c>
      <x:c r="O275" s="19" t="inlineStr">
        <x:is>
          <x:t xml:space="preserve">Proposed</x:t>
        </x:is>
      </x:c>
      <x:c r="P275" s="6" t="inlineStr">
        <x:is>
          <x:t xml:space="preserve">فرضیه ثبات خطرات در طول زمان که ممکن است با شوک‌های ارزی کلا</x:t>
        </x:is>
      </x:c>
      <x:c r="Q275" s="30" t="str">
        <x:v>TK-274</x:v>
      </x:c>
      <x:c r="R275" s="30" t="str"/>
      <x:c r="S275" s="30" t="str">
        <x:v>Model</x:v>
      </x:c>
      <x:c r="T275" s="30" t="str">
        <x:v>MOD-17</x:v>
      </x:c>
      <x:c r="U275" s="30" t="str">
        <x:v>مدل: مدل تحلیل بقای قراردادها و طول عمر چرخه خرید</x:v>
      </x:c>
      <x:c r="V275" s="30" t="str">
        <x:v>Pending dependency review</x:v>
      </x:c>
      <x:c r="W275" s="30" t="str">
        <x:v>نیازمند تکمیل و تأیید مالک</x:v>
      </x:c>
      <x:c r="X275" s="30" t="str">
        <x:v>نیازمند تکمیل و تأیید مالک</x:v>
      </x:c>
      <x:c r="Y275" s="30" t="str">
        <x:v>Data Scientist</x:v>
      </x:c>
      <x:c r="Z275" s="30" t="n">
        <x:v>15</x:v>
      </x:c>
      <x:c r="AA275" s="30" t="n">
        <x:v>274</x:v>
      </x:c>
      <x:c r="AB275" s="30" t="str">
        <x:v>خروجی «منحنی بقای هر سگمنت کلینیکی، نسبت خطر (Hazard Rati…» + ارزیابی شاخص همخوانی هَرِل (Harrell's C-index &gt;  (TST-36)</x:v>
      </x:c>
      <x:c r="AC275" s="30" t="str">
        <x:v>نیازمند تکمیل و تأیید مالک</x:v>
      </x:c>
      <x:c r="AD275" s="30" t="str">
        <x:v>نیازمند تکمیل و تأیید مالک</x:v>
      </x:c>
      <x:c r="AE275" s="30" t="str">
        <x:v>خروجی «منحنی بقای هر سگمنت کلینیکی، نسبت خطر (Hazard Rati…» + ارزیابی شاخص همخوانی هَرِل (Harrell's C-index &gt;  (TST-36)</x:v>
      </x:c>
      <x:c r="AF275" s="30" t="str"/>
      <x:c r="AG275" s="30" t="str"/>
      <x:c r="AH275" s="30" t="str"/>
    </x:row>
    <x:row r="276">
      <x:c r="A276" s="17" t="inlineStr">
        <x:is>
          <x:t xml:space="preserve">TK-275</x:t>
        </x:is>
      </x:c>
      <x:c r="B276" s="4" t="inlineStr">
        <x:is>
          <x:t xml:space="preserve">مدل: مدل ارزیابی هم‌خواری کلمات کلیدی و کانال‌ها</x:t>
        </x:is>
      </x:c>
      <x:c r="C276" s="4" t="inlineStr">
        <x:is>
          <x:t xml:space="preserve">Build Model: Keyword &amp; Channel Cannibalization Model</x:t>
        </x:is>
      </x:c>
      <x:c r="D276" s="4" t="inlineStr">
        <x:is>
          <x:t xml:space="preserve">Model</x:t>
        </x:is>
      </x:c>
      <x:c r="E276" s="4" t="inlineStr">
        <x:is>
          <x:t xml:space="preserve">MOD-18</x:t>
        </x:is>
      </x:c>
      <x:c r="F276" s="17" t="inlineStr">
        <x:is>
          <x:t xml:space="preserve">W6</x:t>
        </x:is>
      </x:c>
      <x:c r="G276" s="4" t="inlineStr">
        <x:is>
          <x:t xml:space="preserve">S3</x:t>
        </x:is>
      </x:c>
      <x:c r="H276" s="17" t="inlineStr">
        <x:is>
          <x:t xml:space="preserve">Medium</x:t>
        </x:is>
      </x:c>
      <x:c r="I276" s="4" t="inlineStr">
        <x:is>
          <x:t xml:space="preserve">Data Scientist</x:t>
        </x:is>
      </x:c>
      <x:c r="J276" s="17" t="n">
        <x:v>3</x:v>
      </x:c>
      <x:c r="K276" s="17" t="n">
        <x:v>5</x:v>
      </x:c>
      <x:c r="L276" s="18" t="n">
        <x:f>J276*2-K276</x:f>
        <x:v>1</x:v>
      </x:c>
      <x:c r="M276" s="4" t="inlineStr">
        <x:is>
          <x:t xml:space="preserve">TK-088, TK-092..176</x:t>
        </x:is>
      </x:c>
      <x:c r="N276" s="4" t="inlineStr">
        <x:is>
          <x:t xml:space="preserve">خروجی «درصد هم‌خواری خالص (Cannibalization Ratio)، توصیه …» + ارزیابی تغییر در کلیک‌های خالص افزایشی (Incremen (TST-36)</x:t>
        </x:is>
      </x:c>
      <x:c r="O276" s="17" t="inlineStr">
        <x:is>
          <x:t xml:space="preserve">Proposed</x:t>
        </x:is>
      </x:c>
      <x:c r="P276" s="4" t="inlineStr">
        <x:is>
          <x:t xml:space="preserve">کاهش سهم کلی صفحه اول گوگل در صورت ورود تبلیغات رقیب بر روی </x:t>
        </x:is>
      </x:c>
      <x:c r="Q276" s="30" t="str">
        <x:v>TK-275</x:v>
      </x:c>
      <x:c r="R276" s="30" t="str"/>
      <x:c r="S276" s="30" t="str">
        <x:v>Model</x:v>
      </x:c>
      <x:c r="T276" s="30" t="str">
        <x:v>MOD-18</x:v>
      </x:c>
      <x:c r="U276" s="30" t="str">
        <x:v>مدل: مدل ارزیابی هم‌خواری کلمات کلیدی و کانال‌ها</x:v>
      </x:c>
      <x:c r="V276" s="30" t="str">
        <x:v>Pending dependency review</x:v>
      </x:c>
      <x:c r="W276" s="30" t="str">
        <x:v>نیازمند تکمیل و تأیید مالک</x:v>
      </x:c>
      <x:c r="X276" s="30" t="str">
        <x:v>نیازمند تکمیل و تأیید مالک</x:v>
      </x:c>
      <x:c r="Y276" s="30" t="str">
        <x:v>Data Scientist</x:v>
      </x:c>
      <x:c r="Z276" s="30" t="n">
        <x:v>15</x:v>
      </x:c>
      <x:c r="AA276" s="30" t="n">
        <x:v>275</x:v>
      </x:c>
      <x:c r="AB276" s="30" t="str">
        <x:v>خروجی «درصد هم‌خواری خالص (Cannibalization Ratio)، توصیه …» + ارزیابی تغییر در کلیک‌های خالص افزایشی (Incremen (TST-36)</x:v>
      </x:c>
      <x:c r="AC276" s="30" t="str">
        <x:v>نیازمند تکمیل و تأیید مالک</x:v>
      </x:c>
      <x:c r="AD276" s="30" t="str">
        <x:v>نیازمند تکمیل و تأیید مالک</x:v>
      </x:c>
      <x:c r="AE276" s="30" t="str">
        <x:v>خروجی «درصد هم‌خواری خالص (Cannibalization Ratio)، توصیه …» + ارزیابی تغییر در کلیک‌های خالص افزایشی (Incremen (TST-36)</x:v>
      </x:c>
      <x:c r="AF276" s="30" t="str"/>
      <x:c r="AG276" s="30" t="str"/>
      <x:c r="AH276" s="30" t="str"/>
    </x:row>
    <x:row r="277">
      <x:c r="A277" s="19" t="inlineStr">
        <x:is>
          <x:t xml:space="preserve">TK-276</x:t>
        </x:is>
      </x:c>
      <x:c r="B277" s="6" t="inlineStr">
        <x:is>
          <x:t xml:space="preserve">مدل: مدل تحلیل احساسات و بازخورد کیفی دندان‌پزشکان با NLP</x:t>
        </x:is>
      </x:c>
      <x:c r="C277" s="6" t="inlineStr">
        <x:is>
          <x:t xml:space="preserve">Build Model: Doctor Feedback &amp; NLP Sentiment Analysis</x:t>
        </x:is>
      </x:c>
      <x:c r="D277" s="6" t="inlineStr">
        <x:is>
          <x:t xml:space="preserve">Model</x:t>
        </x:is>
      </x:c>
      <x:c r="E277" s="6" t="inlineStr">
        <x:is>
          <x:t xml:space="preserve">MOD-19</x:t>
        </x:is>
      </x:c>
      <x:c r="F277" s="19" t="inlineStr">
        <x:is>
          <x:t xml:space="preserve">W6</x:t>
        </x:is>
      </x:c>
      <x:c r="G277" s="6" t="inlineStr">
        <x:is>
          <x:t xml:space="preserve">S3</x:t>
        </x:is>
      </x:c>
      <x:c r="H277" s="19" t="inlineStr">
        <x:is>
          <x:t xml:space="preserve">Medium</x:t>
        </x:is>
      </x:c>
      <x:c r="I277" s="6" t="inlineStr">
        <x:is>
          <x:t xml:space="preserve">Data Scientist</x:t>
        </x:is>
      </x:c>
      <x:c r="J277" s="19" t="n">
        <x:v>3</x:v>
      </x:c>
      <x:c r="K277" s="19" t="n">
        <x:v>5</x:v>
      </x:c>
      <x:c r="L277" s="18" t="n">
        <x:f>J277*2-K277</x:f>
        <x:v>1</x:v>
      </x:c>
      <x:c r="M277" s="6" t="inlineStr">
        <x:is>
          <x:t xml:space="preserve">TK-088, TK-092..176</x:t>
        </x:is>
      </x:c>
      <x:c r="N277" s="6" t="inlineStr">
        <x:is>
          <x:t xml:space="preserve">خروجی «نمره احساسات بازخورد (مثبت، منفی، خنثی)، برچسب‌های…» + ارزیابی معیار F1-Score در تفکیک شکایات بحرانی (&gt; (TST-36)</x:t>
        </x:is>
      </x:c>
      <x:c r="O277" s="19" t="inlineStr">
        <x:is>
          <x:t xml:space="preserve">Proposed</x:t>
        </x:is>
      </x:c>
      <x:c r="P277" s="6" t="inlineStr">
        <x:is>
          <x:t xml:space="preserve">اصطلاحات بسیار تخصصی و بالینی دندان‌پزشکی که در لغت‌نامه‌های</x:t>
        </x:is>
      </x:c>
      <x:c r="Q277" s="30" t="str">
        <x:v>TK-276</x:v>
      </x:c>
      <x:c r="R277" s="30" t="str"/>
      <x:c r="S277" s="30" t="str">
        <x:v>Model</x:v>
      </x:c>
      <x:c r="T277" s="30" t="str">
        <x:v>MOD-19</x:v>
      </x:c>
      <x:c r="U277" s="30" t="str">
        <x:v>مدل: مدل تحلیل احساسات و بازخورد کیفی دندان‌پزشکان با NLP</x:v>
      </x:c>
      <x:c r="V277" s="30" t="str">
        <x:v>Pending dependency review</x:v>
      </x:c>
      <x:c r="W277" s="30" t="str">
        <x:v>نیازمند تکمیل و تأیید مالک</x:v>
      </x:c>
      <x:c r="X277" s="30" t="str">
        <x:v>نیازمند تکمیل و تأیید مالک</x:v>
      </x:c>
      <x:c r="Y277" s="30" t="str">
        <x:v>Data Scientist</x:v>
      </x:c>
      <x:c r="Z277" s="30" t="n">
        <x:v>15</x:v>
      </x:c>
      <x:c r="AA277" s="30" t="n">
        <x:v>276</x:v>
      </x:c>
      <x:c r="AB277" s="30" t="str">
        <x:v>خروجی «نمره احساسات بازخورد (مثبت، منفی، خنثی)، برچسب‌های…» + ارزیابی معیار F1-Score در تفکیک شکایات بحرانی (&gt; (TST-36)</x:v>
      </x:c>
      <x:c r="AC277" s="30" t="str">
        <x:v>نیازمند تکمیل و تأیید مالک</x:v>
      </x:c>
      <x:c r="AD277" s="30" t="str">
        <x:v>نیازمند تکمیل و تأیید مالک</x:v>
      </x:c>
      <x:c r="AE277" s="30" t="str">
        <x:v>خروجی «نمره احساسات بازخورد (مثبت، منفی، خنثی)، برچسب‌های…» + ارزیابی معیار F1-Score در تفکیک شکایات بحرانی (&gt; (TST-36)</x:v>
      </x:c>
      <x:c r="AF277" s="30" t="str"/>
      <x:c r="AG277" s="30" t="str"/>
      <x:c r="AH277" s="30" t="str"/>
    </x:row>
    <x:row r="278">
      <x:c r="A278" s="17" t="inlineStr">
        <x:is>
          <x:t xml:space="preserve">TK-277</x:t>
        </x:is>
      </x:c>
      <x:c r="B278" s="4" t="inlineStr">
        <x:is>
          <x:t xml:space="preserve">مدل: مدل تخمین احتمال نکول و اعتبارسنجی فروش اقساطی کلینیک‌ها</x:t>
        </x:is>
      </x:c>
      <x:c r="C278" s="4" t="inlineStr">
        <x:is>
          <x:t xml:space="preserve">Build Model: B2B Dental Credit Scoring &amp; Default Risk Model</x:t>
        </x:is>
      </x:c>
      <x:c r="D278" s="4" t="inlineStr">
        <x:is>
          <x:t xml:space="preserve">Model</x:t>
        </x:is>
      </x:c>
      <x:c r="E278" s="4" t="inlineStr">
        <x:is>
          <x:t xml:space="preserve">MOD-20</x:t>
        </x:is>
      </x:c>
      <x:c r="F278" s="17" t="inlineStr">
        <x:is>
          <x:t xml:space="preserve">W6</x:t>
        </x:is>
      </x:c>
      <x:c r="G278" s="4" t="inlineStr">
        <x:is>
          <x:t xml:space="preserve">S3</x:t>
        </x:is>
      </x:c>
      <x:c r="H278" s="17" t="inlineStr">
        <x:is>
          <x:t xml:space="preserve">High</x:t>
        </x:is>
      </x:c>
      <x:c r="I278" s="4" t="inlineStr">
        <x:is>
          <x:t xml:space="preserve">Data Scientist</x:t>
        </x:is>
      </x:c>
      <x:c r="J278" s="17" t="n">
        <x:v>4</x:v>
      </x:c>
      <x:c r="K278" s="17" t="n">
        <x:v>5</x:v>
      </x:c>
      <x:c r="L278" s="18" t="n">
        <x:f>J278*2-K278</x:f>
        <x:v>3</x:v>
      </x:c>
      <x:c r="M278" s="4" t="inlineStr">
        <x:is>
          <x:t xml:space="preserve">TK-088, TK-092..176</x:t>
        </x:is>
      </x:c>
      <x:c r="N278" s="4" t="inlineStr">
        <x:is>
          <x:t xml:space="preserve">خروجی «امتیاز اعتباری تیتانا (Credit Score از ۳۰۰ تا ۸۵۰)…» + ارزیابی آماره کولموگروف-اسمیرنوف (K-S Statistic  (TST-36)</x:t>
        </x:is>
      </x:c>
      <x:c r="O278" s="17" t="inlineStr">
        <x:is>
          <x:t xml:space="preserve">Proposed</x:t>
        </x:is>
      </x:c>
      <x:c r="P278" s="4" t="inlineStr">
        <x:is>
          <x:t xml:space="preserve">نوسانات تورمی و اقتصادی ناگهانی که توان نقدینگی مطب‌ها را مخ</x:t>
        </x:is>
      </x:c>
      <x:c r="Q278" s="30" t="str">
        <x:v>TK-277</x:v>
      </x:c>
      <x:c r="R278" s="30" t="str"/>
      <x:c r="S278" s="30" t="str">
        <x:v>Model</x:v>
      </x:c>
      <x:c r="T278" s="30" t="str">
        <x:v>MOD-20</x:v>
      </x:c>
      <x:c r="U278" s="30" t="str">
        <x:v>مدل: مدل تخمین احتمال نکول و اعتبارسنجی فروش اقساطی کلینیک‌ها</x:v>
      </x:c>
      <x:c r="V278" s="30" t="str">
        <x:v>Pending dependency review</x:v>
      </x:c>
      <x:c r="W278" s="30" t="str">
        <x:v>نیازمند تکمیل و تأیید مالک</x:v>
      </x:c>
      <x:c r="X278" s="30" t="str">
        <x:v>نیازمند تکمیل و تأیید مالک</x:v>
      </x:c>
      <x:c r="Y278" s="30" t="str">
        <x:v>Data Scientist</x:v>
      </x:c>
      <x:c r="Z278" s="30" t="n">
        <x:v>15</x:v>
      </x:c>
      <x:c r="AA278" s="30" t="n">
        <x:v>277</x:v>
      </x:c>
      <x:c r="AB278" s="30" t="str">
        <x:v>خروجی «امتیاز اعتباری تیتانا (Credit Score از ۳۰۰ تا ۸۵۰)…» + ارزیابی آماره کولموگروف-اسمیرنوف (K-S Statistic  (TST-36)</x:v>
      </x:c>
      <x:c r="AC278" s="30" t="str">
        <x:v>نیازمند تکمیل و تأیید مالک</x:v>
      </x:c>
      <x:c r="AD278" s="30" t="str">
        <x:v>نیازمند تکمیل و تأیید مالک</x:v>
      </x:c>
      <x:c r="AE278" s="30" t="str">
        <x:v>خروجی «امتیاز اعتباری تیتانا (Credit Score از ۳۰۰ تا ۸۵۰)…» + ارزیابی آماره کولموگروف-اسمیرنوف (K-S Statistic  (TST-36)</x:v>
      </x:c>
      <x:c r="AF278" s="30" t="str"/>
      <x:c r="AG278" s="30" t="str"/>
      <x:c r="AH278" s="30" t="str"/>
    </x:row>
    <x:row r="279">
      <x:c r="A279" s="19" t="inlineStr">
        <x:is>
          <x:t xml:space="preserve">TK-278</x:t>
        </x:is>
      </x:c>
      <x:c r="B279" s="6" t="inlineStr">
        <x:is>
          <x:t xml:space="preserve">مدل: مدل بهینه‌سازی هوشمند قیمت پیشنهادی مزایده</x:t>
        </x:is>
      </x:c>
      <x:c r="C279" s="6" t="inlineStr">
        <x:is>
          <x:t xml:space="preserve">Build Model: Intelligent Real-Time Bidding Optimizer</x:t>
        </x:is>
      </x:c>
      <x:c r="D279" s="6" t="inlineStr">
        <x:is>
          <x:t xml:space="preserve">Model</x:t>
        </x:is>
      </x:c>
      <x:c r="E279" s="6" t="inlineStr">
        <x:is>
          <x:t xml:space="preserve">MOD-21</x:t>
        </x:is>
      </x:c>
      <x:c r="F279" s="19" t="inlineStr">
        <x:is>
          <x:t xml:space="preserve">W6</x:t>
        </x:is>
      </x:c>
      <x:c r="G279" s="6" t="inlineStr">
        <x:is>
          <x:t xml:space="preserve">S3</x:t>
        </x:is>
      </x:c>
      <x:c r="H279" s="19" t="inlineStr">
        <x:is>
          <x:t xml:space="preserve">Medium</x:t>
        </x:is>
      </x:c>
      <x:c r="I279" s="6" t="inlineStr">
        <x:is>
          <x:t xml:space="preserve">Data Scientist</x:t>
        </x:is>
      </x:c>
      <x:c r="J279" s="19" t="n">
        <x:v>3</x:v>
      </x:c>
      <x:c r="K279" s="19" t="n">
        <x:v>5</x:v>
      </x:c>
      <x:c r="L279" s="18" t="n">
        <x:f>J279*2-K279</x:f>
        <x:v>1</x:v>
      </x:c>
      <x:c r="M279" s="6" t="inlineStr">
        <x:is>
          <x:t xml:space="preserve">TK-088, TK-092..176</x:t>
        </x:is>
      </x:c>
      <x:c r="N279" s="6" t="inlineStr">
        <x:is>
          <x:t xml:space="preserve">خروجی «ضریب تعدیل بید (Bid Modifier) بین -۵۰٪ تا +۱۰۰٪ ار…» + ارزیابی بهبود شاخص POAS در کمپین‌های مورد آزمایش (TST-36)</x:t>
        </x:is>
      </x:c>
      <x:c r="O279" s="19" t="inlineStr">
        <x:is>
          <x:t xml:space="preserve">Proposed</x:t>
        </x:is>
      </x:c>
      <x:c r="P279" s="6" t="inlineStr">
        <x:is>
          <x:t xml:space="preserve">محدودیت‌های فرکانس فراخوانی Google Ads API؛ لزوم دسته‌بندی و</x:t>
        </x:is>
      </x:c>
      <x:c r="Q279" s="30" t="str">
        <x:v>TK-278</x:v>
      </x:c>
      <x:c r="R279" s="30" t="str"/>
      <x:c r="S279" s="30" t="str">
        <x:v>Model</x:v>
      </x:c>
      <x:c r="T279" s="30" t="str">
        <x:v>MOD-21</x:v>
      </x:c>
      <x:c r="U279" s="30" t="str">
        <x:v>مدل: مدل بهینه‌سازی هوشمند قیمت پیشنهادی مزایده</x:v>
      </x:c>
      <x:c r="V279" s="30" t="str">
        <x:v>Pending dependency review</x:v>
      </x:c>
      <x:c r="W279" s="30" t="str">
        <x:v>نیازمند تکمیل و تأیید مالک</x:v>
      </x:c>
      <x:c r="X279" s="30" t="str">
        <x:v>نیازمند تکمیل و تأیید مالک</x:v>
      </x:c>
      <x:c r="Y279" s="30" t="str">
        <x:v>Data Scientist</x:v>
      </x:c>
      <x:c r="Z279" s="30" t="n">
        <x:v>15</x:v>
      </x:c>
      <x:c r="AA279" s="30" t="n">
        <x:v>278</x:v>
      </x:c>
      <x:c r="AB279" s="30" t="str">
        <x:v>خروجی «ضریب تعدیل بید (Bid Modifier) بین -۵۰٪ تا +۱۰۰٪ ار…» + ارزیابی بهبود شاخص POAS در کمپین‌های مورد آزمایش (TST-36)</x:v>
      </x:c>
      <x:c r="AC279" s="30" t="str">
        <x:v>نیازمند تکمیل و تأیید مالک</x:v>
      </x:c>
      <x:c r="AD279" s="30" t="str">
        <x:v>نیازمند تکمیل و تأیید مالک</x:v>
      </x:c>
      <x:c r="AE279" s="30" t="str">
        <x:v>خروجی «ضریب تعدیل بید (Bid Modifier) بین -۵۰٪ تا +۱۰۰٪ ار…» + ارزیابی بهبود شاخص POAS در کمپین‌های مورد آزمایش (TST-36)</x:v>
      </x:c>
      <x:c r="AF279" s="30" t="str"/>
      <x:c r="AG279" s="30" t="str"/>
      <x:c r="AH279" s="30" t="str"/>
    </x:row>
    <x:row r="280">
      <x:c r="A280" s="17" t="inlineStr">
        <x:is>
          <x:t xml:space="preserve">TK-279</x:t>
        </x:is>
      </x:c>
      <x:c r="B280" s="4" t="inlineStr">
        <x:is>
          <x:t xml:space="preserve">مدل: مدل شبیه‌سازی مسیر چندکاناله و سناریوهای What-If</x:t>
        </x:is>
      </x:c>
      <x:c r="C280" s="4" t="inlineStr">
        <x:is>
          <x:t xml:space="preserve">Build Model: Omnichannel Customer Journey Simulator</x:t>
        </x:is>
      </x:c>
      <x:c r="D280" s="4" t="inlineStr">
        <x:is>
          <x:t xml:space="preserve">Model</x:t>
        </x:is>
      </x:c>
      <x:c r="E280" s="4" t="inlineStr">
        <x:is>
          <x:t xml:space="preserve">MOD-22</x:t>
        </x:is>
      </x:c>
      <x:c r="F280" s="17" t="inlineStr">
        <x:is>
          <x:t xml:space="preserve">W6</x:t>
        </x:is>
      </x:c>
      <x:c r="G280" s="4" t="inlineStr">
        <x:is>
          <x:t xml:space="preserve">S3</x:t>
        </x:is>
      </x:c>
      <x:c r="H280" s="17" t="inlineStr">
        <x:is>
          <x:t xml:space="preserve">Medium</x:t>
        </x:is>
      </x:c>
      <x:c r="I280" s="4" t="inlineStr">
        <x:is>
          <x:t xml:space="preserve">Data Scientist</x:t>
        </x:is>
      </x:c>
      <x:c r="J280" s="17" t="n">
        <x:v>3</x:v>
      </x:c>
      <x:c r="K280" s="17" t="n">
        <x:v>5</x:v>
      </x:c>
      <x:c r="L280" s="18" t="n">
        <x:f>J280*2-K280</x:f>
        <x:v>1</x:v>
      </x:c>
      <x:c r="M280" s="4" t="inlineStr">
        <x:is>
          <x:t xml:space="preserve">TK-088, TK-092..176</x:t>
        </x:is>
      </x:c>
      <x:c r="N280" s="4" t="inlineStr">
        <x:is>
          <x:t xml:space="preserve">خروجی «پیش‌بینی درآمد کل، تعداد لید و تغییرات قیف در ماتر…» + ارزیابی تطابق خروجی شبیه‌سازی با روندهای فصول گذ (TST-36)</x:t>
        </x:is>
      </x:c>
      <x:c r="O280" s="17" t="inlineStr">
        <x:is>
          <x:t xml:space="preserve">Proposed</x:t>
        </x:is>
      </x:c>
      <x:c r="P280" s="4" t="inlineStr">
        <x:is>
          <x:t xml:space="preserve">پیچیدگی محاسباتی و فرضیات ساده‌کننده رفتار دندان‌پزشکان؛ خرو</x:t>
        </x:is>
      </x:c>
      <x:c r="Q280" s="30" t="str">
        <x:v>TK-279</x:v>
      </x:c>
      <x:c r="R280" s="30" t="str"/>
      <x:c r="S280" s="30" t="str">
        <x:v>Model</x:v>
      </x:c>
      <x:c r="T280" s="30" t="str">
        <x:v>MOD-22</x:v>
      </x:c>
      <x:c r="U280" s="30" t="str">
        <x:v>مدل: مدل شبیه‌سازی مسیر چندکاناله و سناریوهای What-If</x:v>
      </x:c>
      <x:c r="V280" s="30" t="str">
        <x:v>Pending dependency review</x:v>
      </x:c>
      <x:c r="W280" s="30" t="str">
        <x:v>نیازمند تکمیل و تأیید مالک</x:v>
      </x:c>
      <x:c r="X280" s="30" t="str">
        <x:v>نیازمند تکمیل و تأیید مالک</x:v>
      </x:c>
      <x:c r="Y280" s="30" t="str">
        <x:v>Data Scientist</x:v>
      </x:c>
      <x:c r="Z280" s="30" t="n">
        <x:v>15</x:v>
      </x:c>
      <x:c r="AA280" s="30" t="n">
        <x:v>279</x:v>
      </x:c>
      <x:c r="AB280" s="30" t="str">
        <x:v>خروجی «پیش‌بینی درآمد کل، تعداد لید و تغییرات قیف در ماتر…» + ارزیابی تطابق خروجی شبیه‌سازی با روندهای فصول گذ (TST-36)</x:v>
      </x:c>
      <x:c r="AC280" s="30" t="str">
        <x:v>نیازمند تکمیل و تأیید مالک</x:v>
      </x:c>
      <x:c r="AD280" s="30" t="str">
        <x:v>نیازمند تکمیل و تأیید مالک</x:v>
      </x:c>
      <x:c r="AE280" s="30" t="str">
        <x:v>خروجی «پیش‌بینی درآمد کل، تعداد لید و تغییرات قیف در ماتر…» + ارزیابی تطابق خروجی شبیه‌سازی با روندهای فصول گذ (TST-36)</x:v>
      </x:c>
      <x:c r="AF280" s="30" t="str"/>
      <x:c r="AG280" s="30" t="str"/>
      <x:c r="AH280" s="30" t="str"/>
    </x:row>
    <x:row r="281">
      <x:c r="A281" s="19" t="inlineStr">
        <x:is>
          <x:t xml:space="preserve">TK-280</x:t>
        </x:is>
      </x:c>
      <x:c r="B281" s="6" t="inlineStr">
        <x:is>
          <x:t xml:space="preserve">مدل: مدل پیش‌بینی زمان تا اولین خرید مجدد</x:t>
        </x:is>
      </x:c>
      <x:c r="C281" s="6" t="inlineStr">
        <x:is>
          <x:t xml:space="preserve">Build Model: Time-to-Second-Purchase Hazard Model</x:t>
        </x:is>
      </x:c>
      <x:c r="D281" s="6" t="inlineStr">
        <x:is>
          <x:t xml:space="preserve">Model</x:t>
        </x:is>
      </x:c>
      <x:c r="E281" s="6" t="inlineStr">
        <x:is>
          <x:t xml:space="preserve">MOD-23</x:t>
        </x:is>
      </x:c>
      <x:c r="F281" s="19" t="inlineStr">
        <x:is>
          <x:t xml:space="preserve">W6</x:t>
        </x:is>
      </x:c>
      <x:c r="G281" s="6" t="inlineStr">
        <x:is>
          <x:t xml:space="preserve">S3</x:t>
        </x:is>
      </x:c>
      <x:c r="H281" s="19" t="inlineStr">
        <x:is>
          <x:t xml:space="preserve">Medium</x:t>
        </x:is>
      </x:c>
      <x:c r="I281" s="6" t="inlineStr">
        <x:is>
          <x:t xml:space="preserve">Data Scientist</x:t>
        </x:is>
      </x:c>
      <x:c r="J281" s="19" t="n">
        <x:v>3</x:v>
      </x:c>
      <x:c r="K281" s="19" t="n">
        <x:v>5</x:v>
      </x:c>
      <x:c r="L281" s="18" t="n">
        <x:f>J281*2-K281</x:f>
        <x:v>1</x:v>
      </x:c>
      <x:c r="M281" s="6" t="inlineStr">
        <x:is>
          <x:t xml:space="preserve">TK-088, TK-092..176</x:t>
        </x:is>
      </x:c>
      <x:c r="N281" s="6" t="inlineStr">
        <x:is>
          <x:t xml:space="preserve">خروجی «منحنی چگالی احتمال زمان خرید دوم، زمان بهینه فعال‌…» + ارزیابی ضریب توافق آماری و خطای میانه پیش‌بینی ر (TST-36)</x:t>
        </x:is>
      </x:c>
      <x:c r="O281" s="19" t="inlineStr">
        <x:is>
          <x:t xml:space="preserve">Proposed</x:t>
        </x:is>
      </x:c>
      <x:c r="P281" s="6" t="inlineStr">
        <x:is>
          <x:t xml:space="preserve">اگر خرید اول یونیت سنگین باشد، خرید بعدی ممکن است ۶ ماه بعد </x:t>
        </x:is>
      </x:c>
      <x:c r="Q281" s="30" t="str">
        <x:v>TK-280</x:v>
      </x:c>
      <x:c r="R281" s="30" t="str"/>
      <x:c r="S281" s="30" t="str">
        <x:v>Model</x:v>
      </x:c>
      <x:c r="T281" s="30" t="str">
        <x:v>MOD-23</x:v>
      </x:c>
      <x:c r="U281" s="30" t="str">
        <x:v>مدل: مدل پیش‌بینی زمان تا اولین خرید مجدد</x:v>
      </x:c>
      <x:c r="V281" s="30" t="str">
        <x:v>Pending dependency review</x:v>
      </x:c>
      <x:c r="W281" s="30" t="str">
        <x:v>نیازمند تکمیل و تأیید مالک</x:v>
      </x:c>
      <x:c r="X281" s="30" t="str">
        <x:v>نیازمند تکمیل و تأیید مالک</x:v>
      </x:c>
      <x:c r="Y281" s="30" t="str">
        <x:v>Data Scientist</x:v>
      </x:c>
      <x:c r="Z281" s="30" t="n">
        <x:v>15</x:v>
      </x:c>
      <x:c r="AA281" s="30" t="n">
        <x:v>280</x:v>
      </x:c>
      <x:c r="AB281" s="30" t="str">
        <x:v>خروجی «منحنی چگالی احتمال زمان خرید دوم، زمان بهینه فعال‌…» + ارزیابی ضریب توافق آماری و خطای میانه پیش‌بینی ر (TST-36)</x:v>
      </x:c>
      <x:c r="AC281" s="30" t="str">
        <x:v>نیازمند تکمیل و تأیید مالک</x:v>
      </x:c>
      <x:c r="AD281" s="30" t="str">
        <x:v>نیازمند تکمیل و تأیید مالک</x:v>
      </x:c>
      <x:c r="AE281" s="30" t="str">
        <x:v>خروجی «منحنی چگالی احتمال زمان خرید دوم، زمان بهینه فعال‌…» + ارزیابی ضریب توافق آماری و خطای میانه پیش‌بینی ر (TST-36)</x:v>
      </x:c>
      <x:c r="AF281" s="30" t="str"/>
      <x:c r="AG281" s="30" t="str"/>
      <x:c r="AH281" s="30" t="str"/>
    </x:row>
    <x:row r="282">
      <x:c r="A282" s="17" t="inlineStr">
        <x:is>
          <x:t xml:space="preserve">TK-281</x:t>
        </x:is>
      </x:c>
      <x:c r="B282" s="4" t="inlineStr">
        <x:is>
          <x:t xml:space="preserve">مدل: مدل خوشه‌بندی پتانسیل جغرافیایی فروش تجهیزات</x:t>
        </x:is>
      </x:c>
      <x:c r="C282" s="4" t="inlineStr">
        <x:is>
          <x:t xml:space="preserve">Build Model: Clinic Density &amp; Territory Potential Spatial Clustering</x:t>
        </x:is>
      </x:c>
      <x:c r="D282" s="4" t="inlineStr">
        <x:is>
          <x:t xml:space="preserve">Model</x:t>
        </x:is>
      </x:c>
      <x:c r="E282" s="4" t="inlineStr">
        <x:is>
          <x:t xml:space="preserve">MOD-24</x:t>
        </x:is>
      </x:c>
      <x:c r="F282" s="17" t="inlineStr">
        <x:is>
          <x:t xml:space="preserve">W6</x:t>
        </x:is>
      </x:c>
      <x:c r="G282" s="4" t="inlineStr">
        <x:is>
          <x:t xml:space="preserve">S3</x:t>
        </x:is>
      </x:c>
      <x:c r="H282" s="17" t="inlineStr">
        <x:is>
          <x:t xml:space="preserve">Medium</x:t>
        </x:is>
      </x:c>
      <x:c r="I282" s="4" t="inlineStr">
        <x:is>
          <x:t xml:space="preserve">Data Scientist</x:t>
        </x:is>
      </x:c>
      <x:c r="J282" s="17" t="n">
        <x:v>3</x:v>
      </x:c>
      <x:c r="K282" s="17" t="n">
        <x:v>5</x:v>
      </x:c>
      <x:c r="L282" s="18" t="n">
        <x:f>J282*2-K282</x:f>
        <x:v>1</x:v>
      </x:c>
      <x:c r="M282" s="4" t="inlineStr">
        <x:is>
          <x:t xml:space="preserve">TK-088, TK-092..176</x:t>
        </x:is>
      </x:c>
      <x:c r="N282" s="4" t="inlineStr">
        <x:is>
          <x:t xml:space="preserve">خروجی «نقشه حرارتی مناطق طلایی توسعه فروش (High-Yield Zon…» + ارزیابی شاخص تراکم درون‌خوشه‌ای و افزایش بهره‌ور (TST-36)</x:t>
        </x:is>
      </x:c>
      <x:c r="O282" s="17" t="inlineStr">
        <x:is>
          <x:t xml:space="preserve">Proposed</x:t>
        </x:is>
      </x:c>
      <x:c r="P282" s="4" t="inlineStr">
        <x:is>
          <x:t xml:space="preserve">داده‌های ناکافی از موقعیت دقیق جغرافیایی برخی کلینیک‌های شهر</x:t>
        </x:is>
      </x:c>
      <x:c r="Q282" s="30" t="str">
        <x:v>TK-281</x:v>
      </x:c>
      <x:c r="R282" s="30" t="str"/>
      <x:c r="S282" s="30" t="str">
        <x:v>Model</x:v>
      </x:c>
      <x:c r="T282" s="30" t="str">
        <x:v>MOD-24</x:v>
      </x:c>
      <x:c r="U282" s="30" t="str">
        <x:v>مدل: مدل خوشه‌بندی پتانسیل جغرافیایی فروش تجهیزات</x:v>
      </x:c>
      <x:c r="V282" s="30" t="str">
        <x:v>Pending dependency review</x:v>
      </x:c>
      <x:c r="W282" s="30" t="str">
        <x:v>نیازمند تکمیل و تأیید مالک</x:v>
      </x:c>
      <x:c r="X282" s="30" t="str">
        <x:v>نیازمند تکمیل و تأیید مالک</x:v>
      </x:c>
      <x:c r="Y282" s="30" t="str">
        <x:v>Data Scientist</x:v>
      </x:c>
      <x:c r="Z282" s="30" t="n">
        <x:v>15</x:v>
      </x:c>
      <x:c r="AA282" s="30" t="n">
        <x:v>281</x:v>
      </x:c>
      <x:c r="AB282" s="30" t="str">
        <x:v>خروجی «نقشه حرارتی مناطق طلایی توسعه فروش (High-Yield Zon…» + ارزیابی شاخص تراکم درون‌خوشه‌ای و افزایش بهره‌ور (TST-36)</x:v>
      </x:c>
      <x:c r="AC282" s="30" t="str">
        <x:v>نیازمند تکمیل و تأیید مالک</x:v>
      </x:c>
      <x:c r="AD282" s="30" t="str">
        <x:v>نیازمند تکمیل و تأیید مالک</x:v>
      </x:c>
      <x:c r="AE282" s="30" t="str">
        <x:v>خروجی «نقشه حرارتی مناطق طلایی توسعه فروش (High-Yield Zon…» + ارزیابی شاخص تراکم درون‌خوشه‌ای و افزایش بهره‌ور (TST-36)</x:v>
      </x:c>
      <x:c r="AF282" s="30" t="str"/>
      <x:c r="AG282" s="30" t="str"/>
      <x:c r="AH282" s="30" t="str"/>
    </x:row>
    <x:row r="283">
      <x:c r="A283" s="19" t="inlineStr">
        <x:is>
          <x:t xml:space="preserve">TK-282</x:t>
        </x:is>
      </x:c>
      <x:c r="B283" s="6" t="inlineStr">
        <x:is>
          <x:t xml:space="preserve">مدل: مدل تشخیص ناهنجاری پیشرفته سری‌های زمانی درآمد</x:t>
        </x:is>
      </x:c>
      <x:c r="C283" s="6" t="inlineStr">
        <x:is>
          <x:t xml:space="preserve">Build Model: Deep Temporal Anomaly Detection for Revenue Streams</x:t>
        </x:is>
      </x:c>
      <x:c r="D283" s="6" t="inlineStr">
        <x:is>
          <x:t xml:space="preserve">Model</x:t>
        </x:is>
      </x:c>
      <x:c r="E283" s="6" t="inlineStr">
        <x:is>
          <x:t xml:space="preserve">MOD-25</x:t>
        </x:is>
      </x:c>
      <x:c r="F283" s="19" t="inlineStr">
        <x:is>
          <x:t xml:space="preserve">W6</x:t>
        </x:is>
      </x:c>
      <x:c r="G283" s="6" t="inlineStr">
        <x:is>
          <x:t xml:space="preserve">S3</x:t>
        </x:is>
      </x:c>
      <x:c r="H283" s="19" t="inlineStr">
        <x:is>
          <x:t xml:space="preserve">High</x:t>
        </x:is>
      </x:c>
      <x:c r="I283" s="6" t="inlineStr">
        <x:is>
          <x:t xml:space="preserve">Data Scientist</x:t>
        </x:is>
      </x:c>
      <x:c r="J283" s="19" t="n">
        <x:v>4</x:v>
      </x:c>
      <x:c r="K283" s="19" t="n">
        <x:v>5</x:v>
      </x:c>
      <x:c r="L283" s="18" t="n">
        <x:f>J283*2-K283</x:f>
        <x:v>3</x:v>
      </x:c>
      <x:c r="M283" s="6" t="inlineStr">
        <x:is>
          <x:t xml:space="preserve">TK-088, TK-092..176</x:t>
        </x:is>
      </x:c>
      <x:c r="N283" s="6" t="inlineStr">
        <x:is>
          <x:t xml:space="preserve">خروجی «خطای بازسازی شبکه (Reconstruction Error)؛ در صورت …» + ارزیابی معیار F1-Score روی داده‌های تست حاوی قطع (TST-36)</x:t>
        </x:is>
      </x:c>
      <x:c r="O283" s="19" t="inlineStr">
        <x:is>
          <x:t xml:space="preserve">Proposed</x:t>
        </x:is>
      </x:c>
      <x:c r="P283" s="6" t="inlineStr">
        <x:is>
          <x:t xml:space="preserve">نیاز به منابع پردازشی مستمر GPU/CPU؛ نیاز به بازآموزی مداوم </x:t>
        </x:is>
      </x:c>
      <x:c r="Q283" s="30" t="str">
        <x:v>TK-282</x:v>
      </x:c>
      <x:c r="R283" s="30" t="str"/>
      <x:c r="S283" s="30" t="str">
        <x:v>Model</x:v>
      </x:c>
      <x:c r="T283" s="30" t="str">
        <x:v>MOD-25</x:v>
      </x:c>
      <x:c r="U283" s="30" t="str">
        <x:v>مدل: مدل تشخیص ناهنجاری پیشرفته سری‌های زمانی درآمد</x:v>
      </x:c>
      <x:c r="V283" s="30" t="str">
        <x:v>Pending dependency review</x:v>
      </x:c>
      <x:c r="W283" s="30" t="str">
        <x:v>نیازمند تکمیل و تأیید مالک</x:v>
      </x:c>
      <x:c r="X283" s="30" t="str">
        <x:v>نیازمند تکمیل و تأیید مالک</x:v>
      </x:c>
      <x:c r="Y283" s="30" t="str">
        <x:v>Data Scientist</x:v>
      </x:c>
      <x:c r="Z283" s="30" t="n">
        <x:v>15</x:v>
      </x:c>
      <x:c r="AA283" s="30" t="n">
        <x:v>282</x:v>
      </x:c>
      <x:c r="AB283" s="30" t="str">
        <x:v>خروجی «خطای بازسازی شبکه (Reconstruction Error)؛ در صورت …» + ارزیابی معیار F1-Score روی داده‌های تست حاوی قطع (TST-36)</x:v>
      </x:c>
      <x:c r="AC283" s="30" t="str">
        <x:v>نیازمند تکمیل و تأیید مالک</x:v>
      </x:c>
      <x:c r="AD283" s="30" t="str">
        <x:v>نیازمند تکمیل و تأیید مالک</x:v>
      </x:c>
      <x:c r="AE283" s="30" t="str">
        <x:v>خروجی «خطای بازسازی شبکه (Reconstruction Error)؛ در صورت …» + ارزیابی معیار F1-Score روی داده‌های تست حاوی قطع (TST-36)</x:v>
      </x:c>
      <x:c r="AF283" s="30" t="str"/>
      <x:c r="AG283" s="30" t="str"/>
      <x:c r="AH283" s="30" t="str"/>
    </x:row>
    <x:row r="284">
      <x:c r="A284" s="17" t="inlineStr">
        <x:is>
          <x:t xml:space="preserve">TK-283</x:t>
        </x:is>
      </x:c>
      <x:c r="B284" s="4" t="inlineStr">
        <x:is>
          <x:t xml:space="preserve">پایلوت Geo-Lift استانی و چارچوب آزمایش افزایشی</x:t>
        </x:is>
      </x:c>
      <x:c r="C284" s="4" t="inlineStr">
        <x:is>
          <x:t xml:space="preserve">Geo-Lift State Pilot &amp; Incrementality Framework</x:t>
        </x:is>
      </x:c>
      <x:c r="D284" s="4" t="inlineStr">
        <x:is>
          <x:t xml:space="preserve">Experiment</x:t>
        </x:is>
      </x:c>
      <x:c r="E284" s="4" t="inlineStr">
        <x:is>
          <x:t xml:space="preserve">P-17, MOD-07</x:t>
        </x:is>
      </x:c>
      <x:c r="F284" s="17" t="inlineStr">
        <x:is>
          <x:t xml:space="preserve">W6</x:t>
        </x:is>
      </x:c>
      <x:c r="G284" s="4" t="inlineStr">
        <x:is>
          <x:t xml:space="preserve">S3</x:t>
        </x:is>
      </x:c>
      <x:c r="H284" s="17" t="inlineStr">
        <x:is>
          <x:t xml:space="preserve">High</x:t>
        </x:is>
      </x:c>
      <x:c r="I284" s="4" t="inlineStr">
        <x:is>
          <x:t xml:space="preserve">Data Scientist</x:t>
        </x:is>
      </x:c>
      <x:c r="J284" s="17" t="n">
        <x:v>4</x:v>
      </x:c>
      <x:c r="K284" s="17" t="n">
        <x:v>5</x:v>
      </x:c>
      <x:c r="L284" s="18" t="n">
        <x:f>J284*2-K284</x:f>
        <x:v>3</x:v>
      </x:c>
      <x:c r="M284" s="4" t="inlineStr">
        <x:is>
          <x:t xml:space="preserve">TK-258..282, TK-088</x:t>
        </x:is>
      </x:c>
      <x:c r="N284" s="4" t="inlineStr">
        <x:is>
          <x:t xml:space="preserve">حداقل ۲ استان تست/کنترل + گزارش iROAS اولیه</x:t>
        </x:is>
      </x:c>
      <x:c r="O284" s="17" t="inlineStr">
        <x:is>
          <x:t xml:space="preserve">Proposed</x:t>
        </x:is>
      </x:c>
      <x:c r="P284" s="4" t="inlineStr">
        <x:is>
          <x:t xml:space="preserve">MOD-07</x:t>
        </x:is>
      </x:c>
      <x:c r="Q284" s="30" t="str">
        <x:v>TK-283</x:v>
      </x:c>
      <x:c r="R284" s="30" t="str"/>
      <x:c r="S284" s="30" t="str">
        <x:v>Experiment</x:v>
      </x:c>
      <x:c r="T284" s="30" t="str">
        <x:v>P-17, MOD-07</x:v>
      </x:c>
      <x:c r="U284" s="30" t="str">
        <x:v>پایلوت Geo-Lift استانی و چارچوب آزمایش افزایشی</x:v>
      </x:c>
      <x:c r="V284" s="30" t="str">
        <x:v>Pending dependency review</x:v>
      </x:c>
      <x:c r="W284" s="30" t="str">
        <x:v>نیازمند تکمیل و تأیید مالک</x:v>
      </x:c>
      <x:c r="X284" s="30" t="str">
        <x:v>نیازمند تکمیل و تأیید مالک</x:v>
      </x:c>
      <x:c r="Y284" s="30" t="str">
        <x:v>Data Scientist</x:v>
      </x:c>
      <x:c r="Z284" s="30" t="n">
        <x:v>15</x:v>
      </x:c>
      <x:c r="AA284" s="30" t="n">
        <x:v>283</x:v>
      </x:c>
      <x:c r="AB284" s="30" t="str">
        <x:v>حداقل ۲ استان تست/کنترل + گزارش iROAS اولیه</x:v>
      </x:c>
      <x:c r="AC284" s="30" t="str">
        <x:v>نیازمند تکمیل و تأیید مالک</x:v>
      </x:c>
      <x:c r="AD284" s="30" t="str">
        <x:v>نیازمند تکمیل و تأیید مالک</x:v>
      </x:c>
      <x:c r="AE284" s="30" t="str">
        <x:v>حداقل ۲ استان تست/کنترل + گزارش iROAS اولیه</x:v>
      </x:c>
      <x:c r="AF284" s="30" t="str"/>
      <x:c r="AG284" s="30" t="str"/>
      <x:c r="AH284" s="30" t="str"/>
    </x:row>
    <x:row r="285">
      <x:c r="A285" s="19" t="inlineStr">
        <x:is>
          <x:t xml:space="preserve">TK-284</x:t>
        </x:is>
      </x:c>
      <x:c r="B285" s="6" t="inlineStr">
        <x:is>
          <x:t xml:space="preserve">داشبورد سلامت داده، پایش SLA حاکمیت و آموزش/دست‌بندی</x:t>
        </x:is>
      </x:c>
      <x:c r="C285" s="6" t="inlineStr">
        <x:is>
          <x:t xml:space="preserve">Data Quality Dashboard, Governance SLA Monitor &amp; Handover</x:t>
        </x:is>
      </x:c>
      <x:c r="D285" s="6" t="inlineStr">
        <x:is>
          <x:t xml:space="preserve">Governance</x:t>
        </x:is>
      </x:c>
      <x:c r="E285" s="6" t="inlineStr">
        <x:is>
          <x:t xml:space="preserve">P-20</x:t>
        </x:is>
      </x:c>
      <x:c r="F285" s="19" t="inlineStr">
        <x:is>
          <x:t xml:space="preserve">W6</x:t>
        </x:is>
      </x:c>
      <x:c r="G285" s="6" t="inlineStr">
        <x:is>
          <x:t xml:space="preserve">S3</x:t>
        </x:is>
      </x:c>
      <x:c r="H285" s="19" t="inlineStr">
        <x:is>
          <x:t xml:space="preserve">Critical</x:t>
        </x:is>
      </x:c>
      <x:c r="I285" s="6" t="inlineStr">
        <x:is>
          <x:t xml:space="preserve">Senior Data Engineer</x:t>
        </x:is>
      </x:c>
      <x:c r="J285" s="19" t="n">
        <x:v>4</x:v>
      </x:c>
      <x:c r="K285" s="19" t="n">
        <x:v>4</x:v>
      </x:c>
      <x:c r="L285" s="18" t="n">
        <x:f>J285*2-K285</x:f>
        <x:v>4</x:v>
      </x:c>
      <x:c r="M285" s="6" t="inlineStr">
        <x:is>
          <x:t xml:space="preserve">TK-040, TK-039</x:t>
        </x:is>
      </x:c>
      <x:c r="N285" s="6" t="inlineStr">
        <x:is>
          <x:t xml:space="preserve">داشبورد DQ (تازگی/مغایرت/پوشش) + سندهای Runbook + آموزش تیم</x:t>
        </x:is>
      </x:c>
      <x:c r="O285" s="19" t="inlineStr">
        <x:is>
          <x:t xml:space="preserve">Proposed</x:t>
        </x:is>
      </x:c>
      <x:c r="P285" s="6" t="inlineStr">
        <x:is>
          <x:t xml:space="preserve">P-20</x:t>
        </x:is>
      </x:c>
      <x:c r="Q285" s="30" t="str">
        <x:v>TK-284</x:v>
      </x:c>
      <x:c r="R285" s="30" t="str"/>
      <x:c r="S285" s="30" t="str">
        <x:v>Governance</x:v>
      </x:c>
      <x:c r="T285" s="30" t="str">
        <x:v>P-20</x:v>
      </x:c>
      <x:c r="U285" s="30" t="str">
        <x:v>داشبورد سلامت داده، پایش SLA حاکمیت و آموزش/دست‌بندی</x:v>
      </x:c>
      <x:c r="V285" s="30" t="str">
        <x:v>Pending dependency review</x:v>
      </x:c>
      <x:c r="W285" s="30" t="str">
        <x:v>نیازمند تکمیل و تأیید مالک</x:v>
      </x:c>
      <x:c r="X285" s="30" t="str">
        <x:v>نیازمند تکمیل و تأیید مالک</x:v>
      </x:c>
      <x:c r="Y285" s="30" t="str">
        <x:v>Senior Data Engineer</x:v>
      </x:c>
      <x:c r="Z285" s="30" t="n">
        <x:v>15</x:v>
      </x:c>
      <x:c r="AA285" s="30" t="n">
        <x:v>284</x:v>
      </x:c>
      <x:c r="AB285" s="30" t="str">
        <x:v>داشبورد DQ (تازگی/مغایرت/پوشش) + سندهای Runbook + آموزش تیم</x:v>
      </x:c>
      <x:c r="AC285" s="30" t="str">
        <x:v>نیازمند تکمیل و تأیید مالک</x:v>
      </x:c>
      <x:c r="AD285" s="30" t="str">
        <x:v>نیازمند تکمیل و تأیید مالک</x:v>
      </x:c>
      <x:c r="AE285" s="30" t="str">
        <x:v>داشبورد DQ (تازگی/مغایرت/پوشش) + سندهای Runbook + آموزش تیم</x:v>
      </x:c>
      <x:c r="AF285" s="30" t="str"/>
      <x:c r="AG285" s="30" t="str"/>
      <x:c r="AH285" s="30" t="str"/>
    </x:row>
  </x:sheetData>
  <x:conditionalFormatting sqref="H2:H285">
    <x:cfRule type="cellIs" dxfId="0" priority="1" operator="equal">
      <x:formula>"Critical"</x:formula>
    </x:cfRule>
    <x:cfRule type="cellIs" dxfId="1" priority="2" operator="equal">
      <x:formula>"High"</x:formula>
    </x:cfRule>
    <x:cfRule type="cellIs" dxfId="2" priority="3" operator="equal">
      <x:formula>"Medium"</x:formula>
    </x:cfRule>
    <x:cfRule type="cellIs" dxfId="3" priority="4" operator="equal">
      <x:formula>"Low"</x:formula>
    </x:cfRule>
  </x:conditionalFormatting>
  <x:conditionalFormatting sqref="O2:O285">
    <x:cfRule type="cellIs" dxfId="0" priority="5" operator="equal">
      <x:formula>"Blocked"</x:formula>
    </x:cfRule>
    <x:cfRule type="cellIs" dxfId="4" priority="6" operator="equal">
      <x:formula>"In Progress"</x:formula>
    </x:cfRule>
    <x:cfRule type="cellIs" dxfId="3" priority="7" operator="equal">
      <x:formula>"Tested"</x:formula>
    </x:cfRule>
    <x:cfRule type="cellIs" dxfId="5" priority="8" operator="equal">
      <x:formula>"Ready"</x:formula>
    </x:cfRule>
    <x:cfRule type="cellIs" dxfId="6" priority="9" operator="equal">
      <x:formula>"Proposed"</x:formula>
    </x:cfRule>
  </x:conditionalFormatting>
  <x:dataValidations count="6">
    <x:dataValidation type="list" allowBlank="1" showDropDown="0" showInputMessage="0" showErrorMessage="1" errorTitle="مقدار نامعتبر" error="مقدار از لیست مجاز انتخاب شود" promptTitle="فهرست" prompt="از فهرست کشویی انتخاب کنید" sqref="F2:F285">
      <x:formula1>=_LISTS!$A$2:$A$8</x:formula1>
    </x:dataValidation>
    <x:dataValidation type="list" allowBlank="1" showDropDown="0" showInputMessage="0" showErrorMessage="1" errorTitle="مقدار نامعتبر" error="مقدار از لیست مجاز انتخاب شود" promptTitle="فهرست" prompt="از فهرست کشویی انتخاب کنید" sqref="H2:H285">
      <x:formula1>=_LISTS!$B$2:$B$5</x:formula1>
    </x:dataValidation>
    <x:dataValidation type="list" allowBlank="1" showDropDown="0" showInputMessage="0" showErrorMessage="1" errorTitle="مقدار نامعتبر" error="مقدار از لیست مجاز انتخاب شود" promptTitle="فهرست" prompt="از فهرست کشویی انتخاب کنید" sqref="G2:G285">
      <x:formula1>=_LISTS!$G$2:$G$4</x:formula1>
    </x:dataValidation>
    <x:dataValidation type="list" allowBlank="1" showDropDown="0" showInputMessage="0" showErrorMessage="1" errorTitle="مقدار نامعتبر" error="مقدار از لیست مجاز انتخاب شود" promptTitle="فهرست" prompt="از فهرست کشویی انتخاب کنید" sqref="I2:I285">
      <x:formula1>=_LISTS!$D$2:$D$16</x:formula1>
    </x:dataValidation>
    <x:dataValidation type="list" allowBlank="1" showDropDown="0" showInputMessage="0" showErrorMessage="1" errorTitle="مقدار نامعتبر" error="مقدار از لیست مجاز انتخاب شود" promptTitle="فهرست" prompt="از فهرست کشویی انتخاب کنید" sqref="D2:D285">
      <x:formula1>=_LISTS!$F$2:$F$21</x:formula1>
    </x:dataValidation>
    <x:dataValidation type="list" allowBlank="1" showDropDown="0" showInputMessage="0" showErrorMessage="1" errorTitle="مقدار نامعتبر" error="مقدار از لیست مجاز انتخاب شود" promptTitle="فهرست" prompt="از فهرست کشویی انتخاب کنید" sqref="O2:O285">
      <x:formula1>"Proposed,Ready,In Progress,Implemented,Tested,Blocked"</x:formula1>
    </x:dataValidation>
  </x:dataValidations>
  <x:pageMargins left="0.7" right="0.7" top="0.75" bottom="0.75" header="0.3" footer="0.3"/>
  <x:tableParts count="2">
    <x:tablePart xmlns:r="http://schemas.openxmlformats.org/officeDocument/2006/relationships" r:id="Rfd57af99d7ab4126"/>
    <x:tablePart xmlns:r="http://schemas.openxmlformats.org/officeDocument/2006/relationships" r:id="R1bf3919716014506"/>
  </x:tableParts>
</x:worksheet>
</file>

<file path=xl/worksheets/sheet3.xml><?xml version="1.0" encoding="utf-8"?>
<x:worksheet xmlns:x="http://schemas.openxmlformats.org/spreadsheetml/2006/main">
  <x:sheetPr>
    <x:tabColor rgb="FF1F4E78"/>
  </x:sheetPr>
  <x:sheetViews>
    <x:sheetView workbookViewId="0">
      <x:pane xSplit="2" ySplit="1" topLeftCell="C2" activePane="bottomRight" state="frozen"/>
    </x:sheetView>
  </x:sheetViews>
  <x:sheetFormatPr baseColWidth="8" defaultRowHeight="15"/>
  <x:cols>
    <x:col min="1" max="1" width="9" customWidth="1"/>
    <x:col min="2" max="2" width="22" customWidth="1"/>
    <x:col min="3" max="3" width="24" customWidth="1"/>
    <x:col min="4" max="4" width="14" customWidth="1"/>
    <x:col min="5" max="5" width="34" customWidth="1"/>
    <x:col min="6" max="6" width="26" customWidth="1"/>
    <x:col min="7" max="7" width="20" customWidth="1"/>
    <x:col min="8" max="8" width="20" customWidth="1"/>
    <x:col min="9" max="9" width="13" customWidth="1"/>
    <x:col min="10" max="10" width="22" customWidth="1"/>
    <x:col min="11" max="11" width="24" customWidth="1"/>
    <x:col min="12" max="12" width="16" customWidth="1"/>
    <x:col min="13" max="13" width="10" customWidth="1"/>
    <x:col min="14" max="14" width="20" customWidth="1"/>
    <x:col min="15" max="15" width="22" customWidth="1"/>
    <x:col min="16" max="16" width="16" customWidth="1"/>
    <x:col min="17" max="17" width="10" customWidth="1"/>
    <x:col min="18" max="18" width="10" customWidth="1"/>
    <x:col min="19" max="19" width="18" customWidth="1"/>
    <x:col min="20" max="20" width="26" customWidth="1"/>
    <x:col min="21" max="21" width="30" customWidth="1"/>
    <x:col min="22" max="22" width="22" customWidth="1"/>
    <x:col min="23" max="23" width="18" customWidth="1"/>
    <x:col min="24" max="24" width="30" customWidth="1"/>
  </x:cols>
  <x:sheetData>
    <x:row r="1" ht="30" customHeight="1">
      <x:c r="A1" s="5" t="inlineStr">
        <x:is>
          <x:t xml:space="preserve">Event_ID</x:t>
        </x:is>
      </x:c>
      <x:c r="B1" s="5" t="inlineStr">
        <x:is>
          <x:t xml:space="preserve">Event_Name_EN</x:t>
        </x:is>
      </x:c>
      <x:c r="C1" s="5" t="inlineStr">
        <x:is>
          <x:t xml:space="preserve">Event_Name_FA</x:t>
        </x:is>
      </x:c>
      <x:c r="D1" s="5" t="inlineStr">
        <x:is>
          <x:t xml:space="preserve">Funnel_Category</x:t>
        </x:is>
      </x:c>
      <x:c r="E1" s="5" t="inlineStr">
        <x:is>
          <x:t xml:space="preserve">Purpose_FA</x:t>
        </x:is>
      </x:c>
      <x:c r="F1" s="5" t="inlineStr">
        <x:is>
          <x:t xml:space="preserve">Trigger</x:t>
        </x:is>
      </x:c>
      <x:c r="G1" s="5" t="inlineStr">
        <x:is>
          <x:t xml:space="preserve">Platforms</x:t>
        </x:is>
      </x:c>
      <x:c r="H1" s="5" t="inlineStr">
        <x:is>
          <x:t xml:space="preserve">Collection_Layer</x:t>
        </x:is>
      </x:c>
      <x:c r="I1" s="5" t="inlineStr">
        <x:is>
          <x:t xml:space="preserve">Client_or_Server</x:t>
        </x:is>
      </x:c>
      <x:c r="J1" s="5" t="inlineStr">
        <x:is>
          <x:t xml:space="preserve">Source_System</x:t>
        </x:is>
      </x:c>
      <x:c r="K1" s="5" t="inlineStr">
        <x:is>
          <x:t xml:space="preserve">Destinations</x:t>
        </x:is>
      </x:c>
      <x:c r="L1" s="5" t="inlineStr">
        <x:is>
          <x:t xml:space="preserve">Conversion_Type</x:t>
        </x:is>
      </x:c>
      <x:c r="M1" s="5" t="inlineStr">
        <x:is>
          <x:t xml:space="preserve">Primary_Flag</x:t>
        </x:is>
      </x:c>
      <x:c r="N1" s="5" t="inlineStr">
        <x:is>
          <x:t xml:space="preserve">Dedup_Key</x:t>
        </x:is>
      </x:c>
      <x:c r="O1" s="5" t="inlineStr">
        <x:is>
          <x:t xml:space="preserve">Join_Keys</x:t>
        </x:is>
      </x:c>
      <x:c r="P1" s="5" t="inlineStr">
        <x:is>
          <x:t xml:space="preserve">Consent</x:t>
        </x:is>
      </x:c>
      <x:c r="Q1" s="5" t="inlineStr">
        <x:is>
          <x:t xml:space="preserve">PII_Risk</x:t>
        </x:is>
      </x:c>
      <x:c r="R1" s="5" t="inlineStr">
        <x:is>
          <x:t xml:space="preserve">Priority</x:t>
        </x:is>
      </x:c>
      <x:c r="S1" s="5" t="inlineStr">
        <x:is>
          <x:t xml:space="preserve">Owner</x:t>
        </x:is>
      </x:c>
      <x:c r="T1" s="5" t="inlineStr">
        <x:is>
          <x:t xml:space="preserve">Testing_Method</x:t>
        </x:is>
      </x:c>
      <x:c r="U1" s="5" t="inlineStr">
        <x:is>
          <x:t xml:space="preserve">Acceptance_Criteria</x:t>
        </x:is>
      </x:c>
      <x:c r="V1" s="5" t="inlineStr">
        <x:is>
          <x:t xml:space="preserve">Related_KPIs</x:t>
        </x:is>
      </x:c>
      <x:c r="W1" s="5" t="inlineStr">
        <x:is>
          <x:t xml:space="preserve">Related_Reports</x:t>
        </x:is>
      </x:c>
      <x:c r="X1" s="5" t="inlineStr">
        <x:is>
          <x:t xml:space="preserve">Notes</x:t>
        </x:is>
      </x:c>
    </x:row>
    <x:row r="2">
      <x:c r="A2" s="17" t="inlineStr">
        <x:is>
          <x:t xml:space="preserve">EVT-01</x:t>
        </x:is>
      </x:c>
      <x:c r="B2" s="4" t="inlineStr">
        <x:is>
          <x:t xml:space="preserve">page_view</x:t>
        </x:is>
      </x:c>
      <x:c r="C2" s="4" t="inlineStr">
        <x:is>
          <x:t xml:space="preserve">مشاهده صفحه وب‌سایت</x:t>
        </x:is>
      </x:c>
      <x:c r="D2" s="4" t="inlineStr">
        <x:is>
          <x:t xml:space="preserve">Top of Funnel</x:t>
        </x:is>
      </x:c>
      <x:c r="E2" s="4" t="inlineStr">
        <x:is>
          <x:t xml:space="preserve">اندازه‌گیری ترافیک وب‌سایت و شناسایی نقاط ورود</x:t>
        </x:is>
      </x:c>
      <x:c r="F2" s="4" t="inlineStr">
        <x:is>
          <x:t xml:space="preserve">بارگذاری کامل DOM صفحه</x:t>
        </x:is>
      </x:c>
      <x:c r="G2" s="4" t="inlineStr">
        <x:is>
          <x:t xml:space="preserve">GA4 / Meta CAPI / Google Ads</x:t>
        </x:is>
      </x:c>
      <x:c r="H2" s="4" t="inlineStr">
        <x:is>
          <x:t xml:space="preserve">dataLayer + Server-Side GTM</x:t>
        </x:is>
      </x:c>
      <x:c r="I2" s="4" t="inlineStr">
        <x:is>
          <x:t xml:space="preserve">Client + Server</x:t>
        </x:is>
      </x:c>
      <x:c r="J2" s="4" t="inlineStr">
        <x:is>
          <x:t xml:space="preserve">وب‌سایت تیتانا (dataLayer)</x:t>
        </x:is>
      </x:c>
      <x:c r="K2" s="4" t="inlineStr">
        <x:is>
          <x:t xml:space="preserve">GA4, BigQuery, Meta CAPI, Google Ads</x:t>
        </x:is>
      </x:c>
      <x:c r="L2" s="4" t="inlineStr">
        <x:is>
          <x:t xml:space="preserve">Traffic (none)</x:t>
        </x:is>
      </x:c>
      <x:c r="M2" s="4" t="inlineStr">
        <x:is>
          <x:t xml:space="preserve">Primary</x:t>
        </x:is>
      </x:c>
      <x:c r="N2" s="4" t="inlineStr">
        <x:is>
          <x:t xml:space="preserve">event_id + user_pseudo_id</x:t>
        </x:is>
      </x:c>
      <x:c r="O2" s="4" t="inlineStr">
        <x:is>
          <x:t xml:space="preserve">session_id, client_id</x:t>
        </x:is>
      </x:c>
      <x:c r="P2" s="4" t="inlineStr">
        <x:is>
          <x:t xml:space="preserve">خیر (تحلیل بدون هویت)</x:t>
        </x:is>
      </x:c>
      <x:c r="Q2" s="4" t="inlineStr">
        <x:is>
          <x:t xml:space="preserve">Low</x:t>
        </x:is>
      </x:c>
      <x:c r="R2" s="17" t="inlineStr">
        <x:is>
          <x:t xml:space="preserve">High</x:t>
        </x:is>
      </x:c>
      <x:c r="S2" s="4" t="inlineStr">
        <x:is>
          <x:t xml:space="preserve">مهندس وب/ردیابی</x:t>
        </x:is>
      </x:c>
      <x:c r="T2" s="4" t="inlineStr">
        <x:is>
          <x:t xml:space="preserve">GTM Preview + Tag Assistant + تطبیق با BigQuery</x:t>
        </x:is>
      </x:c>
      <x:c r="U2" s="4" t="inlineStr">
        <x:is>
          <x:t xml:space="preserve">تطابق ۱۰٪ رویدادها بین کلاینت و BigQuery بدون دوبار شمردن</x:t>
        </x:is>
      </x:c>
      <x:c r="V2" s="4" t="inlineStr">
        <x:is>
          <x:t xml:space="preserve">KPI-01,KPI-04,KPI-21,KPI-22,KPI-39</x:t>
        </x:is>
      </x:c>
      <x:c r="W2" s="4" t="inlineStr">
        <x:is>
          <x:t xml:space="preserve">REP-02,REP-10</x:t>
        </x:is>
      </x:c>
      <x:c r="X2" s="4" t="inlineStr">
        <x:is>
          <x:t xml:space="preserve">ایونت پیش‌فرض GA4؛ ابعاد سفارشی (device_category, utm_*) الزامی است</x:t>
        </x:is>
      </x:c>
    </x:row>
    <x:row r="3">
      <x:c r="A3" s="19" t="inlineStr">
        <x:is>
          <x:t xml:space="preserve">EVT-02</x:t>
        </x:is>
      </x:c>
      <x:c r="B3" s="6" t="inlineStr">
        <x:is>
          <x:t xml:space="preserve">view_item_list</x:t>
        </x:is>
      </x:c>
      <x:c r="C3" s="6" t="inlineStr">
        <x:is>
          <x:t xml:space="preserve">مشاهده لیست یا دسته‌بندی کالا</x:t>
        </x:is>
      </x:c>
      <x:c r="D3" s="6" t="inlineStr">
        <x:is>
          <x:t xml:space="preserve">Top/Middle of Funnel</x:t>
        </x:is>
      </x:c>
      <x:c r="E3" s="6" t="inlineStr">
        <x:is>
          <x:t xml:space="preserve">پایش جستجو و مقایسه کالا توسط کلینیک‌ها</x:t>
        </x:is>
      </x:c>
      <x:c r="F3" s="6" t="inlineStr">
        <x:is>
          <x:t xml:space="preserve">رندر لیست اقلام در صفحات آرشیو/دسته/نتیجه فیلتر</x:t>
        </x:is>
      </x:c>
      <x:c r="G3" s="6" t="inlineStr">
        <x:is>
          <x:t xml:space="preserve">GA4 / Meta CAPI</x:t>
        </x:is>
      </x:c>
      <x:c r="H3" s="6" t="inlineStr">
        <x:is>
          <x:t xml:space="preserve">dataLayer + Server-Side GTM</x:t>
        </x:is>
      </x:c>
      <x:c r="I3" s="6" t="inlineStr">
        <x:is>
          <x:t xml:space="preserve">Client + Server</x:t>
        </x:is>
      </x:c>
      <x:c r="J3" s="6" t="inlineStr">
        <x:is>
          <x:t xml:space="preserve">وب‌سایت (ماژول کاتالوگ)</x:t>
        </x:is>
      </x:c>
      <x:c r="K3" s="6" t="inlineStr">
        <x:is>
          <x:t xml:space="preserve">GA4, BigQuery, Meta CAPI (CustomizeViewContent)</x:t>
        </x:is>
      </x:c>
      <x:c r="L3" s="6" t="inlineStr">
        <x:is>
          <x:t xml:space="preserve">Engagement</x:t>
        </x:is>
      </x:c>
      <x:c r="M3" s="6" t="inlineStr">
        <x:is>
          <x:t xml:space="preserve">Secondary</x:t>
        </x:is>
      </x:c>
      <x:c r="N3" s="6" t="inlineStr">
        <x:is>
          <x:t xml:space="preserve">session_id + list_id + timestamp</x:t>
        </x:is>
      </x:c>
      <x:c r="O3" s="6" t="inlineStr">
        <x:is>
          <x:t xml:space="preserve">session_id, item_list_id</x:t>
        </x:is>
      </x:c>
      <x:c r="P3" s="6" t="inlineStr">
        <x:is>
          <x:t xml:space="preserve">خیر</x:t>
        </x:is>
      </x:c>
      <x:c r="Q3" s="6" t="inlineStr">
        <x:is>
          <x:t xml:space="preserve">Low</x:t>
        </x:is>
      </x:c>
      <x:c r="R3" s="19" t="inlineStr">
        <x:is>
          <x:t xml:space="preserve">Medium</x:t>
        </x:is>
      </x:c>
      <x:c r="S3" s="6" t="inlineStr">
        <x:is>
          <x:t xml:space="preserve">مهندس وب/ردیابی</x:t>
        </x:is>
      </x:c>
      <x:c r="T3" s="6" t="inlineStr">
        <x:is>
          <x:t xml:space="preserve">GTM Preview + بررسی آرایه items در BigQuery</x:t>
        </x:is>
      </x:c>
      <x:c r="U3" s="6" t="inlineStr">
        <x:is>
          <x:t xml:space="preserve">ارسال صحیح آرایه items حداکثر ۲۰ قلم با item_id/price</x:t>
        </x:is>
      </x:c>
      <x:c r="V3" s="6" t="inlineStr">
        <x:is>
          <x:t xml:space="preserve">KPI-15,REP</x:t>
        </x:is>
      </x:c>
      <x:c r="W3" s="6" t="inlineStr">
        <x:is>
          <x:t xml:space="preserve">REP-13</x:t>
        </x:is>
      </x:c>
      <x:c r="X3" s="6" t="inlineStr">
        <x:is>
          <x:t xml:space="preserve">مبنای تحلیل Impression محصولات</x:t>
        </x:is>
      </x:c>
    </x:row>
    <x:row r="4">
      <x:c r="A4" s="17" t="inlineStr">
        <x:is>
          <x:t xml:space="preserve">EVT-03</x:t>
        </x:is>
      </x:c>
      <x:c r="B4" s="4" t="inlineStr">
        <x:is>
          <x:t xml:space="preserve">select_item</x:t>
        </x:is>
      </x:c>
      <x:c r="C4" s="4" t="inlineStr">
        <x:is>
          <x:t xml:space="preserve">کلیک روی کارت محصول در لیست</x:t>
        </x:is>
      </x:c>
      <x:c r="D4" s="4" t="inlineStr">
        <x:is>
          <x:t xml:space="preserve">Middle of Funnel</x:t>
        </x:is>
      </x:c>
      <x:c r="E4" s="4" t="inlineStr">
        <x:is>
          <x:t xml:space="preserve">سنجش تعامل با کاتالوگ و رتبه‌بندی جستجو</x:t>
        </x:is>
      </x:c>
      <x:c r="F4" s="4" t="inlineStr">
        <x:is>
          <x:t xml:space="preserve">کلیک روی کارت محصول در دسته/سرچ/خانه</x:t>
        </x:is>
      </x:c>
      <x:c r="G4" s="4" t="inlineStr">
        <x:is>
          <x:t xml:space="preserve">GA4 / Meta CAPI</x:t>
        </x:is>
      </x:c>
      <x:c r="H4" s="4" t="inlineStr">
        <x:is>
          <x:t xml:space="preserve">dataLayer + Server-Side GTM</x:t>
        </x:is>
      </x:c>
      <x:c r="I4" s="4" t="inlineStr">
        <x:is>
          <x:t xml:space="preserve">Client + Server</x:t>
        </x:is>
      </x:c>
      <x:c r="J4" s="4" t="inlineStr">
        <x:is>
          <x:t xml:space="preserve">وب‌سایت (کارت محصول)</x:t>
        </x:is>
      </x:c>
      <x:c r="K4" s="4" t="inlineStr">
        <x:is>
          <x:t xml:space="preserve">GA4, BigQuery, Meta CAPI (SelectContent)</x:t>
        </x:is>
      </x:c>
      <x:c r="L4" s="4" t="inlineStr">
        <x:is>
          <x:t xml:space="preserve">Engagement</x:t>
        </x:is>
      </x:c>
      <x:c r="M4" s="4" t="inlineStr">
        <x:is>
          <x:t xml:space="preserve">Secondary</x:t>
        </x:is>
      </x:c>
      <x:c r="N4" s="4" t="inlineStr">
        <x:is>
          <x:t xml:space="preserve">event_id لحظه کلیک</x:t>
        </x:is>
      </x:c>
      <x:c r="O4" s="4" t="inlineStr">
        <x:is>
          <x:t xml:space="preserve">session_id, item_id</x:t>
        </x:is>
      </x:c>
      <x:c r="P4" s="4" t="inlineStr">
        <x:is>
          <x:t xml:space="preserve">خیر</x:t>
        </x:is>
      </x:c>
      <x:c r="Q4" s="4" t="inlineStr">
        <x:is>
          <x:t xml:space="preserve">Low</x:t>
        </x:is>
      </x:c>
      <x:c r="R4" s="17" t="inlineStr">
        <x:is>
          <x:t xml:space="preserve">Medium</x:t>
        </x:is>
      </x:c>
      <x:c r="S4" s="4" t="inlineStr">
        <x:is>
          <x:t xml:space="preserve">مهندس وب/ردیابی</x:t>
        </x:is>
      </x:c>
      <x:c r="T4" s="4" t="inlineStr">
        <x:is>
          <x:t xml:space="preserve">GTM Preview + بررسی در BigQuery</x:t>
        </x:is>
      </x:c>
      <x:c r="U4" s="4" t="inlineStr">
        <x:is>
          <x:t xml:space="preserve">ثبت item_list_id و آرایه تک‌کالایی صحیح</x:t>
        </x:is>
      </x:c>
      <x:c r="V4" s="4" t="inlineStr">
        <x:is>
          <x:t xml:space="preserve">KPI-24</x:t>
        </x:is>
      </x:c>
      <x:c r="W4" s="4" t="inlineStr">
        <x:is>
          <x:t xml:space="preserve">REP-13</x:t>
        </x:is>
      </x:c>
      <x:c r="X4" s="4" t="inlineStr">
        <x:is>
          <x:t xml:space="preserve">خروجی به الگوریتم رتبه‌بندی سرچ</x:t>
        </x:is>
      </x:c>
    </x:row>
    <x:row r="5">
      <x:c r="A5" s="19" t="inlineStr">
        <x:is>
          <x:t xml:space="preserve">EVT-04</x:t>
        </x:is>
      </x:c>
      <x:c r="B5" s="6" t="inlineStr">
        <x:is>
          <x:t xml:space="preserve">view_item</x:t>
        </x:is>
      </x:c>
      <x:c r="C5" s="6" t="inlineStr">
        <x:is>
          <x:t xml:space="preserve">مشاهده صفحه جزئیات کالا (PDP)</x:t>
        </x:is>
      </x:c>
      <x:c r="D5" s="6" t="inlineStr">
        <x:is>
          <x:t xml:space="preserve">Middle of Funnel</x:t>
        </x:is>
      </x:c>
      <x:c r="E5" s="6" t="inlineStr">
        <x:is>
          <x:t xml:space="preserve">سنجش علاقه‌مندی و بررسی فنی کالا</x:t>
        </x:is>
      </x:c>
      <x:c r="F5" s="6" t="inlineStr">
        <x:is>
          <x:t xml:space="preserve">بارگذاری کامل صفحه اختصاصی محصول</x:t>
        </x:is>
      </x:c>
      <x:c r="G5" s="6" t="inlineStr">
        <x:is>
          <x:t xml:space="preserve">GA4 / Meta CAPI</x:t>
        </x:is>
      </x:c>
      <x:c r="H5" s="6" t="inlineStr">
        <x:is>
          <x:t xml:space="preserve">dataLayer + Server-Side GTM</x:t>
        </x:is>
      </x:c>
      <x:c r="I5" s="6" t="inlineStr">
        <x:is>
          <x:t xml:space="preserve">Client + Server</x:t>
        </x:is>
      </x:c>
      <x:c r="J5" s="6" t="inlineStr">
        <x:is>
          <x:t xml:space="preserve">وب‌سایت (PDP)</x:t>
        </x:is>
      </x:c>
      <x:c r="K5" s="6" t="inlineStr">
        <x:is>
          <x:t xml:space="preserve">GA4, BigQuery, Meta CAPI (ViewContent)</x:t>
        </x:is>
      </x:c>
      <x:c r="L5" s="6" t="inlineStr">
        <x:is>
          <x:t xml:space="preserve">Engagement</x:t>
        </x:is>
      </x:c>
      <x:c r="M5" s="6" t="inlineStr">
        <x:is>
          <x:t xml:space="preserve">Primary</x:t>
        </x:is>
      </x:c>
      <x:c r="N5" s="6" t="inlineStr">
        <x:is>
          <x:t xml:space="preserve">event_id + کاتالوگ آی‌دی کالا</x:t>
        </x:is>
      </x:c>
      <x:c r="O5" s="6" t="inlineStr">
        <x:is>
          <x:t xml:space="preserve">session_id, item_id</x:t>
        </x:is>
      </x:c>
      <x:c r="P5" s="6" t="inlineStr">
        <x:is>
          <x:t xml:space="preserve">خیر</x:t>
        </x:is>
      </x:c>
      <x:c r="Q5" s="6" t="inlineStr">
        <x:is>
          <x:t xml:space="preserve">Low</x:t>
        </x:is>
      </x:c>
      <x:c r="R5" s="19" t="inlineStr">
        <x:is>
          <x:t xml:space="preserve">High</x:t>
        </x:is>
      </x:c>
      <x:c r="S5" s="6" t="inlineStr">
        <x:is>
          <x:t xml:space="preserve">مهندس وب/ردیابی</x:t>
        </x:is>
      </x:c>
      <x:c r="T5" s="6" t="inlineStr">
        <x:is>
          <x:t xml:space="preserve">GTM Preview + تطبیق قیمت با کاتالوگ</x:t>
        </x:is>
      </x:c>
      <x:c r="U5" s="6" t="inlineStr">
        <x:is>
          <x:t xml:space="preserve">ارسال currency/value و items با item_brand و item_category</x:t>
        </x:is>
      </x:c>
      <x:c r="V5" s="6" t="inlineStr">
        <x:is>
          <x:t xml:space="preserve">KPI-24,KPI-31</x:t>
        </x:is>
      </x:c>
      <x:c r="W5" s="6" t="inlineStr">
        <x:is>
          <x:t xml:space="preserve">REP-10,REP-11,REP-13</x:t>
        </x:is>
      </x:c>
      <x:c r="X5" s="6" t="inlineStr">
        <x:is>
          <x:t xml:space="preserve">تطبیق بلادرنگ قیمت با انبار برای Dynamic Product Ads</x:t>
        </x:is>
      </x:c>
    </x:row>
    <x:row r="6">
      <x:c r="A6" s="17" t="inlineStr">
        <x:is>
          <x:t xml:space="preserve">EVT-05</x:t>
        </x:is>
      </x:c>
      <x:c r="B6" s="4" t="inlineStr">
        <x:is>
          <x:t xml:space="preserve">download_spec_sheet</x:t>
        </x:is>
      </x:c>
      <x:c r="C6" s="4" t="inlineStr">
        <x:is>
          <x:t xml:space="preserve">دانلود کاتالوگ و دیتاشیت فنی کالا</x:t>
        </x:is>
      </x:c>
      <x:c r="D6" s="4" t="inlineStr">
        <x:is>
          <x:t xml:space="preserve">High Intent (B2B)</x:t>
        </x:is>
      </x:c>
      <x:c r="E6" s="4" t="inlineStr">
        <x:is>
          <x:t xml:space="preserve">سیگنال بررسی فنی کلینیکال و افزایش امتیاز لید</x:t>
        </x:is>
      </x:c>
      <x:c r="F6" s="4" t="inlineStr">
        <x:is>
          <x:t xml:space="preserve">کلیک روی دکمه دانلود بروشور/MSDS/راهنما</x:t>
        </x:is>
      </x:c>
      <x:c r="G6" s="4" t="inlineStr">
        <x:is>
          <x:t xml:space="preserve">GA4 / Meta CAPI (Lead)</x:t>
        </x:is>
      </x:c>
      <x:c r="H6" s="4" t="inlineStr">
        <x:is>
          <x:t xml:space="preserve">dataLayer + Server-Side GTM</x:t>
        </x:is>
      </x:c>
      <x:c r="I6" s="4" t="inlineStr">
        <x:is>
          <x:t xml:space="preserve">Client + Server</x:t>
        </x:is>
      </x:c>
      <x:c r="J6" s="4" t="inlineStr">
        <x:is>
          <x:t xml:space="preserve">وب‌سایت (دکمه دانلود)</x:t>
        </x:is>
      </x:c>
      <x:c r="K6" s="4" t="inlineStr">
        <x:is>
          <x:t xml:space="preserve">GA4, BigQuery, Meta CAPI, CRM (Lead Scoring +15)</x:t>
        </x:is>
      </x:c>
      <x:c r="L6" s="4" t="inlineStr">
        <x:is>
          <x:t xml:space="preserve">Secondary Signal</x:t>
        </x:is>
      </x:c>
      <x:c r="M6" s="4" t="inlineStr">
        <x:is>
          <x:t xml:space="preserve">Secondary</x:t>
        </x:is>
      </x:c>
      <x:c r="N6" s="4" t="inlineStr">
        <x:is>
          <x:t xml:space="preserve">کاربر-فایل (جلوگیری از دانلود تکراری)</x:t>
        </x:is>
      </x:c>
      <x:c r="O6" s="4" t="inlineStr">
        <x:is>
          <x:t xml:space="preserve">user_id, item_id</x:t>
        </x:is>
      </x:c>
      <x:c r="P6" s="4" t="inlineStr">
        <x:is>
          <x:t xml:space="preserve">خیر</x:t>
        </x:is>
      </x:c>
      <x:c r="Q6" s="4" t="inlineStr">
        <x:is>
          <x:t xml:space="preserve">Low</x:t>
        </x:is>
      </x:c>
      <x:c r="R6" s="17" t="inlineStr">
        <x:is>
          <x:t xml:space="preserve">High</x:t>
        </x:is>
      </x:c>
      <x:c r="S6" s="4" t="inlineStr">
        <x:is>
          <x:t xml:space="preserve">مهندس وب/ردیابی</x:t>
        </x:is>
      </x:c>
      <x:c r="T6" s="4" t="inlineStr">
        <x:is>
          <x:t xml:space="preserve">تست دانلود واقعی + بررسی سیگنال CRM</x:t>
        </x:is>
      </x:c>
      <x:c r="U6" s="4" t="inlineStr">
        <x:is>
          <x:t xml:space="preserve">افزایش امتیاز لید +15 در CRM بلافاصله پس از دانلود</x:t>
        </x:is>
      </x:c>
      <x:c r="V6" s="4" t="inlineStr">
        <x:is>
          <x:t xml:space="preserve">KPI-15,KPI-16</x:t>
        </x:is>
      </x:c>
      <x:c r="W6" s="4" t="inlineStr">
        <x:is>
          <x:t xml:space="preserve">REP-16</x:t>
        </x:is>
      </x:c>
      <x:c r="X6" s="4" t="inlineStr">
        <x:is>
          <x:t xml:space="preserve">سیگنال مستقیم به CRM برای Lead Scoring</x:t>
        </x:is>
      </x:c>
    </x:row>
    <x:row r="7">
      <x:c r="A7" s="19" t="inlineStr">
        <x:is>
          <x:t xml:space="preserve">EVT-06</x:t>
        </x:is>
      </x:c>
      <x:c r="B7" s="6" t="inlineStr">
        <x:is>
          <x:t xml:space="preserve">add_to_wishlist</x:t>
        </x:is>
      </x:c>
      <x:c r="C7" s="6" t="inlineStr">
        <x:is>
          <x:t xml:space="preserve">افزودن به لیست علاقه‌مندی‌ها</x:t>
        </x:is>
      </x:c>
      <x:c r="D7" s="6" t="inlineStr">
        <x:is>
          <x:t xml:space="preserve">Middle of Funnel</x:t>
        </x:is>
      </x:c>
      <x:c r="E7" s="6" t="inlineStr">
        <x:is>
          <x:t xml:space="preserve">شناسایی تمایل به خرید آتی و ارسال آلارم جشنواره</x:t>
        </x:is>
      </x:c>
      <x:c r="F7" s="6" t="inlineStr">
        <x:is>
          <x:t xml:space="preserve">کلیک آیکون بوکمارک/لیست خواسته‌های مطب</x:t>
        </x:is>
      </x:c>
      <x:c r="G7" s="6" t="inlineStr">
        <x:is>
          <x:t xml:space="preserve">GA4 / Meta CAPI</x:t>
        </x:is>
      </x:c>
      <x:c r="H7" s="6" t="inlineStr">
        <x:is>
          <x:t xml:space="preserve">dataLayer + Server-Side GTM</x:t>
        </x:is>
      </x:c>
      <x:c r="I7" s="6" t="inlineStr">
        <x:is>
          <x:t xml:space="preserve">Client + Server</x:t>
        </x:is>
      </x:c>
      <x:c r="J7" s="6" t="inlineStr">
        <x:is>
          <x:t xml:space="preserve">وب‌سایت (پنل کاربری)</x:t>
        </x:is>
      </x:c>
      <x:c r="K7" s="6" t="inlineStr">
        <x:is>
          <x:t xml:space="preserve">GA4, BigQuery, Meta CAPI (AddToWishlist)</x:t>
        </x:is>
      </x:c>
      <x:c r="L7" s="6" t="inlineStr">
        <x:is>
          <x:t xml:space="preserve">Engagement</x:t>
        </x:is>
      </x:c>
      <x:c r="M7" s="6" t="inlineStr">
        <x:is>
          <x:t xml:space="preserve">Secondary</x:t>
        </x:is>
      </x:c>
      <x:c r="N7" s="6" t="inlineStr">
        <x:is>
          <x:t xml:space="preserve">event_id + item_id + user_id</x:t>
        </x:is>
      </x:c>
      <x:c r="O7" s="6" t="inlineStr">
        <x:is>
          <x:t xml:space="preserve">user_id, item_id</x:t>
        </x:is>
      </x:c>
      <x:c r="P7" s="6" t="inlineStr">
        <x:is>
          <x:t xml:space="preserve">بلی (کاربر واردشده)</x:t>
        </x:is>
      </x:c>
      <x:c r="Q7" s="6" t="inlineStr">
        <x:is>
          <x:t xml:space="preserve">Low</x:t>
        </x:is>
      </x:c>
      <x:c r="R7" s="19" t="inlineStr">
        <x:is>
          <x:t xml:space="preserve">Medium</x:t>
        </x:is>
      </x:c>
      <x:c r="S7" s="6" t="inlineStr">
        <x:is>
          <x:t xml:space="preserve">مهندس وب/ردیابی</x:t>
        </x:is>
      </x:c>
      <x:c r="T7" s="6" t="inlineStr">
        <x:is>
          <x:t xml:space="preserve">GTM Preview + بررسی در BigQuery</x:t>
        </x:is>
      </x:c>
      <x:c r="U7" s="6" t="inlineStr">
        <x:is>
          <x:t xml:space="preserve">ارسال currency/value و items</x:t>
        </x:is>
      </x:c>
      <x:c r="V7" s="6" t="inlineStr">
        <x:is>
          <x:t xml:space="preserve">KPI-24</x:t>
        </x:is>
      </x:c>
      <x:c r="W7" s="6" t="inlineStr">
        <x:is>
          <x:t xml:space="preserve">REP-11</x:t>
        </x:is>
      </x:c>
      <x:c r="X7" s="6" t="inlineStr">
        <x:is>
          <x:t xml:space="preserve">ورودی کمپین‌های آلارم افت قیمت و جشنواره</x:t>
        </x:is>
      </x:c>
    </x:row>
    <x:row r="8">
      <x:c r="A8" s="17" t="inlineStr">
        <x:is>
          <x:t xml:space="preserve">EVT-07</x:t>
        </x:is>
      </x:c>
      <x:c r="B8" s="4" t="inlineStr">
        <x:is>
          <x:t xml:space="preserve">add_to_cart</x:t>
        </x:is>
      </x:c>
      <x:c r="C8" s="4" t="inlineStr">
        <x:is>
          <x:t xml:space="preserve">افزودن به سبد خرید</x:t>
        </x:is>
      </x:c>
      <x:c r="D8" s="4" t="inlineStr">
        <x:is>
          <x:t xml:space="preserve">Bottom of Funnel</x:t>
        </x:is>
      </x:c>
      <x:c r="E8" s="4" t="inlineStr">
        <x:is>
          <x:t xml:space="preserve">سنجش قصد خرید تجاری</x:t>
        </x:is>
      </x:c>
      <x:c r="F8" s="4" t="inlineStr">
        <x:is>
          <x:t xml:space="preserve">کلیک دکمه «افزودن به سفارش مطب»</x:t>
        </x:is>
      </x:c>
      <x:c r="G8" s="4" t="inlineStr">
        <x:is>
          <x:t xml:space="preserve">GA4 / Meta CAPI</x:t>
        </x:is>
      </x:c>
      <x:c r="H8" s="4" t="inlineStr">
        <x:is>
          <x:t xml:space="preserve">dataLayer + Server-Side GTM</x:t>
        </x:is>
      </x:c>
      <x:c r="I8" s="4" t="inlineStr">
        <x:is>
          <x:t xml:space="preserve">Client + Server</x:t>
        </x:is>
      </x:c>
      <x:c r="J8" s="4" t="inlineStr">
        <x:is>
          <x:t xml:space="preserve">وب‌سایت (PDP/پاپ‌آپ)</x:t>
        </x:is>
      </x:c>
      <x:c r="K8" s="4" t="inlineStr">
        <x:is>
          <x:t xml:space="preserve">GA4, BigQuery, Meta CAPI (AddToCart)</x:t>
        </x:is>
      </x:c>
      <x:c r="L8" s="4" t="inlineStr">
        <x:is>
          <x:t xml:space="preserve">Funnel Step</x:t>
        </x:is>
      </x:c>
      <x:c r="M8" s="4" t="inlineStr">
        <x:is>
          <x:t xml:space="preserve">Primary</x:t>
        </x:is>
      </x:c>
      <x:c r="N8" s="4" t="inlineStr">
        <x:is>
          <x:t xml:space="preserve">session_id + item_id + hash(clicke_time)</x:t>
        </x:is>
      </x:c>
      <x:c r="O8" s="4" t="inlineStr">
        <x:is>
          <x:t xml:space="preserve">session_id, item_id</x:t>
        </x:is>
      </x:c>
      <x:c r="P8" s="4" t="inlineStr">
        <x:is>
          <x:t xml:space="preserve">خیر</x:t>
        </x:is>
      </x:c>
      <x:c r="Q8" s="4" t="inlineStr">
        <x:is>
          <x:t xml:space="preserve">Low</x:t>
        </x:is>
      </x:c>
      <x:c r="R8" s="17" t="inlineStr">
        <x:is>
          <x:t xml:space="preserve">Critical</x:t>
        </x:is>
      </x:c>
      <x:c r="S8" s="4" t="inlineStr">
        <x:is>
          <x:t xml:space="preserve">مهندس وب/ردیابی</x:t>
        </x:is>
      </x:c>
      <x:c r="T8" s="4" t="inlineStr">
        <x:is>
          <x:t xml:space="preserve">GTM Preview + تطبیق با لاگ بک‌اند</x:t>
        </x:is>
      </x:c>
      <x:c r="U8" s="4" t="inlineStr">
        <x:is>
          <x:t xml:space="preserve">ارسال currency/value/items با quantity</x:t>
        </x:is>
      </x:c>
      <x:c r="V8" s="4" t="inlineStr">
        <x:is>
          <x:t xml:space="preserve">KPI-24,KPI-25,KPI-26</x:t>
        </x:is>
      </x:c>
      <x:c r="W8" s="4" t="inlineStr">
        <x:is>
          <x:t xml:space="preserve">REP-11</x:t>
        </x:is>
      </x:c>
      <x:c r="X8" s="4" t="inlineStr">
        <x:is>
          <x:t xml:space="preserve">مبنای کمپین‌های ریتارگتینگ سبد رهاشده</x:t>
        </x:is>
      </x:c>
    </x:row>
    <x:row r="9">
      <x:c r="A9" s="19" t="inlineStr">
        <x:is>
          <x:t xml:space="preserve">EVT-08</x:t>
        </x:is>
      </x:c>
      <x:c r="B9" s="6" t="inlineStr">
        <x:is>
          <x:t xml:space="preserve">remove_from_cart</x:t>
        </x:is>
      </x:c>
      <x:c r="C9" s="6" t="inlineStr">
        <x:is>
          <x:t xml:space="preserve">حذف کالا از سبد خرید</x:t>
        </x:is>
      </x:c>
      <x:c r="D9" s="6" t="inlineStr">
        <x:is>
          <x:t xml:space="preserve">Bottom of Funnel</x:t>
        </x:is>
      </x:c>
      <x:c r="E9" s="6" t="inlineStr">
        <x:is>
          <x:t xml:space="preserve">تحلیل تغییر قصد خرید و کشش قیمت</x:t>
        </x:is>
      </x:c>
      <x:c r="F9" s="6" t="inlineStr">
        <x:is>
          <x:t xml:space="preserve">کلیک حذف سطر یا صفرکردن تعداد</x:t>
        </x:is>
      </x:c>
      <x:c r="G9" s="6" t="inlineStr">
        <x:is>
          <x:t xml:space="preserve">GA4 / Meta CAPI</x:t>
        </x:is>
      </x:c>
      <x:c r="H9" s="6" t="inlineStr">
        <x:is>
          <x:t xml:space="preserve">dataLayer + Server-Side GTM</x:t>
        </x:is>
      </x:c>
      <x:c r="I9" s="6" t="inlineStr">
        <x:is>
          <x:t xml:space="preserve">Client + Server</x:t>
        </x:is>
      </x:c>
      <x:c r="J9" s="6" t="inlineStr">
        <x:is>
          <x:t xml:space="preserve">وب‌سایت (سبد خرید)</x:t>
        </x:is>
      </x:c>
      <x:c r="K9" s="6" t="inlineStr">
        <x:is>
          <x:t xml:space="preserve">GA4, BigQuery, Meta CAPI (CustomEvent)</x:t>
        </x:is>
      </x:c>
      <x:c r="L9" s="6" t="inlineStr">
        <x:is>
          <x:t xml:space="preserve">Funnel Step</x:t>
        </x:is>
      </x:c>
      <x:c r="M9" s="6" t="inlineStr">
        <x:is>
          <x:t xml:space="preserve">Secondary</x:t>
        </x:is>
      </x:c>
      <x:c r="N9" s="6" t="inlineStr">
        <x:is>
          <x:t xml:space="preserve">event_id رخداد حذف</x:t>
        </x:is>
      </x:c>
      <x:c r="O9" s="6" t="inlineStr">
        <x:is>
          <x:t xml:space="preserve">session_id, item_id</x:t>
        </x:is>
      </x:c>
      <x:c r="P9" s="6" t="inlineStr">
        <x:is>
          <x:t xml:space="preserve">خیر</x:t>
        </x:is>
      </x:c>
      <x:c r="Q9" s="6" t="inlineStr">
        <x:is>
          <x:t xml:space="preserve">Low</x:t>
        </x:is>
      </x:c>
      <x:c r="R9" s="19" t="inlineStr">
        <x:is>
          <x:t xml:space="preserve">Low</x:t>
        </x:is>
      </x:c>
      <x:c r="S9" s="6" t="inlineStr">
        <x:is>
          <x:t xml:space="preserve">مهندس وب/ردیابی</x:t>
        </x:is>
      </x:c>
      <x:c r="T9" s="6" t="inlineStr">
        <x:is>
          <x:t xml:space="preserve">GTM Preview</x:t>
        </x:is>
      </x:c>
      <x:c r="U9" s="6" t="inlineStr">
        <x:is>
          <x:t xml:space="preserve">ثبت removal_reason در صورت در دسترس بودن</x:t>
        </x:is>
      </x:c>
      <x:c r="V9" s="6" t="inlineStr">
        <x:is>
          <x:t xml:space="preserve">KPI-25</x:t>
        </x:is>
      </x:c>
      <x:c r="W9" s="6" t="inlineStr">
        <x:is>
          <x:t xml:space="preserve">REP-11</x:t>
        </x:is>
      </x:c>
      <x:c r="X9" s="6" t="inlineStr">
        <x:is>
          <x:t xml:space="preserve">تحلیل دلایل انصراف در انبار داده</x:t>
        </x:is>
      </x:c>
    </x:row>
    <x:row r="10">
      <x:c r="A10" s="17" t="inlineStr">
        <x:is>
          <x:t xml:space="preserve">EVT-09</x:t>
        </x:is>
      </x:c>
      <x:c r="B10" s="4" t="inlineStr">
        <x:is>
          <x:t xml:space="preserve">view_cart</x:t>
        </x:is>
      </x:c>
      <x:c r="C10" s="4" t="inlineStr">
        <x:is>
          <x:t xml:space="preserve">مشاهده سبد خرید</x:t>
        </x:is>
      </x:c>
      <x:c r="D10" s="4" t="inlineStr">
        <x:is>
          <x:t xml:space="preserve">Bottom of Funnel</x:t>
        </x:is>
      </x:c>
      <x:c r="E10" s="4" t="inlineStr">
        <x:is>
          <x:t xml:space="preserve">بررسی نهایی اقلام و محاسبه ارزش فاکتور</x:t>
        </x:is>
      </x:c>
      <x:c r="F10" s="4" t="inlineStr">
        <x:is>
          <x:t xml:space="preserve">ورود به صفحه سبد/فاکتور اولیه</x:t>
        </x:is>
      </x:c>
      <x:c r="G10" s="4" t="inlineStr">
        <x:is>
          <x:t xml:space="preserve">GA4 / Meta CAPI</x:t>
        </x:is>
      </x:c>
      <x:c r="H10" s="4" t="inlineStr">
        <x:is>
          <x:t xml:space="preserve">dataLayer + Server-Side GTM</x:t>
        </x:is>
      </x:c>
      <x:c r="I10" s="4" t="inlineStr">
        <x:is>
          <x:t xml:space="preserve">Client + Server</x:t>
        </x:is>
      </x:c>
      <x:c r="J10" s="4" t="inlineStr">
        <x:is>
          <x:t xml:space="preserve">وب‌سایت (سبد خرید)</x:t>
        </x:is>
      </x:c>
      <x:c r="K10" s="4" t="inlineStr">
        <x:is>
          <x:t xml:space="preserve">GA4, BigQuery, Meta CAPI (CustomEvent)</x:t>
        </x:is>
      </x:c>
      <x:c r="L10" s="4" t="inlineStr">
        <x:is>
          <x:t xml:space="preserve">Funnel Step</x:t>
        </x:is>
      </x:c>
      <x:c r="M10" s="4" t="inlineStr">
        <x:is>
          <x:t xml:space="preserve">Secondary</x:t>
        </x:is>
      </x:c>
      <x:c r="N10" s="4" t="inlineStr">
        <x:is>
          <x:t xml:space="preserve">event_id + زمان ورود به سبد</x:t>
        </x:is>
      </x:c>
      <x:c r="O10" s="4" t="inlineStr">
        <x:is>
          <x:t xml:space="preserve">session_id</x:t>
        </x:is>
      </x:c>
      <x:c r="P10" s="4" t="inlineStr">
        <x:is>
          <x:t xml:space="preserve">خیر</x:t>
        </x:is>
      </x:c>
      <x:c r="Q10" s="4" t="inlineStr">
        <x:is>
          <x:t xml:space="preserve">Low</x:t>
        </x:is>
      </x:c>
      <x:c r="R10" s="17" t="inlineStr">
        <x:is>
          <x:t xml:space="preserve">Medium</x:t>
        </x:is>
      </x:c>
      <x:c r="S10" s="4" t="inlineStr">
        <x:is>
          <x:t xml:space="preserve">مهندس وب/ردیابی</x:t>
        </x:is>
      </x:c>
      <x:c r="T10" s="4" t="inlineStr">
        <x:is>
          <x:t xml:space="preserve">GTM Preview</x:t>
        </x:is>
      </x:c>
      <x:c r="U10" s="4" t="inlineStr">
        <x:is>
          <x:t xml:space="preserve">ارسال currency/value و بررسی موجودی اقلام</x:t>
        </x:is>
      </x:c>
      <x:c r="V10" s="4" t="inlineStr">
        <x:is>
          <x:t xml:space="preserve">KPI-25,KPI-26</x:t>
        </x:is>
      </x:c>
      <x:c r="W10" s="4" t="inlineStr">
        <x:is>
          <x:t xml:space="preserve">REP-11</x:t>
        </x:is>
      </x:c>
      <x:c r="X10" s="4" t="inlineStr">
        <x:is>
          <x:t xml:space="preserve">محاسبه ارزش کل پیش از تخفیف</x:t>
        </x:is>
      </x:c>
    </x:row>
    <x:row r="11">
      <x:c r="A11" s="19" t="inlineStr">
        <x:is>
          <x:t xml:space="preserve">EVT-10</x:t>
        </x:is>
      </x:c>
      <x:c r="B11" s="6" t="inlineStr">
        <x:is>
          <x:t xml:space="preserve">begin_checkout</x:t>
        </x:is>
      </x:c>
      <x:c r="C11" s="6" t="inlineStr">
        <x:is>
          <x:t xml:space="preserve">آغاز فرایند تسویه‌حساب</x:t>
        </x:is>
      </x:c>
      <x:c r="D11" s="6" t="inlineStr">
        <x:is>
          <x:t xml:space="preserve">Checkout Stage 1</x:t>
        </x:is>
      </x:c>
      <x:c r="E11" s="6" t="inlineStr">
        <x:is>
          <x:t xml:space="preserve">پایش پیشروی قیف قطعی</x:t>
        </x:is>
      </x:c>
      <x:c r="F11" s="6" t="inlineStr">
        <x:is>
          <x:t xml:space="preserve">کلیک «تکمیل خرید و ثبت نهایی سفارش»</x:t>
        </x:is>
      </x:c>
      <x:c r="G11" s="6" t="inlineStr">
        <x:is>
          <x:t xml:space="preserve">GA4 / Meta CAPI</x:t>
        </x:is>
      </x:c>
      <x:c r="H11" s="6" t="inlineStr">
        <x:is>
          <x:t xml:space="preserve">dataLayer + Server-Side GTM</x:t>
        </x:is>
      </x:c>
      <x:c r="I11" s="6" t="inlineStr">
        <x:is>
          <x:t xml:space="preserve">Client + Server</x:t>
        </x:is>
      </x:c>
      <x:c r="J11" s="6" t="inlineStr">
        <x:is>
          <x:t xml:space="preserve">وب‌سایت (چک‌اوت)</x:t>
        </x:is>
      </x:c>
      <x:c r="K11" s="6" t="inlineStr">
        <x:is>
          <x:t xml:space="preserve">GA4, BigQuery, Meta CAPI (InitiateCheckout)</x:t>
        </x:is>
      </x:c>
      <x:c r="L11" s="6" t="inlineStr">
        <x:is>
          <x:t xml:space="preserve">Funnel Step</x:t>
        </x:is>
      </x:c>
      <x:c r="M11" s="6" t="inlineStr">
        <x:is>
          <x:t xml:space="preserve">Primary</x:t>
        </x:is>
      </x:c>
      <x:c r="N11" s="6" t="inlineStr">
        <x:is>
          <x:t xml:space="preserve">chk_{user_id}_{timestamp}</x:t>
        </x:is>
      </x:c>
      <x:c r="O11" s="6" t="inlineStr">
        <x:is>
          <x:t xml:space="preserve">session_id, user_id</x:t>
        </x:is>
      </x:c>
      <x:c r="P11" s="6" t="inlineStr">
        <x:is>
          <x:t xml:space="preserve">خیر</x:t>
        </x:is>
      </x:c>
      <x:c r="Q11" s="6" t="inlineStr">
        <x:is>
          <x:t xml:space="preserve">Low</x:t>
        </x:is>
      </x:c>
      <x:c r="R11" s="19" t="inlineStr">
        <x:is>
          <x:t xml:space="preserve">High</x:t>
        </x:is>
      </x:c>
      <x:c r="S11" s="6" t="inlineStr">
        <x:is>
          <x:t xml:space="preserve">مهندس وب/ردیابی</x:t>
        </x:is>
      </x:c>
      <x:c r="T11" s="6" t="inlineStr">
        <x:is>
          <x:t xml:space="preserve">GTM Preview + تست چندباره (بدون دوبار ارسال)</x:t>
        </x:is>
      </x:c>
      <x:c r="U11" s="6" t="inlineStr">
        <x:is>
          <x:t xml:space="preserve">اعتبارسنجی احراز هویت و بدهی معوق در سرور</x:t>
        </x:is>
      </x:c>
      <x:c r="V11" s="6" t="inlineStr">
        <x:is>
          <x:t xml:space="preserve">KPI-26,KPI-27</x:t>
        </x:is>
      </x:c>
      <x:c r="W11" s="6" t="inlineStr">
        <x:is>
          <x:t xml:space="preserve">REP-11</x:t>
        </x:is>
      </x:c>
      <x:c r="X11" s="6" t="inlineStr">
        <x:is>
          <x:t xml:space="preserve">پیش‌نیاز P-10 بازطراحی چک‌اوت</x:t>
        </x:is>
      </x:c>
    </x:row>
    <x:row r="12">
      <x:c r="A12" s="17" t="inlineStr">
        <x:is>
          <x:t xml:space="preserve">EVT-11</x:t>
        </x:is>
      </x:c>
      <x:c r="B12" s="4" t="inlineStr">
        <x:is>
          <x:t xml:space="preserve">add_shipping_info</x:t>
        </x:is>
      </x:c>
      <x:c r="C12" s="4" t="inlineStr">
        <x:is>
          <x:t xml:space="preserve">ثبت اطلاعات آدرس و نحوه ارسال</x:t>
        </x:is>
      </x:c>
      <x:c r="D12" s="4" t="inlineStr">
        <x:is>
          <x:t xml:space="preserve">Checkout Stage 2</x:t>
        </x:is>
      </x:c>
      <x:c r="E12" s="4" t="inlineStr">
        <x:is>
          <x:t xml:space="preserve">محاسبه هزینه لجستیک تجهیزات سنگین</x:t>
        </x:is>
      </x:c>
      <x:c r="F12" s="4" t="inlineStr">
        <x:is>
          <x:t xml:space="preserve">تایید آدرس مطب/کلینیک و انتخاب تحویل</x:t>
        </x:is>
      </x:c>
      <x:c r="G12" s="4" t="inlineStr">
        <x:is>
          <x:t xml:space="preserve">GA4 / Meta CAPI</x:t>
        </x:is>
      </x:c>
      <x:c r="H12" s="4" t="inlineStr">
        <x:is>
          <x:t xml:space="preserve">dataLayer + Server-Side GTM</x:t>
        </x:is>
      </x:c>
      <x:c r="I12" s="4" t="inlineStr">
        <x:is>
          <x:t xml:space="preserve">Client + Server</x:t>
        </x:is>
      </x:c>
      <x:c r="J12" s="4" t="inlineStr">
        <x:is>
          <x:t xml:space="preserve">وب‌سایت (چک‌اوت)</x:t>
        </x:is>
      </x:c>
      <x:c r="K12" s="4" t="inlineStr">
        <x:is>
          <x:t xml:space="preserve">GA4, BigQuery, Meta CAPI (CustomEvent)</x:t>
        </x:is>
      </x:c>
      <x:c r="L12" s="4" t="inlineStr">
        <x:is>
          <x:t xml:space="preserve">Funnel Step</x:t>
        </x:is>
      </x:c>
      <x:c r="M12" s="4" t="inlineStr">
        <x:is>
          <x:t xml:space="preserve">Secondary</x:t>
        </x:is>
      </x:c>
      <x:c r="N12" s="4" t="inlineStr">
        <x:is>
          <x:t xml:space="preserve">event_id مرحله آدرس</x:t>
        </x:is>
      </x:c>
      <x:c r="O12" s="4" t="inlineStr">
        <x:is>
          <x:t xml:space="preserve">session_id, city</x:t>
        </x:is>
      </x:c>
      <x:c r="P12" s="4" t="inlineStr">
        <x:is>
          <x:t xml:space="preserve">خیر</x:t>
        </x:is>
      </x:c>
      <x:c r="Q12" s="4" t="inlineStr">
        <x:is>
          <x:t xml:space="preserve">Low</x:t>
        </x:is>
      </x:c>
      <x:c r="R12" s="17" t="inlineStr">
        <x:is>
          <x:t xml:space="preserve">Medium</x:t>
        </x:is>
      </x:c>
      <x:c r="S12" s="4" t="inlineStr">
        <x:is>
          <x:t xml:space="preserve">مهندس وب/ردیابی</x:t>
        </x:is>
      </x:c>
      <x:c r="T12" s="4" t="inlineStr">
        <x:is>
          <x:t xml:space="preserve">GTM Preview + بررسی postal_codeFirst5 ماسک</x:t>
        </x:is>
      </x:c>
      <x:c r="U12" s="4" t="inlineStr">
        <x:is>
          <x:t xml:space="preserve">ثبت shipping_tier استاندارد</x:t>
        </x:is>
      </x:c>
      <x:c r="V12" s="4" t="inlineStr">
        <x:is>
          <x:t xml:space="preserve">KPI-27</x:t>
        </x:is>
      </x:c>
      <x:c r="W12" s="4" t="inlineStr">
        <x:is>
          <x:t xml:space="preserve">REP-11</x:t>
        </x:is>
      </x:c>
      <x:c r="X12" s="4" t="inlineStr">
        <x:is>
          <x:t xml:space="preserve"> postal_code_first_5 — ارسال فقط ۵ رقم اول برای کاهش PII</x:t>
        </x:is>
      </x:c>
    </x:row>
    <x:row r="13">
      <x:c r="A13" s="19" t="inlineStr">
        <x:is>
          <x:t xml:space="preserve">EVT-12</x:t>
        </x:is>
      </x:c>
      <x:c r="B13" s="6" t="inlineStr">
        <x:is>
          <x:t xml:space="preserve">add_payment_info</x:t>
        </x:is>
      </x:c>
      <x:c r="C13" s="6" t="inlineStr">
        <x:is>
          <x:t xml:space="preserve">انتخاب شیوه پرداخت و خزانه‌داری</x:t>
        </x:is>
      </x:c>
      <x:c r="D13" s="6" t="inlineStr">
        <x:is>
          <x:t xml:space="preserve">Checkout Stage 3</x:t>
        </x:is>
      </x:c>
      <x:c r="E13" s="6" t="inlineStr">
        <x:is>
          <x:t xml:space="preserve">تحلیل شیوه‌های پرداخت (نقدی/چکی/اقساطی)</x:t>
        </x:is>
      </x:c>
      <x:c r="F13" s="6" t="inlineStr">
        <x:is>
          <x:t xml:space="preserve">انتخاب درگاه/چک/حواله</x:t>
        </x:is>
      </x:c>
      <x:c r="G13" s="6" t="inlineStr">
        <x:is>
          <x:t xml:space="preserve">GA4 / Meta CAPI</x:t>
        </x:is>
      </x:c>
      <x:c r="H13" s="6" t="inlineStr">
        <x:is>
          <x:t xml:space="preserve">dataLayer + Server-Side GTM</x:t>
        </x:is>
      </x:c>
      <x:c r="I13" s="6" t="inlineStr">
        <x:is>
          <x:t xml:space="preserve">Client + Server</x:t>
        </x:is>
      </x:c>
      <x:c r="J13" s="6" t="inlineStr">
        <x:is>
          <x:t xml:space="preserve">وب‌سایت (چک‌اوت)</x:t>
        </x:is>
      </x:c>
      <x:c r="K13" s="6" t="inlineStr">
        <x:is>
          <x:t xml:space="preserve">GA4, BigQuery, Meta CAPI (AddPaymentInfo)</x:t>
        </x:is>
      </x:c>
      <x:c r="L13" s="6" t="inlineStr">
        <x:is>
          <x:t xml:space="preserve">Funnel Step</x:t>
        </x:is>
      </x:c>
      <x:c r="M13" s="6" t="inlineStr">
        <x:is>
          <x:t xml:space="preserve">Secondary</x:t>
        </x:is>
      </x:c>
      <x:c r="N13" s="6" t="inlineStr">
        <x:is>
          <x:t xml:space="preserve">event_id مرحله پرداخت</x:t>
        </x:is>
      </x:c>
      <x:c r="O13" s="6" t="inlineStr">
        <x:is>
          <x:t xml:space="preserve">session_id</x:t>
        </x:is>
      </x:c>
      <x:c r="P13" s="6" t="inlineStr">
        <x:is>
          <x:t xml:space="preserve">خیر</x:t>
        </x:is>
      </x:c>
      <x:c r="Q13" s="6" t="inlineStr">
        <x:is>
          <x:t xml:space="preserve">Low</x:t>
        </x:is>
      </x:c>
      <x:c r="R13" s="19" t="inlineStr">
        <x:is>
          <x:t xml:space="preserve">Medium</x:t>
        </x:is>
      </x:c>
      <x:c r="S13" s="6" t="inlineStr">
        <x:is>
          <x:t xml:space="preserve">مهندس وب/ردیابی</x:t>
        </x:is>
      </x:c>
      <x:c r="T13" s="6" t="inlineStr">
        <x:is>
          <x:t xml:space="preserve">GTM Preview + بررسی سقف اعتبار در سرور</x:t>
        </x:is>
      </x:c>
      <x:c r="U13" s="6" t="inlineStr">
        <x:is>
          <x:t xml:space="preserve">ثبت payment_type و installment_months</x:t>
        </x:is>
      </x:c>
      <x:c r="V13" s="6" t="inlineStr">
        <x:is>
          <x:t xml:space="preserve">KPI-27,KPI-30</x:t>
        </x:is>
      </x:c>
      <x:c r="W13" s="6" t="inlineStr">
        <x:is>
          <x:t xml:space="preserve">REP-11,REP-12</x:t>
        </x:is>
      </x:c>
      <x:c r="X13" s="6" t="inlineStr">
        <x:is>
          <x:t xml:space="preserve">بررسی سقف اعتبار مالیاتی قبل از گیت‌وی</x:t>
        </x:is>
      </x:c>
    </x:row>
    <x:row r="14">
      <x:c r="A14" s="17" t="inlineStr">
        <x:is>
          <x:t xml:space="preserve">EVT-13</x:t>
        </x:is>
      </x:c>
      <x:c r="B14" s="4" t="inlineStr">
        <x:is>
          <x:t xml:space="preserve">purchase</x:t>
        </x:is>
      </x:c>
      <x:c r="C14" s="4" t="inlineStr">
        <x:is>
          <x:t xml:space="preserve">ثبت قطعی خرید و صدور فاکتور</x:t>
        </x:is>
      </x:c>
      <x:c r="D14" s="4" t="inlineStr">
        <x:is>
          <x:t xml:space="preserve">Conversion</x:t>
        </x:is>
      </x:c>
      <x:c r="E14" s="4" t="inlineStr">
        <x:is>
          <x:t xml:space="preserve">ثبت تبدیل قطعی و درآمد؛ هسته محاسبات ROAS/POAS</x:t>
        </x:is>
      </x:c>
      <x:c r="F14" s="4" t="inlineStr">
        <x:is>
          <x:t xml:space="preserve">پاسخ موفق شاپرک یا تایید حسابداری چک/حواله</x:t>
        </x:is>
      </x:c>
      <x:c r="G14" s="4" t="inlineStr">
        <x:is>
          <x:t xml:space="preserve">GA4 MP / Meta CAPI (Server) / Google Ads</x:t>
        </x:is>
      </x:c>
      <x:c r="H14" s="4" t="inlineStr">
        <x:is>
          <x:t xml:space="preserve">Server-Side GTM از بک‌اند مالی</x:t>
        </x:is>
      </x:c>
      <x:c r="I14" s="4" t="inlineStr">
        <x:is>
          <x:t xml:space="preserve">Server (مختصر)</x:t>
        </x:is>
      </x:c>
      <x:c r="J14" s="4" t="inlineStr">
        <x:is>
          <x:t xml:space="preserve">بک‌اند مالی تیتانا</x:t>
        </x:is>
      </x:c>
      <x:c r="K14" s="4" t="inlineStr">
        <x:is>
          <x:t xml:space="preserve">GA4 (MP), Meta CAPI, Google Ads, BigQuery</x:t>
        </x:is>
      </x:c>
      <x:c r="L14" s="4" t="inlineStr">
        <x:is>
          <x:t xml:space="preserve">Conversion (Primary)</x:t>
        </x:is>
      </x:c>
      <x:c r="M14" s="4" t="inlineStr">
        <x:is>
          <x:t xml:space="preserve">Primary</x:t>
        </x:is>
      </x:c>
      <x:c r="N14" s="4" t="inlineStr">
        <x:is>
          <x:t xml:space="preserve">transaction_id پایدار در دیتابیس مالی</x:t>
        </x:is>
      </x:c>
      <x:c r="O14" s="4" t="inlineStr">
        <x:is>
          <x:t xml:space="preserve">transaction_id, master_customer_id</x:t>
        </x:is>
      </x:c>
      <x:c r="P14" s="4" t="inlineStr">
        <x:is>
          <x:t xml:space="preserve">بلی (داده‌های هش‌شده)</x:t>
        </x:is>
      </x:c>
      <x:c r="Q14" s="4" t="inlineStr">
        <x:is>
          <x:t xml:space="preserve">High (Hashed)</x:t>
        </x:is>
      </x:c>
      <x:c r="R14" s="17" t="inlineStr">
        <x:is>
          <x:t xml:space="preserve">Critical</x:t>
        </x:is>
      </x:c>
      <x:c r="S14" s="4" t="inlineStr">
        <x:is>
          <x:t xml:space="preserve">مهندس داده/ردیابی</x:t>
        </x:is>
      </x:c>
      <x:c r="T14" s="4" t="inlineStr">
        <x:is>
          <x:t xml:space="preserve">تست خرید واقعی + تطبیق ۳-طرفه (شاپرک/CAPI/GA4)</x:t>
        </x:is>
      </x:c>
      <x:c r="U14" s="4" t="inlineStr">
        <x:is>
          <x:t xml:space="preserve">تطبیق ریالی ۱۰۰٪ value با فاکتور؛ دوبار ثبت صفر</x:t>
        </x:is>
      </x:c>
      <x:c r="V14" s="4" t="inlineStr">
        <x:is>
          <x:t xml:space="preserve">KPI-33,KPI-34,KPI-35,KPI-36,KPI-37,KPI-38,KPI-39,KPI-40,KPI-41,KPI-44,KPI-45,KPI-47</x:t>
        </x:is>
      </x:c>
      <x:c r="W14" s="4" t="inlineStr">
        <x:is>
          <x:t xml:space="preserve">REP-12,REP-33,REP-46</x:t>
        </x:is>
      </x:c>
      <x:c r="X14" s="4" t="inlineStr">
        <x:is>
          <x:t xml:space="preserve">ارسال مستقیم از بک‌اند مالی؛ user_data فقط هش‌شده (ph/external_id)</x:t>
        </x:is>
      </x:c>
    </x:row>
    <x:row r="15">
      <x:c r="A15" s="19" t="inlineStr">
        <x:is>
          <x:t xml:space="preserve">EVT-14</x:t>
        </x:is>
      </x:c>
      <x:c r="B15" s="6" t="inlineStr">
        <x:is>
          <x:t xml:space="preserve">refund</x:t>
        </x:is>
      </x:c>
      <x:c r="C15" s="6" t="inlineStr">
        <x:is>
          <x:t xml:space="preserve">مرجوعی کالا یا عودت وجه فاکتور</x:t>
        </x:is>
      </x:c>
      <x:c r="D15" s="6" t="inlineStr">
        <x:is>
          <x:t xml:space="preserve">Post-Purchase Reversal</x:t>
        </x:is>
      </x:c>
      <x:c r="E15" s="6" t="inlineStr">
        <x:is>
          <x:t xml:space="preserve">اصلاح درآمد و تنظیم الگوریتم tROAS</x:t>
        </x:is>
      </x:c>
      <x:c r="F15" s="6" t="inlineStr">
        <x:is>
          <x:t xml:space="preserve">تایید قبض مرجوعی در انبار + صدور سند عودت وجه</x:t>
        </x:is>
      </x:c>
      <x:c r="G15" s="6" t="inlineStr">
        <x:is>
          <x:t xml:space="preserve">GA4 MP / Meta CAPI (Server)</x:t>
        </x:is>
      </x:c>
      <x:c r="H15" s="6" t="inlineStr">
        <x:is>
          <x:t xml:space="preserve">وب‌هوک سیستم حسابداری به Server GTM</x:t>
        </x:is>
      </x:c>
      <x:c r="I15" s="6" t="inlineStr">
        <x:is>
          <x:t xml:space="preserve">Server (مختصر)</x:t>
        </x:is>
      </x:c>
      <x:c r="J15" s="6" t="inlineStr">
        <x:is>
          <x:t xml:space="preserve">سیستم حسابداری/خدمات پس از فروش</x:t>
        </x:is>
      </x:c>
      <x:c r="K15" s="6" t="inlineStr">
        <x:is>
          <x:t xml:space="preserve">GA4 (MP), Meta CAPI (OrderRefunded), BigQuery</x:t>
        </x:is>
      </x:c>
      <x:c r="L15" s="6" t="inlineStr">
        <x:is>
          <x:t xml:space="preserve">Reversal</x:t>
        </x:is>
      </x:c>
      <x:c r="M15" s="6" t="inlineStr">
        <x:is>
          <x:t xml:space="preserve">Primary</x:t>
        </x:is>
      </x:c>
      <x:c r="N15" s="6" t="inlineStr">
        <x:is>
          <x:t xml:space="preserve">refund_id + transaction_id</x:t>
        </x:is>
      </x:c>
      <x:c r="O15" s="6" t="inlineStr">
        <x:is>
          <x:t xml:space="preserve">transaction_id, refund_id</x:t>
        </x:is>
      </x:c>
      <x:c r="P15" s="6" t="inlineStr">
        <x:is>
          <x:t xml:space="preserve">بلی (داده‌های هش‌شده)</x:t>
        </x:is>
      </x:c>
      <x:c r="Q15" s="6" t="inlineStr">
        <x:is>
          <x:t xml:space="preserve">High (Hashed)</x:t>
        </x:is>
      </x:c>
      <x:c r="R15" s="19" t="inlineStr">
        <x:is>
          <x:t xml:space="preserve">Critical</x:t>
        </x:is>
      </x:c>
      <x:c r="S15" s="6" t="inlineStr">
        <x:is>
          <x:t xml:space="preserve">مهندس داده/ردیابی</x:t>
        </x:is>
      </x:c>
      <x:c r="T15" s="6" t="inlineStr">
        <x:is>
          <x:t xml:space="preserve">تست مرجوعی واقعی + تطبیق با سند حسابداری</x:t>
        </x:is>
      </x:c>
      <x:c r="U15" s="6" t="inlineStr">
        <x:is>
          <x:t xml:space="preserve">کسر دقیق از Net Revenue؛ ثبت refund_type (full/partial)</x:t>
        </x:is>
      </x:c>
      <x:c r="V15" s="6" t="inlineStr">
        <x:is>
          <x:t xml:space="preserve">KPI-34,KPI-41,KPI-44</x:t>
        </x:is>
      </x:c>
      <x:c r="W15" s="6" t="inlineStr">
        <x:is>
          <x:t xml:space="preserve">REP-12,REP-13,REP-43</x:t>
        </x:is>
      </x:c>
      <x:c r="X15" s="6" t="inlineStr">
        <x:is>
          <x:t xml:space="preserve">SLA: ثبت مرجوعی حداکثر ۲۴ ساعت پس از تحویل (قرارداد WMS)</x:t>
        </x:is>
      </x:c>
    </x:row>
    <x:row r="16">
      <x:c r="A16" s="17" t="inlineStr">
        <x:is>
          <x:t xml:space="preserve">EVT-15</x:t>
        </x:is>
      </x:c>
      <x:c r="B16" s="4" t="inlineStr">
        <x:is>
          <x:t xml:space="preserve">repeat_purchase</x:t>
        </x:is>
      </x:c>
      <x:c r="C16" s="4" t="inlineStr">
        <x:is>
          <x:t xml:space="preserve">خرید مجدد دندان‌پزشک در چرخه وفاداری</x:t>
        </x:is>
      </x:c>
      <x:c r="D16" s="4" t="inlineStr">
        <x:is>
          <x:t xml:space="preserve">Retention &amp; Expansion</x:t>
        </x:is>
      </x:c>
      <x:c r="E16" s="4" t="inlineStr">
        <x:is>
          <x:t xml:space="preserve">اندازه‌گیری وفاداری و تغذیه مدل CLV</x:t>
        </x:is>
      </x:c>
      <x:c r="F16" s="4" t="inlineStr">
        <x:is>
          <x:t xml:space="preserve">تکمیل دومین/چندمین سفارش قطعی با master_customer_id</x:t>
        </x:is>
      </x:c>
      <x:c r="G16" s="4" t="inlineStr">
        <x:is>
          <x:t xml:space="preserve">GA4 / Meta CAPI (Server)</x:t>
        </x:is>
      </x:c>
      <x:c r="H16" s="4" t="inlineStr">
        <x:is>
          <x:t xml:space="preserve">Server-Side از بک‌اند فروش</x:t>
        </x:is>
      </x:c>
      <x:c r="I16" s="4" t="inlineStr">
        <x:is>
          <x:t xml:space="preserve">Server</x:t>
        </x:is>
      </x:c>
      <x:c r="J16" s="4" t="inlineStr">
        <x:is>
          <x:t xml:space="preserve">بک‌اند فروش/CRM</x:t>
        </x:is>
      </x:c>
      <x:c r="K16" s="4" t="inlineStr">
        <x:is>
          <x:t xml:space="preserve">GA4, Meta CAPI (RepeatPurchase), BigQuery</x:t>
        </x:is>
      </x:c>
      <x:c r="L16" s="4" t="inlineStr">
        <x:is>
          <x:t xml:space="preserve">Conversion (Secondary)</x:t>
        </x:is>
      </x:c>
      <x:c r="M16" s="4" t="inlineStr">
        <x:is>
          <x:t xml:space="preserve">Secondary</x:t>
        </x:is>
      </x:c>
      <x:c r="N16" s="4" t="inlineStr">
        <x:is>
          <x:t xml:space="preserve">transaction_id + شمارنده خرید مشتری</x:t>
        </x:is>
      </x:c>
      <x:c r="O16" s="4" t="inlineStr">
        <x:is>
          <x:t xml:space="preserve">master_customer_id, transaction_id</x:t>
        </x:is>
      </x:c>
      <x:c r="P16" s="4" t="inlineStr">
        <x:is>
          <x:t xml:space="preserve">بلی</x:t>
        </x:is>
      </x:c>
      <x:c r="Q16" s="4" t="inlineStr">
        <x:is>
          <x:t xml:space="preserve">High (Hashed)</x:t>
        </x:is>
      </x:c>
      <x:c r="R16" s="17" t="inlineStr">
        <x:is>
          <x:t xml:space="preserve">Critical</x:t>
        </x:is>
      </x:c>
      <x:c r="S16" s="4" t="inlineStr">
        <x:is>
          <x:t xml:space="preserve">مهندس داده/ردیابی</x:t>
        </x:is>
      </x:c>
      <x:c r="T16" s="4" t="inlineStr">
        <x:is>
          <x:t xml:space="preserve">تست خرید دوم واقعی + بررسی purchase_sequence_number</x:t>
        </x:is>
      </x:c>
      <x:c r="U16" s="4" t="inlineStr">
        <x:is>
          <x:t xml:space="preserve">به‌روزرسانی Order Interval Days و CLV در دیتابیس</x:t>
        </x:is>
      </x:c>
      <x:c r="V16" s="4" t="inlineStr">
        <x:is>
          <x:t xml:space="preserve">KPI-53,KPI-57,KPI-73</x:t>
        </x:is>
      </x:c>
      <x:c r="W16" s="4" t="inlineStr">
        <x:is>
          <x:t xml:space="preserve">REP-20,REP-21,REP-22</x:t>
        </x:is>
      </x:c>
      <x:c r="X16" s="4" t="inlineStr">
        <x:is>
          <x:t xml:space="preserve">برچسب Customer Lifetime Stage در GA4</x:t>
        </x:is>
      </x:c>
    </x:row>
    <x:row r="17">
      <x:c r="A17" s="19" t="inlineStr">
        <x:is>
          <x:t xml:space="preserve">EVT-16</x:t>
        </x:is>
      </x:c>
      <x:c r="B17" s="6" t="inlineStr">
        <x:is>
          <x:t xml:space="preserve">generate_lead</x:t>
        </x:is>
      </x:c>
      <x:c r="C17" s="6" t="inlineStr">
        <x:is>
          <x:t xml:space="preserve">ثبت لید و فرم تماس اولیه</x:t>
        </x:is>
      </x:c>
      <x:c r="D17" s="6" t="inlineStr">
        <x:is>
          <x:t xml:space="preserve">Lead Acquisition</x:t>
        </x:is>
      </x:c>
      <x:c r="E17" s="6" t="inlineStr">
        <x:is>
          <x:t xml:space="preserve">جذب سرنخ تجاری B2B</x:t>
        </x:is>
      </x:c>
      <x:c r="F17" s="6" t="inlineStr">
        <x:is>
          <x:t xml:space="preserve">ارسال موفق فرم مشاوره/تماس در سایت</x:t>
        </x:is>
      </x:c>
      <x:c r="G17" s="6" t="inlineStr">
        <x:is>
          <x:t xml:space="preserve">GA4 / Meta CAPI (Lead) / CRM</x:t>
        </x:is>
      </x:c>
      <x:c r="H17" s="6" t="inlineStr">
        <x:is>
          <x:t xml:space="preserve">dataLayer + Server-Side GTM + Webhook</x:t>
        </x:is>
      </x:c>
      <x:c r="I17" s="6" t="inlineStr">
        <x:is>
          <x:t xml:space="preserve">Client + Server</x:t>
        </x:is>
      </x:c>
      <x:c r="J17" s="6" t="inlineStr">
        <x:is>
          <x:t xml:space="preserve">فرم‌های وب‌سایت / Meta Instant Forms</x:t>
        </x:is>
      </x:c>
      <x:c r="K17" s="6" t="inlineStr">
        <x:is>
          <x:t xml:space="preserve">GA4, Meta CAPI, CRM (Webhook), BigQuery</x:t>
        </x:is>
      </x:c>
      <x:c r="L17" s="6" t="inlineStr">
        <x:is>
          <x:t xml:space="preserve">Conversion (Lead)</x:t>
        </x:is>
      </x:c>
      <x:c r="M17" s="6" t="inlineStr">
        <x:is>
          <x:t xml:space="preserve">Primary</x:t>
        </x:is>
      </x:c>
      <x:c r="N17" s="6" t="inlineStr">
        <x:is>
          <x:t xml:space="preserve">hashed_phone + بازه ۲۴ ساعته</x:t>
        </x:is>
      </x:c>
      <x:c r="O17" s="6" t="inlineStr">
        <x:is>
          <x:t xml:space="preserve">lead_id, session_id</x:t>
        </x:is>
      </x:c>
      <x:c r="P17" s="6" t="inlineStr">
        <x:is>
          <x:t xml:space="preserve">بلی (درخواست اطلاعات تماس)</x:t>
        </x:is>
      </x:c>
      <x:c r="Q17" s="6" t="inlineStr">
        <x:is>
          <x:t xml:space="preserve">High (Hashed)</x:t>
        </x:is>
      </x:c>
      <x:c r="R17" s="19" t="inlineStr">
        <x:is>
          <x:t xml:space="preserve">Critical</x:t>
        </x:is>
      </x:c>
      <x:c r="S17" s="6" t="inlineStr">
        <x:is>
          <x:t xml:space="preserve">مهندس داده/ردیابی + CRM</x:t>
        </x:is>
      </x:c>
      <x:c r="T17" s="6" t="inlineStr">
        <x:is>
          <x:t xml:space="preserve">تست فرم + بررسی وظیفه تماس در CRM (&lt;۱۵ دقیقه)</x:t>
        </x:is>
      </x:c>
      <x:c r="U17" s="6" t="inlineStr">
        <x:is>
          <x:t xml:space="preserve">ایجاد وظیفه تماس خودکار در CRM و ارسال ph هش‌شده</x:t>
        </x:is>
      </x:c>
      <x:c r="V17" s="6" t="inlineStr">
        <x:is>
          <x:t xml:space="preserve">KPI-15,KPI-16,KPI-17,KPI-19,KPI-28</x:t>
        </x:is>
      </x:c>
      <x:c r="W17" s="6" t="inlineStr">
        <x:is>
          <x:t xml:space="preserve">REP-16,REP-44</x:t>
        </x:is>
      </x:c>
      <x:c r="X17" s="6" t="inlineStr">
        <x:is>
          <x:t xml:space="preserve">lead_type استاندارد: consultation_request / demo_request / inquiry</x:t>
        </x:is>
      </x:c>
    </x:row>
    <x:row r="18">
      <x:c r="A18" s="17" t="inlineStr">
        <x:is>
          <x:t xml:space="preserve">EVT-17</x:t>
        </x:is>
      </x:c>
      <x:c r="B18" s="4" t="inlineStr">
        <x:is>
          <x:t xml:space="preserve">submit_clinic_inquiry</x:t>
        </x:is>
      </x:c>
      <x:c r="C18" s="4" t="inlineStr">
        <x:is>
          <x:t xml:space="preserve">استعلام رسمی قیمت و پیش‌فاکتور کلینیک</x:t>
        </x:is>
      </x:c>
      <x:c r="D18" s="4" t="inlineStr">
        <x:is>
          <x:t xml:space="preserve">MQL to SQL</x:t>
        </x:is>
      </x:c>
      <x:c r="E18" s="4" t="inlineStr">
        <x:is>
          <x:t xml:space="preserve">اعتبارسنجی سرنخ و استعلام عمده B2B</x:t>
        </x:is>
      </x:c>
      <x:c r="F18" s="4" t="inlineStr">
        <x:is>
          <x:t xml:space="preserve">ارسال فرم استعلام عمده/مناقصات درمانگاهی</x:t>
        </x:is>
      </x:c>
      <x:c r="G18" s="4" t="inlineStr">
        <x:is>
          <x:t xml:space="preserve">GA4 / Meta CAPI (Lead: B2B_HighTicket_Inquiry)</x:t>
        </x:is>
      </x:c>
      <x:c r="H18" s="4" t="inlineStr">
        <x:is>
          <x:t xml:space="preserve">dataLayer + Server-Side GTM + CRM</x:t>
        </x:is>
      </x:c>
      <x:c r="I18" s="4" t="inlineStr">
        <x:is>
          <x:t xml:space="preserve">Client + Server</x:t>
        </x:is>
      </x:c>
      <x:c r="J18" s="4" t="inlineStr">
        <x:is>
          <x:t xml:space="preserve">فرم استعلام وب‌سایت</x:t>
        </x:is>
      </x:c>
      <x:c r="K18" s="4" t="inlineStr">
        <x:is>
          <x:t xml:space="preserve">GA4, Meta CAPI, CRM, BigQuery</x:t>
        </x:is>
      </x:c>
      <x:c r="L18" s="4" t="inlineStr">
        <x:is>
          <x:t xml:space="preserve">Conversion (Secondary)</x:t>
        </x:is>
      </x:c>
      <x:c r="M18" s="4" t="inlineStr">
        <x:is>
          <x:t xml:space="preserve">Secondary</x:t>
        </x:is>
      </x:c>
      <x:c r="N18" s="4" t="inlineStr">
        <x:is>
          <x:t xml:space="preserve">inquiry_id یکتا در CRM</x:t>
        </x:is>
      </x:c>
      <x:c r="O18" s="4" t="inlineStr">
        <x:is>
          <x:t xml:space="preserve">inquiry_id, clinic_tier</x:t>
        </x:is>
      </x:c>
      <x:c r="P18" s="4" t="inlineStr">
        <x:is>
          <x:t xml:space="preserve">بلی</x:t>
        </x:is>
      </x:c>
      <x:c r="Q18" s="4" t="inlineStr">
        <x:is>
          <x:t xml:space="preserve">Medium</x:t>
        </x:is>
      </x:c>
      <x:c r="R18" s="17" t="inlineStr">
        <x:is>
          <x:t xml:space="preserve">High</x:t>
        </x:is>
      </x:c>
      <x:c r="S18" s="4" t="inlineStr">
        <x:is>
          <x:t xml:space="preserve">مهندس داده/ردیابی + CRM</x:t>
        </x:is>
      </x:c>
      <x:c r="T18" s="4" t="inlineStr">
        <x:is>
          <x:t xml:space="preserve">تست فرم + بررسی تخمین ارزش معامله</x:t>
        </x:is>
      </x:c>
      <x:c r="U18" s="4" t="inlineStr">
        <x:is>
          <x:t xml:space="preserve">ارجاع خودکار به مدیر فروش کلیدی با estimated_value</x:t>
        </x:is>
      </x:c>
      <x:c r="V18" s="4" t="inlineStr">
        <x:is>
          <x:t xml:space="preserve">KPI-18,KPI-29</x:t>
        </x:is>
      </x:c>
      <x:c r="W18" s="4" t="inlineStr">
        <x:is>
          <x:t xml:space="preserve">REP-16,REP-46</x:t>
        </x:is>
      </x:c>
      <x:c r="X18" s="4" t="inlineStr">
        <x:is>
          <x:t xml:space="preserve">برچسب B2B_HighTicket_Inquiry در CAPI</x:t>
        </x:is>
      </x:c>
    </x:row>
    <x:row r="19">
      <x:c r="A19" s="19" t="inlineStr">
        <x:is>
          <x:t xml:space="preserve">EVT-18</x:t>
        </x:is>
      </x:c>
      <x:c r="B19" s="6" t="inlineStr">
        <x:is>
          <x:t xml:space="preserve">request_equipment_demo</x:t>
        </x:is>
      </x:c>
      <x:c r="C19" s="6" t="inlineStr">
        <x:is>
          <x:t xml:space="preserve">درخواست دمو حضوری تجهیزات بزرگ</x:t>
        </x:is>
      </x:c>
      <x:c r="D19" s="6" t="inlineStr">
        <x:is>
          <x:t xml:space="preserve">SQL to Demo</x:t>
        </x:is>
      </x:c>
      <x:c r="E19" s="6" t="inlineStr">
        <x:is>
          <x:t xml:space="preserve">مذاکره و ارزیابی فنی در شوروم</x:t>
        </x:is>
      </x:c>
      <x:c r="F19" s="6" t="inlineStr">
        <x:is>
          <x:t xml:space="preserve">ثبت تقاضای دمو یونیت/اسکنر در شوروم یا مطب</x:t>
        </x:is>
      </x:c>
      <x:c r="G19" s="6" t="inlineStr">
        <x:is>
          <x:t xml:space="preserve">GA4 / Meta CAPI (Schedule)</x:t>
        </x:is>
      </x:c>
      <x:c r="H19" s="6" t="inlineStr">
        <x:is>
          <x:t xml:space="preserve">dataLayer + Server-Side GTM + CRM</x:t>
        </x:is>
      </x:c>
      <x:c r="I19" s="6" t="inlineStr">
        <x:is>
          <x:t xml:space="preserve">Client + Server</x:t>
        </x:is>
      </x:c>
      <x:c r="J19" s="6" t="inlineStr">
        <x:is>
          <x:t xml:space="preserve">فرم دمو وب‌سایت</x:t>
        </x:is>
      </x:c>
      <x:c r="K19" s="6" t="inlineStr">
        <x:is>
          <x:t xml:space="preserve">GA4, Meta CAPI, CRM, BigQuery</x:t>
        </x:is>
      </x:c>
      <x:c r="L19" s="6" t="inlineStr">
        <x:is>
          <x:t xml:space="preserve">Conversion (Secondary)</x:t>
        </x:is>
      </x:c>
      <x:c r="M19" s="6" t="inlineStr">
        <x:is>
          <x:t xml:space="preserve">Secondary</x:t>
        </x:is>
      </x:c>
      <x:c r="N19" s="6" t="inlineStr">
        <x:is>
          <x:t xml:space="preserve">demo_id یکتا در جدول هماهنگی</x:t>
        </x:is>
      </x:c>
      <x:c r="O19" s="6" t="inlineStr">
        <x:is>
          <x:t xml:space="preserve">demo_id, equipment_sku</x:t>
        </x:is>
      </x:c>
      <x:c r="P19" s="6" t="inlineStr">
        <x:is>
          <x:t xml:space="preserve">بلی</x:t>
        </x:is>
      </x:c>
      <x:c r="Q19" s="6" t="inlineStr">
        <x:is>
          <x:t xml:space="preserve">Medium</x:t>
        </x:is>
      </x:c>
      <x:c r="R19" s="19" t="inlineStr">
        <x:is>
          <x:t xml:space="preserve">High</x:t>
        </x:is>
      </x:c>
      <x:c r="S19" s="6" t="inlineStr">
        <x:is>
          <x:t xml:space="preserve">مهندس داده/ردیابی + CRM</x:t>
        </x:is>
      </x:c>
      <x:c r="T19" s="6" t="inlineStr">
        <x:is>
          <x:t xml:space="preserve">تست فرم + بررسی تخصیص تکنسین/فروش</x:t>
        </x:is>
      </x:c>
      <x:c r="U19" s="6" t="inlineStr">
        <x:is>
          <x:t xml:space="preserve">ایجاد پرونده رزرو شوروم و تخصیص کارشناس</x:t>
        </x:is>
      </x:c>
      <x:c r="V19" s="6" t="inlineStr">
        <x:is>
          <x:t xml:space="preserve">KPI-18,KPI-30</x:t>
        </x:is>
      </x:c>
      <x:c r="W19" s="6" t="inlineStr">
        <x:is>
          <x:t xml:space="preserve">REP-16,REP-17</x:t>
        </x:is>
      </x:c>
      <x:c r="X19" s="6" t="inlineStr">
        <x:is>
          <x:t xml:space="preserve">ارزش‌گذاری فرضی بالا در CAPI (Schedule)</x:t>
        </x:is>
      </x:c>
    </x:row>
    <x:row r="20">
      <x:c r="A20" s="17" t="inlineStr">
        <x:is>
          <x:t xml:space="preserve">EVT-19</x:t>
        </x:is>
      </x:c>
      <x:c r="B20" s="4" t="inlineStr">
        <x:is>
          <x:t xml:space="preserve">schedule_sales_call</x:t>
        </x:is>
      </x:c>
      <x:c r="C20" s="4" t="inlineStr">
        <x:is>
          <x:t xml:space="preserve">رزرو زمان تماس مشاوره تلفنی با مهندس فروش</x:t>
        </x:is>
      </x:c>
      <x:c r="D20" s="4" t="inlineStr">
        <x:is>
          <x:t xml:space="preserve">Pipeline Engagement</x:t>
        </x:is>
      </x:c>
      <x:c r="E20" s="4" t="inlineStr">
        <x:is>
          <x:t xml:space="preserve">پایش درگیری پایپ‌لاین فروش</x:t>
        </x:is>
      </x:c>
      <x:c r="F20" s="4" t="inlineStr">
        <x:is>
          <x:t xml:space="preserve">انتخاب تقویم زمانی آنلاین</x:t>
        </x:is>
      </x:c>
      <x:c r="G20" s="4" t="inlineStr">
        <x:is>
          <x:t xml:space="preserve">GA4 / Meta CAPI (Schedule)</x:t>
        </x:is>
      </x:c>
      <x:c r="H20" s="4" t="inlineStr">
        <x:is>
          <x:t xml:space="preserve">dataLayer + Server-Side GTM + CRM</x:t>
        </x:is>
      </x:c>
      <x:c r="I20" s="4" t="inlineStr">
        <x:is>
          <x:t xml:space="preserve">Client + Server</x:t>
        </x:is>
      </x:c>
      <x:c r="J20" s="4" t="inlineStr">
        <x:is>
          <x:t xml:space="preserve">پنل رزرواسیون وب‌سایت</x:t>
        </x:is>
      </x:c>
      <x:c r="K20" s="4" t="inlineStr">
        <x:is>
          <x:t xml:space="preserve">GA4, Meta CAPI, CRM, BigQuery</x:t>
        </x:is>
      </x:c>
      <x:c r="L20" s="4" t="inlineStr">
        <x:is>
          <x:t xml:space="preserve">Engagement (Pipeline)</x:t>
        </x:is>
      </x:c>
      <x:c r="M20" s="4" t="inlineStr">
        <x:is>
          <x:t xml:space="preserve">Secondary</x:t>
        </x:is>
      </x:c>
      <x:c r="N20" s="4" t="inlineStr">
        <x:is>
          <x:t xml:space="preserve">booking_id یکتا</x:t>
        </x:is>
      </x:c>
      <x:c r="O20" s="4" t="inlineStr">
        <x:is>
          <x:t xml:space="preserve">booking_id, scheduled_time</x:t>
        </x:is>
      </x:c>
      <x:c r="P20" s="4" t="inlineStr">
        <x:is>
          <x:t xml:space="preserve">بلی</x:t>
        </x:is>
      </x:c>
      <x:c r="Q20" s="4" t="inlineStr">
        <x:is>
          <x:t xml:space="preserve">Medium</x:t>
        </x:is>
      </x:c>
      <x:c r="R20" s="17" t="inlineStr">
        <x:is>
          <x:t xml:space="preserve">Medium</x:t>
        </x:is>
      </x:c>
      <x:c r="S20" s="4" t="inlineStr">
        <x:is>
          <x:t xml:space="preserve">مهندس داده/ردیابی + CRM</x:t>
        </x:is>
      </x:c>
      <x:c r="T20" s="4" t="inlineStr">
        <x:is>
          <x:t xml:space="preserve">تست رزرو + بررسی ارسال iCal و پیامک</x:t>
        </x:is>
      </x:c>
      <x:c r="U20" s="4" t="inlineStr">
        <x:is>
          <x:t xml:space="preserve">ارسال تقویم iCal به فروش و SMS یادآوری به دندان‌پزشک</x:t>
        </x:is>
      </x:c>
      <x:c r="V20" s="4" t="inlineStr">
        <x:is>
          <x:t xml:space="preserve">KPI-29,KPI-32</x:t>
        </x:is>
      </x:c>
      <x:c r="W20" s="4" t="inlineStr">
        <x:is>
          <x:t xml:space="preserve">REP-15,REP-44</x:t>
        </x:is>
      </x:c>
      <x:c r="X20" s="4" t="inlineStr">
        <x:is>
          <x:t xml:space="preserve">call_topic از لیست استاندارد</x:t>
        </x:is>
      </x:c>
    </x:row>
    <x:row r="21">
      <x:c r="A21" s="19" t="inlineStr">
        <x:is>
          <x:t xml:space="preserve">EVT-20</x:t>
        </x:is>
      </x:c>
      <x:c r="B21" s="6" t="inlineStr">
        <x:is>
          <x:t xml:space="preserve">view_promotion</x:t>
        </x:is>
      </x:c>
      <x:c r="C21" s="6" t="inlineStr">
        <x:is>
          <x:t xml:space="preserve">مشاهده بنر یا پروموشن تبلیغاتی در سایت</x:t>
        </x:is>
      </x:c>
      <x:c r="D21" s="6" t="inlineStr">
        <x:is>
          <x:t xml:space="preserve">On-site Engagement</x:t>
        </x:is>
      </x:c>
      <x:c r="E21" s="6" t="inlineStr">
        <x:is>
          <x:t xml:space="preserve">سنجش بهره‌وری اسلایدر/بنرهای داخلی</x:t>
        </x:is>
      </x:c>
      <x:c r="F21" s="6" t="inlineStr">
        <x:is>
          <x:t xml:space="preserve">ظاهر شدن بنر پروموشن در دیدرس (Impression)</x:t>
        </x:is>
      </x:c>
      <x:c r="G21" s="6" t="inlineStr">
        <x:is>
          <x:t xml:space="preserve">GA4 / Meta CAPI</x:t>
        </x:is>
      </x:c>
      <x:c r="H21" s="6" t="inlineStr">
        <x:is>
          <x:t xml:space="preserve">dataLayer + Server-Side GTM</x:t>
        </x:is>
      </x:c>
      <x:c r="I21" s="6" t="inlineStr">
        <x:is>
          <x:t xml:space="preserve">Client + Server</x:t>
        </x:is>
      </x:c>
      <x:c r="J21" s="6" t="inlineStr">
        <x:is>
          <x:t xml:space="preserve">وب‌سایت (بنرها)</x:t>
        </x:is>
      </x:c>
      <x:c r="K21" s="6" t="inlineStr">
        <x:is>
          <x:t xml:space="preserve">GA4, Meta CAPI (CustomEvent), BigQuery</x:t>
        </x:is>
      </x:c>
      <x:c r="L21" s="6" t="inlineStr">
        <x:is>
          <x:t xml:space="preserve">Engagement</x:t>
        </x:is>
      </x:c>
      <x:c r="M21" s="6" t="inlineStr">
        <x:is>
          <x:t xml:space="preserve">Secondary</x:t>
        </x:is>
      </x:c>
      <x:c r="N21" s="6" t="inlineStr">
        <x:is>
          <x:t xml:space="preserve">promotion_id + session (در هر اسکرول یک‌بار)</x:t>
        </x:is>
      </x:c>
      <x:c r="O21" s="6" t="inlineStr">
        <x:is>
          <x:t xml:space="preserve">session_id, promotion_id</x:t>
        </x:is>
      </x:c>
      <x:c r="P21" s="6" t="inlineStr">
        <x:is>
          <x:t xml:space="preserve">خیر</x:t>
        </x:is>
      </x:c>
      <x:c r="Q21" s="6" t="inlineStr">
        <x:is>
          <x:t xml:space="preserve">Low</x:t>
        </x:is>
      </x:c>
      <x:c r="R21" s="19" t="inlineStr">
        <x:is>
          <x:t xml:space="preserve">Medium</x:t>
        </x:is>
      </x:c>
      <x:c r="S21" s="6" t="inlineStr">
        <x:is>
          <x:t xml:space="preserve">مهندس وب/ردیابی</x:t>
        </x:is>
      </x:c>
      <x:c r="T21" s="6" t="inlineStr">
        <x:is>
          <x:t xml:space="preserve">GTM Preview + تست اسکرول مکرر</x:t>
        </x:is>
      </x:c>
      <x:c r="U21" s="6" t="inlineStr">
        <x:is>
          <x:t xml:space="preserve">ثبت creative_slot استاندارد</x:t>
        </x:is>
      </x:c>
      <x:c r="V21" s="6" t="inlineStr">
        <x:is>
          <x:t xml:space="preserve">KPI-60,KPI-62</x:t>
        </x:is>
      </x:c>
      <x:c r="W21" s="6" t="inlineStr">
        <x:is>
          <x:t xml:space="preserve">REP-05,REP-07</x:t>
        </x:is>
      </x:c>
      <x:c r="X21" s="6" t="inlineStr">
        <x:is>
          <x:t xml:space="preserve">Impression بر پایه دیدگی واقعی (Intersection Observer)</x:t>
        </x:is>
      </x:c>
    </x:row>
    <x:row r="22">
      <x:c r="A22" s="17" t="inlineStr">
        <x:is>
          <x:t xml:space="preserve">EVT-21</x:t>
        </x:is>
      </x:c>
      <x:c r="B22" s="4" t="inlineStr">
        <x:is>
          <x:t xml:space="preserve">select_promotion</x:t>
        </x:is>
      </x:c>
      <x:c r="C22" s="4" t="inlineStr">
        <x:is>
          <x:t xml:space="preserve">کلیک روی بنر جشنواره و آفر اختصاصی</x:t>
        </x:is>
      </x:c>
      <x:c r="D22" s="4" t="inlineStr">
        <x:is>
          <x:t xml:space="preserve">On-site Engagement</x:t>
        </x:is>
      </x:c>
      <x:c r="E22" s="4" t="inlineStr">
        <x:is>
          <x:t xml:space="preserve">محاسبه CTR بنرهای داخلی</x:t>
        </x:is>
      </x:c>
      <x:c r="F22" s="4" t="inlineStr">
        <x:is>
          <x:t xml:space="preserve">کلیک کاربر روی بنر/کارت پیشنهاد</x:t>
        </x:is>
      </x:c>
      <x:c r="G22" s="4" t="inlineStr">
        <x:is>
          <x:t xml:space="preserve">GA4 / Meta CAPI</x:t>
        </x:is>
      </x:c>
      <x:c r="H22" s="4" t="inlineStr">
        <x:is>
          <x:t xml:space="preserve">dataLayer + Server-Side GTM</x:t>
        </x:is>
      </x:c>
      <x:c r="I22" s="4" t="inlineStr">
        <x:is>
          <x:t xml:space="preserve">Client + Server</x:t>
        </x:is>
      </x:c>
      <x:c r="J22" s="4" t="inlineStr">
        <x:is>
          <x:t xml:space="preserve">وب‌سایت (بنرها)</x:t>
        </x:is>
      </x:c>
      <x:c r="K22" s="4" t="inlineStr">
        <x:is>
          <x:t xml:space="preserve">GA4, Meta CAPI (CustomEvent), BigQuery</x:t>
        </x:is>
      </x:c>
      <x:c r="L22" s="4" t="inlineStr">
        <x:is>
          <x:t xml:space="preserve">Engagement</x:t>
        </x:is>
      </x:c>
      <x:c r="M22" s="4" t="inlineStr">
        <x:is>
          <x:t xml:space="preserve">Secondary</x:t>
        </x:is>
      </x:c>
      <x:c r="N22" s="4" t="inlineStr">
        <x:is>
          <x:t xml:space="preserve">event_id لحظه کلیک</x:t>
        </x:is>
      </x:c>
      <x:c r="O22" s="4" t="inlineStr">
        <x:is>
          <x:t xml:space="preserve">session_id, promotion_id</x:t>
        </x:is>
      </x:c>
      <x:c r="P22" s="4" t="inlineStr">
        <x:is>
          <x:t xml:space="preserve">خیر</x:t>
        </x:is>
      </x:c>
      <x:c r="Q22" s="4" t="inlineStr">
        <x:is>
          <x:t xml:space="preserve">Low</x:t>
        </x:is>
      </x:c>
      <x:c r="R22" s="17" t="inlineStr">
        <x:is>
          <x:t xml:space="preserve">Medium</x:t>
        </x:is>
      </x:c>
      <x:c r="S22" s="4" t="inlineStr">
        <x:is>
          <x:t xml:space="preserve">مهندس وب/ردیابی</x:t>
        </x:is>
      </x:c>
      <x:c r="T22" s="4" t="inlineStr">
        <x:is>
          <x:t xml:space="preserve">GTM Preview</x:t>
        </x:is>
      </x:c>
      <x:c r="U22" s="4" t="inlineStr">
        <x:is>
          <x:t xml:space="preserve">ثبت destination_url برای تحلیل مسیر</x:t>
        </x:is>
      </x:c>
      <x:c r="V22" s="4" t="inlineStr">
        <x:is>
          <x:t xml:space="preserve">KPI-06,KPI-62</x:t>
        </x:is>
      </x:c>
      <x:c r="W22" s="4" t="inlineStr">
        <x:is>
          <x:t xml:space="preserve">REP-05,REP-07</x:t>
        </x:is>
      </x:c>
      <x:c r="X22" s="4" t="inlineStr">
        <x:is>
          <x:t xml:space="preserve">مبنای محاسبه CTR داخلی</x:t>
        </x:is>
      </x:c>
    </x:row>
    <x:row r="23">
      <x:c r="A23" s="19" t="inlineStr">
        <x:is>
          <x:t xml:space="preserve">EVT-22</x:t>
        </x:is>
      </x:c>
      <x:c r="B23" s="6" t="inlineStr">
        <x:is>
          <x:t xml:space="preserve">search</x:t>
        </x:is>
      </x:c>
      <x:c r="C23" s="6" t="inlineStr">
        <x:is>
          <x:t xml:space="preserve">جستجوی داخلی در محصولات و کاتالوگ</x:t>
        </x:is>
      </x:c>
      <x:c r="D23" s="6" t="inlineStr">
        <x:is>
          <x:t xml:space="preserve">Middle of Funnel</x:t>
        </x:is>
      </x:c>
      <x:c r="E23" s="6" t="inlineStr">
        <x:is>
          <x:t xml:space="preserve">کشف نیاز و شناسایی جستجوهای بدون نتیجه</x:t>
        </x:is>
      </x:c>
      <x:c r="F23" s="6" t="inlineStr">
        <x:is>
          <x:t xml:space="preserve">Enter یا کلیک آیکون جستجو</x:t>
        </x:is>
      </x:c>
      <x:c r="G23" s="6" t="inlineStr">
        <x:is>
          <x:t xml:space="preserve">GA4 / Meta CAPI</x:t>
        </x:is>
      </x:c>
      <x:c r="H23" s="6" t="inlineStr">
        <x:is>
          <x:t xml:space="preserve">dataLayer + Server-Side GTM</x:t>
        </x:is>
      </x:c>
      <x:c r="I23" s="6" t="inlineStr">
        <x:is>
          <x:t xml:space="preserve">Client + Server</x:t>
        </x:is>
      </x:c>
      <x:c r="J23" s="6" t="inlineStr">
        <x:is>
          <x:t xml:space="preserve">وب‌سایت (نوار جستجو)</x:t>
        </x:is>
      </x:c>
      <x:c r="K23" s="6" t="inlineStr">
        <x:is>
          <x:t xml:space="preserve">GA4, Meta CAPI (Search), BigQuery</x:t>
        </x:is>
      </x:c>
      <x:c r="L23" s="6" t="inlineStr">
        <x:is>
          <x:t xml:space="preserve">Engagement</x:t>
        </x:is>
      </x:c>
      <x:c r="M23" s="6" t="inlineStr">
        <x:is>
          <x:t xml:space="preserve">Secondary</x:t>
        </x:is>
      </x:c>
      <x:c r="N23" s="6" t="inlineStr">
        <x:is>
          <x:t xml:space="preserve">search_id به ازای هر کوئری متمایز</x:t>
        </x:is>
      </x:c>
      <x:c r="O23" s="6" t="inlineStr">
        <x:is>
          <x:t xml:space="preserve">session_id, search_term</x:t>
        </x:is>
      </x:c>
      <x:c r="P23" s="6" t="inlineStr">
        <x:is>
          <x:t xml:space="preserve">خیر</x:t>
        </x:is>
      </x:c>
      <x:c r="Q23" s="6" t="inlineStr">
        <x:is>
          <x:t xml:space="preserve">Low</x:t>
        </x:is>
      </x:c>
      <x:c r="R23" s="19" t="inlineStr">
        <x:is>
          <x:t xml:space="preserve">Medium</x:t>
        </x:is>
      </x:c>
      <x:c r="S23" s="6" t="inlineStr">
        <x:is>
          <x:t xml:space="preserve">مهندس وب/ردیابی</x:t>
        </x:is>
      </x:c>
      <x:c r="T23" s="6" t="inlineStr">
        <x:is>
          <x:t xml:space="preserve">GTM Preview + تست کوئری بدون نتیجه</x:t>
        </x:is>
      </x:c>
      <x:c r="U23" s="6" t="inlineStr">
        <x:is>
          <x:t xml:space="preserve">ثبت search_results_count (برای Zero-Result Searches)</x:t>
        </x:is>
      </x:c>
      <x:c r="V23" s="6" t="inlineStr">
        <x:is>
          <x:t xml:space="preserve">KPI-15</x:t>
        </x:is>
      </x:c>
      <x:c r="W23" s="6" t="inlineStr">
        <x:is>
          <x:t xml:space="preserve">REP-29</x:t>
        </x:is>
      </x:c>
      <x:c r="X23" s="6" t="inlineStr">
        <x:is>
          <x:t xml:space="preserve">Zero-Result Searches خروجی به بازرگانی برای شارژ کالا</x:t>
        </x:is>
      </x:c>
    </x:row>
    <x:row r="24">
      <x:c r="A24" s="17" t="inlineStr">
        <x:is>
          <x:t xml:space="preserve">EVT-23</x:t>
        </x:is>
      </x:c>
      <x:c r="B24" s="4" t="inlineStr">
        <x:is>
          <x:t xml:space="preserve">login</x:t>
        </x:is>
      </x:c>
      <x:c r="C24" s="4" t="inlineStr">
        <x:is>
          <x:t xml:space="preserve">ورود دندان‌پزشک به پنل کاربری</x:t>
        </x:is>
      </x:c>
      <x:c r="D24" s="4" t="inlineStr">
        <x:is>
          <x:t xml:space="preserve">User Activation</x:t>
        </x:is>
      </x:c>
      <x:c r="E24" s="4" t="inlineStr">
        <x:is>
          <x:t xml:space="preserve">Stitching مسیرهای ناشناس به هویت واقعی</x:t>
        </x:is>
      </x:c>
      <x:c r="F24" s="4" t="inlineStr">
        <x:is>
          <x:t xml:space="preserve">ورود موفق با OTP یا رمز عبور</x:t>
        </x:is>
      </x:c>
      <x:c r="G24" s="4" t="inlineStr">
        <x:is>
          <x:t xml:space="preserve">GA4 / Meta CAPI</x:t>
        </x:is>
      </x:c>
      <x:c r="H24" s="4" t="inlineStr">
        <x:is>
          <x:t xml:space="preserve">dataLayer + Server-Side GTM</x:t>
        </x:is>
      </x:c>
      <x:c r="I24" s="4" t="inlineStr">
        <x:is>
          <x:t xml:space="preserve">Client + Server</x:t>
        </x:is>
      </x:c>
      <x:c r="J24" s="4" t="inlineStr">
        <x:is>
          <x:t xml:space="preserve">سیستم احراز هویت</x:t>
        </x:is>
      </x:c>
      <x:c r="K24" s="4" t="inlineStr">
        <x:is>
          <x:t xml:space="preserve">GA4, Meta CAPI (UserLogin), BigQuery, DWH Identity</x:t>
        </x:is>
      </x:c>
      <x:c r="L24" s="4" t="inlineStr">
        <x:is>
          <x:t xml:space="preserve">Activation</x:t>
        </x:is>
      </x:c>
      <x:c r="M24" s="4" t="inlineStr">
        <x:is>
          <x:t xml:space="preserve">Primary</x:t>
        </x:is>
      </x:c>
      <x:c r="N24" s="4" t="inlineStr">
        <x:is>
          <x:t xml:space="preserve">event_id سشن لاگین</x:t>
        </x:is>
      </x:c>
      <x:c r="O24" s="4" t="inlineStr">
        <x:is>
          <x:t xml:space="preserve">master_customer_id, session_id</x:t>
        </x:is>
      </x:c>
      <x:c r="P24" s="4" t="inlineStr">
        <x:is>
          <x:t xml:space="preserve">بلی</x:t>
        </x:is>
      </x:c>
      <x:c r="Q24" s="4" t="inlineStr">
        <x:is>
          <x:t xml:space="preserve">Medium</x:t>
        </x:is>
      </x:c>
      <x:c r="R24" s="17" t="inlineStr">
        <x:is>
          <x:t xml:space="preserve">High</x:t>
        </x:is>
      </x:c>
      <x:c r="S24" s="4" t="inlineStr">
        <x:is>
          <x:t xml:space="preserve">مهندس داده/ردیابی + Backend</x:t>
        </x:is>
      </x:c>
      <x:c r="T24" s="4" t="inlineStr">
        <x:is>
          <x:t xml:space="preserve">تست ورود واقعی + بررسی اتصال سشن‌های قبلی (Stitching)</x:t>
        </x:is>
      </x:c>
      <x:c r="U24" s="4" t="inlineStr">
        <x:is>
          <x:t xml:space="preserve">تنظیم user_id در سشن و اتصال سوابق ناشناس</x:t>
        </x:is>
      </x:c>
      <x:c r="V24" s="4" t="inlineStr">
        <x:is>
          <x:t xml:space="preserve">KPI-53,KPI-54,KPI-57</x:t>
        </x:is>
      </x:c>
      <x:c r="W24" s="4" t="inlineStr">
        <x:is>
          <x:t xml:space="preserve">REP-17,REP-21</x:t>
        </x:is>
      </x:c>
      <x:c r="X24" s="4" t="inlineStr">
        <x:is>
          <x:t xml:space="preserve">method: otp_sms / password</x:t>
        </x:is>
      </x:c>
    </x:row>
    <x:row r="25">
      <x:c r="A25" s="19" t="inlineStr">
        <x:is>
          <x:t xml:space="preserve">EVT-24</x:t>
        </x:is>
      </x:c>
      <x:c r="B25" s="6" t="inlineStr">
        <x:is>
          <x:t xml:space="preserve">sign_up</x:t>
        </x:is>
      </x:c>
      <x:c r="C25" s="6" t="inlineStr">
        <x:is>
          <x:t xml:space="preserve">ثبت‌نام رسمی کلینیک و احراز هویت نظام پزشکی</x:t>
        </x:is>
      </x:c>
      <x:c r="D25" s="6" t="inlineStr">
        <x:is>
          <x:t xml:space="preserve">B2B Onboarding</x:t>
        </x:is>
      </x:c>
      <x:c r="E25" s="6" t="inlineStr">
        <x:is>
          <x:t xml:space="preserve">جذب عضو جدید و اعتبارسنجی صنفی</x:t>
        </x:is>
      </x:c>
      <x:c r="F25" s="6" t="inlineStr">
        <x:is>
          <x:t xml:space="preserve">تکمیل فرم ثبت‌نام + اعتبارسنجی شماره نظام پزشکی</x:t>
        </x:is>
      </x:c>
      <x:c r="G25" s="6" t="inlineStr">
        <x:is>
          <x:t xml:space="preserve">GA4 / Meta CAPI (CompleteRegistration)</x:t>
        </x:is>
      </x:c>
      <x:c r="H25" s="6" t="inlineStr">
        <x:is>
          <x:t xml:space="preserve">dataLayer + Server-Side GTM + وب‌سرویس نظام پزشکی</x:t>
        </x:is>
      </x:c>
      <x:c r="I25" s="6" t="inlineStr">
        <x:is>
          <x:t xml:space="preserve">Client + Server</x:t>
        </x:is>
      </x:c>
      <x:c r="J25" s="6" t="inlineStr">
        <x:is>
          <x:t xml:space="preserve">فرم ثبت‌نام + وب‌سرویس سازمان نظام پزشکی</x:t>
        </x:is>
      </x:c>
      <x:c r="K25" s="6" t="inlineStr">
        <x:is>
          <x:t xml:space="preserve">GA4, Meta CAPI, CRM, DWH Identity</x:t>
        </x:is>
      </x:c>
      <x:c r="L25" s="6" t="inlineStr">
        <x:is>
          <x:t xml:space="preserve">Conversion (Secondary)</x:t>
        </x:is>
      </x:c>
      <x:c r="M25" s="6" t="inlineStr">
        <x:is>
          <x:t xml:space="preserve">Secondary</x:t>
        </x:is>
      </x:c>
      <x:c r="N25" s="6" t="inlineStr">
        <x:is>
          <x:t xml:space="preserve">medical_council_id + master_customer_id در سرور</x:t>
        </x:is>
      </x:c>
      <x:c r="O25" s="6" t="inlineStr">
        <x:is>
          <x:t xml:space="preserve">master_customer_id, medical_council_id</x:t>
        </x:is>
      </x:c>
      <x:c r="P25" s="6" t="inlineStr">
        <x:is>
          <x:t xml:space="preserve">بلی</x:t>
        </x:is>
      </x:c>
      <x:c r="Q25" s="6" t="inlineStr">
        <x:is>
          <x:t xml:space="preserve">High (Hashed)</x:t>
        </x:is>
      </x:c>
      <x:c r="R25" s="19" t="inlineStr">
        <x:is>
          <x:t xml:space="preserve">Critical</x:t>
        </x:is>
      </x:c>
      <x:c r="S25" s="6" t="inlineStr">
        <x:is>
          <x:t xml:space="preserve">مهندس داده/ردیابی + Backend</x:t>
        </x:is>
      </x:c>
      <x:c r="T25" s="6" t="inlineStr">
        <x:is>
          <x:t xml:space="preserve">تست ثبت‌نام واقعی + بررسی احراز از وب‌سرویس نظام</x:t>
        </x:is>
      </x:c>
      <x:c r="U25" s="6" t="inlineStr">
        <x:is>
          <x:t xml:space="preserve">فعال‌سازی اکانت B2B پس از تایید صنفی؛ Match Quality بالاترین سطح</x:t>
        </x:is>
      </x:c>
      <x:c r="V25" s="6" t="inlineStr">
        <x:is>
          <x:t xml:space="preserve">KPI-20,KPI-57</x:t>
        </x:is>
      </x:c>
      <x:c r="W25" s="6" t="inlineStr">
        <x:is>
          <x:t xml:space="preserve">REP-16,REP-18</x:t>
        </x:is>
      </x:c>
      <x:c r="X25" s="6" t="inlineStr">
        <x:is>
          <x:t xml:space="preserve">registration_source: landing / congress / referral</x:t>
        </x:is>
      </x:c>
    </x:row>
  </x:sheetData>
  <x:conditionalFormatting sqref="R2:R25">
    <x:cfRule type="cellIs" dxfId="0" priority="1" operator="equal">
      <x:formula>"Critical"</x:formula>
    </x:cfRule>
    <x:cfRule type="cellIs" dxfId="1" priority="2" operator="equal">
      <x:formula>"High"</x:formula>
    </x:cfRule>
    <x:cfRule type="cellIs" dxfId="2" priority="3" operator="equal">
      <x:formula>"Medium"</x:formula>
    </x:cfRule>
    <x:cfRule type="cellIs" dxfId="3" priority="4" operator="equal">
      <x:formula>"Low"</x:formula>
    </x:cfRule>
  </x:conditionalFormatting>
  <x:dataValidations count="1">
    <x:dataValidation type="list" allowBlank="1" showDropDown="0" showInputMessage="0" showErrorMessage="1" errorTitle="مقدار نامعتبر" error="مقدار از لیست مجاز انتخاب شود" promptTitle="فهرست" prompt="از فهرست کشویی انتخاب کنید" sqref="R2:R25">
      <x:formula1>=_LISTS!$B$2:$B$5</x:formula1>
    </x:dataValidation>
  </x:dataValidations>
  <x:pageMargins left="0.7" right="0.7" top="0.75" bottom="0.75" header="0.3" footer="0.3"/>
  <x:tableParts count="1">
    <x:tablePart xmlns:r="http://schemas.openxmlformats.org/officeDocument/2006/relationships" r:id="R492c1658e0cf4df3"/>
  </x:tableParts>
</x:worksheet>
</file>

<file path=xl/worksheets/sheet4.xml><?xml version="1.0" encoding="utf-8"?>
<x:worksheet xmlns:x="http://schemas.openxmlformats.org/spreadsheetml/2006/main">
  <x:sheetPr>
    <x:tabColor rgb="FF1F4E78"/>
  </x:sheetPr>
  <x:sheetViews>
    <x:sheetView workbookViewId="0">
      <x:pane xSplit="2" ySplit="1" topLeftCell="C2" activePane="bottomRight" state="frozen"/>
    </x:sheetView>
  </x:sheetViews>
  <x:sheetFormatPr baseColWidth="8" defaultRowHeight="15"/>
  <x:cols>
    <x:col min="1" max="1" width="9" customWidth="1"/>
    <x:col min="2" max="2" width="22" customWidth="1"/>
    <x:col min="3" max="3" width="20" customWidth="1"/>
    <x:col min="4" max="4" width="34" customWidth="1"/>
    <x:col min="5" max="5" width="16" customWidth="1"/>
    <x:col min="6" max="6" width="11" customWidth="1"/>
    <x:col min="7" max="7" width="30" customWidth="1"/>
    <x:col min="8" max="8" width="24" customWidth="1"/>
    <x:col min="9" max="9" width="22" customWidth="1"/>
    <x:col min="10" max="10" width="22" customWidth="1"/>
    <x:col min="11" max="11" width="26" customWidth="1"/>
    <x:col min="12" max="12" width="14" customWidth="1"/>
    <x:col min="13" max="13" width="11" customWidth="1"/>
    <x:col min="14" max="14" width="22" customWidth="1"/>
    <x:col min="15" max="15" width="24" customWidth="1"/>
    <x:col min="16" max="16" width="18" hidden="0" customWidth="1"/>
    <x:col min="17" max="17" width="18" hidden="0" customWidth="1"/>
    <x:col min="18" max="18" width="18" hidden="0" customWidth="1"/>
    <x:col min="19" max="19" width="18" hidden="0" customWidth="1"/>
    <x:col min="20" max="20" width="18" hidden="0" customWidth="1"/>
  </x:cols>
  <x:sheetData>
    <x:row r="1" ht="30" customHeight="1">
      <x:c r="A1" s="5" t="inlineStr">
        <x:is>
          <x:t xml:space="preserve">Event_ID</x:t>
        </x:is>
      </x:c>
      <x:c r="B1" s="5" t="inlineStr">
        <x:is>
          <x:t xml:space="preserve">Param_Name_EN</x:t>
        </x:is>
      </x:c>
      <x:c r="C1" s="5" t="inlineStr">
        <x:is>
          <x:t xml:space="preserve">Param_Name_FA</x:t>
        </x:is>
      </x:c>
      <x:c r="D1" s="5" t="inlineStr">
        <x:is>
          <x:t xml:space="preserve">Definition</x:t>
        </x:is>
      </x:c>
      <x:c r="E1" s="5" t="inlineStr">
        <x:is>
          <x:t xml:space="preserve">Data_Type</x:t>
        </x:is>
      </x:c>
      <x:c r="F1" s="5" t="inlineStr">
        <x:is>
          <x:t xml:space="preserve">Required</x:t>
        </x:is>
      </x:c>
      <x:c r="G1" s="5" t="inlineStr">
        <x:is>
          <x:t xml:space="preserve">Example</x:t>
        </x:is>
      </x:c>
      <x:c r="H1" s="5" t="inlineStr">
        <x:is>
          <x:t xml:space="preserve">Allowed_Values</x:t>
        </x:is>
      </x:c>
      <x:c r="I1" s="5" t="inlineStr">
        <x:is>
          <x:t xml:space="preserve">Source_Field</x:t>
        </x:is>
      </x:c>
      <x:c r="J1" s="5" t="inlineStr">
        <x:is>
          <x:t xml:space="preserve">Transform</x:t>
        </x:is>
      </x:c>
      <x:c r="K1" s="5" t="inlineStr">
        <x:is>
          <x:t xml:space="preserve">Validation_Rule</x:t>
        </x:is>
      </x:c>
      <x:c r="L1" s="5" t="inlineStr">
        <x:is>
          <x:t xml:space="preserve">PII</x:t>
        </x:is>
      </x:c>
      <x:c r="M1" s="5" t="inlineStr">
        <x:is>
          <x:t xml:space="preserve">Joining_Key</x:t>
        </x:is>
      </x:c>
      <x:c r="N1" s="5" t="inlineStr">
        <x:is>
          <x:t xml:space="preserve">Destinations</x:t>
        </x:is>
      </x:c>
      <x:c r="O1" s="5" t="inlineStr">
        <x:is>
          <x:t xml:space="preserve">Notes</x:t>
        </x:is>
      </x:c>
      <x:c r="P1" s="27" t="str">
        <x:v>Parameter_ID</x:v>
      </x:c>
      <x:c r="Q1" s="27" t="str">
        <x:v>Event_ID_Link</x:v>
      </x:c>
      <x:c r="R1" s="27" t="str">
        <x:v>Implementation_Wave</x:v>
      </x:c>
      <x:c r="S1" s="27" t="str">
        <x:v>Owner</x:v>
      </x:c>
      <x:c r="T1" s="27" t="str">
        <x:v>Status</x:v>
      </x:c>
    </x:row>
    <x:row r="2">
      <x:c r="A2" s="17" t="inlineStr">
        <x:is>
          <x:t xml:space="preserve">EVT-01</x:t>
        </x:is>
      </x:c>
      <x:c r="B2" s="4" t="inlineStr">
        <x:is>
          <x:t xml:space="preserve">page_location</x:t>
        </x:is>
      </x:c>
      <x:c r="C2" s="4" t="inlineStr">
        <x:is>
          <x:t xml:space="preserve">موقعیت صفحه</x:t>
        </x:is>
      </x:c>
      <x:c r="D2" s="4" t="inlineStr">
        <x:is>
          <x:t xml:space="preserve">آدرس کامل URL مشاهده‌شده</x:t>
        </x:is>
      </x:c>
      <x:c r="E2" s="4" t="inlineStr">
        <x:is>
          <x:t xml:space="preserve">String (URL)</x:t>
        </x:is>
      </x:c>
      <x:c r="F2" s="17" t="inlineStr">
        <x:is>
          <x:t xml:space="preserve">Required</x:t>
        </x:is>
      </x:c>
      <x:c r="G2" s="4" t="inlineStr">
        <x:is>
          <x:t xml:space="preserve">https://titana.ir/equipment/dental-units</x:t>
        </x:is>
      </x:c>
      <x:c r="H2" s="4" t="inlineStr">
        <x:is>
          <x:t xml:space="preserve">—</x:t>
        </x:is>
      </x:c>
      <x:c r="I2" s="4" t="inlineStr">
        <x:is>
          <x:t xml:space="preserve">window.location.href</x:t>
        </x:is>
      </x:c>
      <x:c r="J2" s="4" t="inlineStr">
        <x:is>
          <x:t xml:space="preserve">هیچ</x:t>
        </x:is>
      </x:c>
      <x:c r="K2" s="4" t="inlineStr">
        <x:is>
          <x:t xml:space="preserve">بررسی پروتکل HTTPS</x:t>
        </x:is>
      </x:c>
      <x:c r="L2" s="17" t="inlineStr">
        <x:is>
          <x:t xml:space="preserve">None</x:t>
        </x:is>
      </x:c>
      <x:c r="M2" s="17" t="inlineStr">
        <x:is>
          <x:t xml:space="preserve">No</x:t>
        </x:is>
      </x:c>
      <x:c r="N2" s="4" t="inlineStr">
        <x:is>
          <x:t xml:space="preserve">GA4, BigQuery</x:t>
        </x:is>
      </x:c>
      <x:c r="O2" s="4" t="inlineStr">
        <x:is>
          <x:t xml:space="preserve"/>
        </x:is>
      </x:c>
      <x:c r="P2" s="30" t="str">
        <x:v>EVP-001</x:v>
      </x:c>
      <x:c r="Q2" s="30" t="str">
        <x:v>EVT-01</x:v>
      </x:c>
      <x:c r="R2" s="30" t="str">
        <x:v>W2</x:v>
      </x:c>
      <x:c r="S2" s="30" t="str">
        <x:v>Analytics Engineer</x:v>
      </x:c>
      <x:c r="T2" s="30" t="str">
        <x:v>Proposed</x:v>
      </x:c>
    </x:row>
    <x:row r="3">
      <x:c r="A3" s="19" t="inlineStr">
        <x:is>
          <x:t xml:space="preserve">EVT-01</x:t>
        </x:is>
      </x:c>
      <x:c r="B3" s="6" t="inlineStr">
        <x:is>
          <x:t xml:space="preserve">page_title</x:t>
        </x:is>
      </x:c>
      <x:c r="C3" s="6" t="inlineStr">
        <x:is>
          <x:t xml:space="preserve">عنوان صفحه</x:t>
        </x:is>
      </x:c>
      <x:c r="D3" s="6" t="inlineStr">
        <x:is>
          <x:t xml:space="preserve">عنوان HTML صفحه</x:t>
        </x:is>
      </x:c>
      <x:c r="E3" s="6" t="inlineStr">
        <x:is>
          <x:t xml:space="preserve">String</x:t>
        </x:is>
      </x:c>
      <x:c r="F3" s="19" t="inlineStr">
        <x:is>
          <x:t xml:space="preserve">Required</x:t>
        </x:is>
      </x:c>
      <x:c r="G3" s="6" t="inlineStr">
        <x:is>
          <x:t xml:space="preserve">یونیت‌های دندان‌پزشکی پیشرفته | تیتانا</x:t>
        </x:is>
      </x:c>
      <x:c r="H3" s="6" t="inlineStr">
        <x:is>
          <x:t xml:space="preserve">—</x:t>
        </x:is>
      </x:c>
      <x:c r="I3" s="6" t="inlineStr">
        <x:is>
          <x:t xml:space="preserve">document.title</x:t>
        </x:is>
      </x:c>
      <x:c r="J3" s="6" t="inlineStr">
        <x:is>
          <x:t xml:space="preserve">هیچ</x:t>
        </x:is>
      </x:c>
      <x:c r="K3" s="6" t="inlineStr">
        <x:is>
          <x:t xml:space="preserve">حداکثر ۲۰۰ کاراکتر</x:t>
        </x:is>
      </x:c>
      <x:c r="L3" s="19" t="inlineStr">
        <x:is>
          <x:t xml:space="preserve">None</x:t>
        </x:is>
      </x:c>
      <x:c r="M3" s="19" t="inlineStr">
        <x:is>
          <x:t xml:space="preserve">No</x:t>
        </x:is>
      </x:c>
      <x:c r="N3" s="6" t="inlineStr">
        <x:is>
          <x:t xml:space="preserve">GA4, BigQuery</x:t>
        </x:is>
      </x:c>
      <x:c r="O3" s="6" t="inlineStr">
        <x:is>
          <x:t xml:space="preserve"/>
        </x:is>
      </x:c>
      <x:c r="P3" s="30" t="str">
        <x:v>EVP-002</x:v>
      </x:c>
      <x:c r="Q3" s="30" t="str">
        <x:v>EVT-01</x:v>
      </x:c>
      <x:c r="R3" s="30" t="str">
        <x:v>W2</x:v>
      </x:c>
      <x:c r="S3" s="30" t="str">
        <x:v>Analytics Engineer</x:v>
      </x:c>
      <x:c r="T3" s="30" t="str">
        <x:v>Proposed</x:v>
      </x:c>
    </x:row>
    <x:row r="4">
      <x:c r="A4" s="17" t="inlineStr">
        <x:is>
          <x:t xml:space="preserve">EVT-01</x:t>
        </x:is>
      </x:c>
      <x:c r="B4" s="4" t="inlineStr">
        <x:is>
          <x:t xml:space="preserve">page_referrer</x:t>
        </x:is>
      </x:c>
      <x:c r="C4" s="4" t="inlineStr">
        <x:is>
          <x:t xml:space="preserve">مرجع قبلی</x:t>
        </x:is>
      </x:c>
      <x:c r="D4" s="4" t="inlineStr">
        <x:is>
          <x:t xml:space="preserve">آدرس صفحه ارجاع‌دهنده</x:t>
        </x:is>
      </x:c>
      <x:c r="E4" s="4" t="inlineStr">
        <x:is>
          <x:t xml:space="preserve">String</x:t>
        </x:is>
      </x:c>
      <x:c r="F4" s="17" t="inlineStr">
        <x:is>
          <x:t xml:space="preserve">Required</x:t>
        </x:is>
      </x:c>
      <x:c r="G4" s="4" t="inlineStr">
        <x:is>
          <x:t xml:space="preserve">https://www.google.com/</x:t>
        </x:is>
      </x:c>
      <x:c r="H4" s="4" t="inlineStr">
        <x:is>
          <x:t xml:space="preserve">—</x:t>
        </x:is>
      </x:c>
      <x:c r="I4" s="4" t="inlineStr">
        <x:is>
          <x:t xml:space="preserve">document.referrer</x:t>
        </x:is>
      </x:c>
      <x:c r="J4" s="4" t="inlineStr">
        <x:is>
          <x:t xml:space="preserve">هیچ</x:t>
        </x:is>
      </x:c>
      <x:c r="K4" s="4" t="inlineStr">
        <x:is>
          <x:t xml:space="preserve">مقدار خالی مجاز</x:t>
        </x:is>
      </x:c>
      <x:c r="L4" s="17" t="inlineStr">
        <x:is>
          <x:t xml:space="preserve">None</x:t>
        </x:is>
      </x:c>
      <x:c r="M4" s="17" t="inlineStr">
        <x:is>
          <x:t xml:space="preserve">No</x:t>
        </x:is>
      </x:c>
      <x:c r="N4" s="4" t="inlineStr">
        <x:is>
          <x:t xml:space="preserve">GA4, BigQuery</x:t>
        </x:is>
      </x:c>
      <x:c r="O4" s="4" t="inlineStr">
        <x:is>
          <x:t xml:space="preserve"/>
        </x:is>
      </x:c>
      <x:c r="P4" s="30" t="str">
        <x:v>EVP-003</x:v>
      </x:c>
      <x:c r="Q4" s="30" t="str">
        <x:v>EVT-01</x:v>
      </x:c>
      <x:c r="R4" s="30" t="str">
        <x:v>W2</x:v>
      </x:c>
      <x:c r="S4" s="30" t="str">
        <x:v>Analytics Engineer</x:v>
      </x:c>
      <x:c r="T4" s="30" t="str">
        <x:v>Proposed</x:v>
      </x:c>
    </x:row>
    <x:row r="5">
      <x:c r="A5" s="19" t="inlineStr">
        <x:is>
          <x:t xml:space="preserve">EVT-01</x:t>
        </x:is>
      </x:c>
      <x:c r="B5" s="6" t="inlineStr">
        <x:is>
          <x:t xml:space="preserve">client_id</x:t>
        </x:is>
      </x:c>
      <x:c r="C5" s="6" t="inlineStr">
        <x:is>
          <x:t xml:space="preserve">شناسه کلاینت</x:t>
        </x:is>
      </x:c>
      <x:c r="D5" s="6" t="inlineStr">
        <x:is>
          <x:t xml:space="preserve">GA Client ID / Anonymous ID</x:t>
        </x:is>
      </x:c>
      <x:c r="E5" s="6" t="inlineStr">
        <x:is>
          <x:t xml:space="preserve">String</x:t>
        </x:is>
      </x:c>
      <x:c r="F5" s="19" t="inlineStr">
        <x:is>
          <x:t xml:space="preserve">Required</x:t>
        </x:is>
      </x:c>
      <x:c r="G5" s="6" t="inlineStr">
        <x:is>
          <x:t xml:space="preserve">GA1.2.98402194.1774020100</x:t>
        </x:is>
      </x:c>
      <x:c r="H5" s="6" t="inlineStr">
        <x:is>
          <x:t xml:space="preserve">—</x:t>
        </x:is>
      </x:c>
      <x:c r="I5" s="6" t="inlineStr">
        <x:is>
          <x:t xml:space="preserve">gtag('get','ga4','client_id')</x:t>
        </x:is>
      </x:c>
      <x:c r="J5" s="6" t="inlineStr">
        <x:is>
          <x:t xml:space="preserve">هیچ</x:t>
        </x:is>
      </x:c>
      <x:c r="K5" s="6" t="inlineStr">
        <x:is>
          <x:t xml:space="preserve">فرمت GA1.x.yyy.zz</x:t>
        </x:is>
      </x:c>
      <x:c r="L5" s="19" t="inlineStr">
        <x:is>
          <x:t xml:space="preserve">None (Anonymous)</x:t>
        </x:is>
      </x:c>
      <x:c r="M5" s="19" t="inlineStr">
        <x:is>
          <x:t xml:space="preserve">Yes</x:t>
        </x:is>
      </x:c>
      <x:c r="N5" s="6" t="inlineStr">
        <x:is>
          <x:t xml:space="preserve">GA4, CAPI (fbp/fbc)</x:t>
        </x:is>
      </x:c>
      <x:c r="O5" s="6" t="inlineStr">
        <x:is>
          <x:t xml:space="preserve">Joining Key اصلی کلاینت</x:t>
        </x:is>
      </x:c>
      <x:c r="P5" s="30" t="str">
        <x:v>EVP-004</x:v>
      </x:c>
      <x:c r="Q5" s="30" t="str">
        <x:v>EVT-01</x:v>
      </x:c>
      <x:c r="R5" s="30" t="str">
        <x:v>W2</x:v>
      </x:c>
      <x:c r="S5" s="30" t="str">
        <x:v>Analytics Engineer</x:v>
      </x:c>
      <x:c r="T5" s="30" t="str">
        <x:v>Proposed</x:v>
      </x:c>
    </x:row>
    <x:row r="6">
      <x:c r="A6" s="17" t="inlineStr">
        <x:is>
          <x:t xml:space="preserve">EVT-01</x:t>
        </x:is>
      </x:c>
      <x:c r="B6" s="4" t="inlineStr">
        <x:is>
          <x:t xml:space="preserve">utm_source</x:t>
        </x:is>
      </x:c>
      <x:c r="C6" s="4" t="inlineStr">
        <x:is>
          <x:t xml:space="preserve">منبع UTM</x:t>
        </x:is>
      </x:c>
      <x:c r="D6" s="4" t="inlineStr">
        <x:is>
          <x:t xml:space="preserve">منبع ترافیک ورودی</x:t>
        </x:is>
      </x:c>
      <x:c r="E6" s="4" t="inlineStr">
        <x:is>
          <x:t xml:space="preserve">String</x:t>
        </x:is>
      </x:c>
      <x:c r="F6" s="17" t="inlineStr">
        <x:is>
          <x:t xml:space="preserve">Optional</x:t>
        </x:is>
      </x:c>
      <x:c r="G6" s="4" t="inlineStr">
        <x:is>
          <x:t xml:space="preserve">google</x:t>
        </x:is>
      </x:c>
      <x:c r="H6" s="4" t="inlineStr">
        <x:is>
          <x:t xml:space="preserve">taxonomi مصوب</x:t>
        </x:is>
      </x:c>
      <x:c r="I6" s="4" t="inlineStr">
        <x:is>
          <x:t xml:space="preserve">URL param</x:t>
        </x:is>
      </x:c>
      <x:c r="J6" s="4" t="inlineStr">
        <x:is>
          <x:t xml:space="preserve">lowercase + تطبیق تاکسونومی</x:t>
        </x:is>
      </x:c>
      <x:c r="K6" s="4" t="inlineStr">
        <x:is>
          <x:t xml:space="preserve">عضویت در لیست تاکسونومی</x:t>
        </x:is>
      </x:c>
      <x:c r="L6" s="17" t="inlineStr">
        <x:is>
          <x:t xml:space="preserve">None</x:t>
        </x:is>
      </x:c>
      <x:c r="M6" s="17" t="inlineStr">
        <x:is>
          <x:t xml:space="preserve">No</x:t>
        </x:is>
      </x:c>
      <x:c r="N6" s="4" t="inlineStr">
        <x:is>
          <x:t xml:space="preserve">GA4, DWH</x:t>
        </x:is>
      </x:c>
      <x:c r="O6" s="4" t="inlineStr">
        <x:is>
          <x:t xml:space="preserve"/>
        </x:is>
      </x:c>
      <x:c r="P6" s="30" t="str">
        <x:v>EVP-005</x:v>
      </x:c>
      <x:c r="Q6" s="30" t="str">
        <x:v>EVT-01</x:v>
      </x:c>
      <x:c r="R6" s="30" t="str">
        <x:v>W2</x:v>
      </x:c>
      <x:c r="S6" s="30" t="str">
        <x:v>Analytics Engineer</x:v>
      </x:c>
      <x:c r="T6" s="30" t="str">
        <x:v>Proposed</x:v>
      </x:c>
    </x:row>
    <x:row r="7">
      <x:c r="A7" s="19" t="inlineStr">
        <x:is>
          <x:t xml:space="preserve">EVT-01</x:t>
        </x:is>
      </x:c>
      <x:c r="B7" s="6" t="inlineStr">
        <x:is>
          <x:t xml:space="preserve">utm_medium</x:t>
        </x:is>
      </x:c>
      <x:c r="C7" s="6" t="inlineStr">
        <x:is>
          <x:t xml:space="preserve">مدیوم UTM</x:t>
        </x:is>
      </x:c>
      <x:c r="D7" s="6" t="inlineStr">
        <x:is>
          <x:t xml:space="preserve">مدیوم ترافیک</x:t>
        </x:is>
      </x:c>
      <x:c r="E7" s="6" t="inlineStr">
        <x:is>
          <x:t xml:space="preserve">String</x:t>
        </x:is>
      </x:c>
      <x:c r="F7" s="19" t="inlineStr">
        <x:is>
          <x:t xml:space="preserve">Optional</x:t>
        </x:is>
      </x:c>
      <x:c r="G7" s="6" t="inlineStr">
        <x:is>
          <x:t xml:space="preserve">cpc</x:t>
        </x:is>
      </x:c>
      <x:c r="H7" s="6" t="inlineStr">
        <x:is>
          <x:t xml:space="preserve">cpc/organic/cpm/email/sms/referal</x:t>
        </x:is>
      </x:c>
      <x:c r="I7" s="6" t="inlineStr">
        <x:is>
          <x:t xml:space="preserve">URL param</x:t>
        </x:is>
      </x:c>
      <x:c r="J7" s="6" t="inlineStr">
        <x:is>
          <x:t xml:space="preserve">lowercase</x:t>
        </x:is>
      </x:c>
      <x:c r="K7" s="6" t="inlineStr">
        <x:is>
          <x:t xml:space="preserve">عضویت در لیست تاکسونومی</x:t>
        </x:is>
      </x:c>
      <x:c r="L7" s="19" t="inlineStr">
        <x:is>
          <x:t xml:space="preserve">None</x:t>
        </x:is>
      </x:c>
      <x:c r="M7" s="19" t="inlineStr">
        <x:is>
          <x:t xml:space="preserve">No</x:t>
        </x:is>
      </x:c>
      <x:c r="N7" s="6" t="inlineStr">
        <x:is>
          <x:t xml:space="preserve">GA4, DWH</x:t>
        </x:is>
      </x:c>
      <x:c r="O7" s="6" t="inlineStr">
        <x:is>
          <x:t xml:space="preserve"/>
        </x:is>
      </x:c>
      <x:c r="P7" s="30" t="str">
        <x:v>EVP-006</x:v>
      </x:c>
      <x:c r="Q7" s="30" t="str">
        <x:v>EVT-01</x:v>
      </x:c>
      <x:c r="R7" s="30" t="str">
        <x:v>W2</x:v>
      </x:c>
      <x:c r="S7" s="30" t="str">
        <x:v>Analytics Engineer</x:v>
      </x:c>
      <x:c r="T7" s="30" t="str">
        <x:v>Proposed</x:v>
      </x:c>
    </x:row>
    <x:row r="8">
      <x:c r="A8" s="17" t="inlineStr">
        <x:is>
          <x:t xml:space="preserve">EVT-01</x:t>
        </x:is>
      </x:c>
      <x:c r="B8" s="4" t="inlineStr">
        <x:is>
          <x:t xml:space="preserve">utm_campaign</x:t>
        </x:is>
      </x:c>
      <x:c r="C8" s="4" t="inlineStr">
        <x:is>
          <x:t xml:space="preserve">کمپین UTM</x:t>
        </x:is>
      </x:c>
      <x:c r="D8" s="4" t="inlineStr">
        <x:is>
          <x:t xml:space="preserve">نام کمپین</x:t>
        </x:is>
      </x:c>
      <x:c r="E8" s="4" t="inlineStr">
        <x:is>
          <x:t xml:space="preserve">String</x:t>
        </x:is>
      </x:c>
      <x:c r="F8" s="17" t="inlineStr">
        <x:is>
          <x:t xml:space="preserve">Optional</x:t>
        </x:is>
      </x:c>
      <x:c r="G8" s="4" t="inlineStr">
        <x:is>
          <x:t xml:space="preserve">exida2026_q3</x:t>
        </x:is>
      </x:c>
      <x:c r="H8" s="4" t="inlineStr">
        <x:is>
          <x:t xml:space="preserve">کاملا lowercase</x:t>
        </x:is>
      </x:c>
      <x:c r="I8" s="4" t="inlineStr">
        <x:is>
          <x:t xml:space="preserve">URL param</x:t>
        </x:is>
      </x:c>
      <x:c r="J8" s="4" t="inlineStr">
        <x:is>
          <x:t xml:space="preserve">lowercase + بدون فاصله</x:t>
        </x:is>
      </x:c>
      <x:c r="K8" s="4" t="inlineStr">
        <x:is>
          <x:t xml:space="preserve">regex ^[a-z0-9_]+$</x:t>
        </x:is>
      </x:c>
      <x:c r="L8" s="17" t="inlineStr">
        <x:is>
          <x:t xml:space="preserve">None</x:t>
        </x:is>
      </x:c>
      <x:c r="M8" s="17" t="inlineStr">
        <x:is>
          <x:t xml:space="preserve">No</x:t>
        </x:is>
      </x:c>
      <x:c r="N8" s="4" t="inlineStr">
        <x:is>
          <x:t xml:space="preserve">GA4, DWH</x:t>
        </x:is>
      </x:c>
      <x:c r="O8" s="4" t="inlineStr">
        <x:is>
          <x:t xml:space="preserve"/>
        </x:is>
      </x:c>
      <x:c r="P8" s="30" t="str">
        <x:v>EVP-007</x:v>
      </x:c>
      <x:c r="Q8" s="30" t="str">
        <x:v>EVT-01</x:v>
      </x:c>
      <x:c r="R8" s="30" t="str">
        <x:v>W2</x:v>
      </x:c>
      <x:c r="S8" s="30" t="str">
        <x:v>Analytics Engineer</x:v>
      </x:c>
      <x:c r="T8" s="30" t="str">
        <x:v>Proposed</x:v>
      </x:c>
    </x:row>
    <x:row r="9">
      <x:c r="A9" s="19" t="inlineStr">
        <x:is>
          <x:t xml:space="preserve">EVT-01</x:t>
        </x:is>
      </x:c>
      <x:c r="B9" s="6" t="inlineStr">
        <x:is>
          <x:t xml:space="preserve">utm_term</x:t>
        </x:is>
      </x:c>
      <x:c r="C9" s="6" t="inlineStr">
        <x:is>
          <x:t xml:space="preserve">ترم UTM</x:t>
        </x:is>
      </x:c>
      <x:c r="D9" s="6" t="inlineStr">
        <x:is>
          <x:t xml:space="preserve">کلمه کلیدی پولی</x:t>
        </x:is>
      </x:c>
      <x:c r="E9" s="6" t="inlineStr">
        <x:is>
          <x:t xml:space="preserve">String</x:t>
        </x:is>
      </x:c>
      <x:c r="F9" s="19" t="inlineStr">
        <x:is>
          <x:t xml:space="preserve">Optional</x:t>
        </x:is>
      </x:c>
      <x:c r="G9" s="6" t="inlineStr">
        <x:is>
          <x:t xml:space="preserve">yunet-dental</x:t>
        </x:is>
      </x:c>
      <x:c r="H9" s="6" t="inlineStr">
        <x:is>
          <x:t xml:space="preserve">—</x:t>
        </x:is>
      </x:c>
      <x:c r="I9" s="6" t="inlineStr">
        <x:is>
          <x:t xml:space="preserve">URL param</x:t>
        </x:is>
      </x:c>
      <x:c r="J9" s="6" t="inlineStr">
        <x:is>
          <x:t xml:space="preserve">lowercase</x:t>
        </x:is>
      </x:c>
      <x:c r="K9" s="6" t="inlineStr">
        <x:is>
          <x:t xml:space="preserve">حداکثر ۵۰ کاراکتر</x:t>
        </x:is>
      </x:c>
      <x:c r="L9" s="19" t="inlineStr">
        <x:is>
          <x:t xml:space="preserve">None</x:t>
        </x:is>
      </x:c>
      <x:c r="M9" s="19" t="inlineStr">
        <x:is>
          <x:t xml:space="preserve">No</x:t>
        </x:is>
      </x:c>
      <x:c r="N9" s="6" t="inlineStr">
        <x:is>
          <x:t xml:space="preserve">GA4, DWH</x:t>
        </x:is>
      </x:c>
      <x:c r="O9" s="6" t="inlineStr">
        <x:is>
          <x:t xml:space="preserve"/>
        </x:is>
      </x:c>
      <x:c r="P9" s="30" t="str">
        <x:v>EVP-008</x:v>
      </x:c>
      <x:c r="Q9" s="30" t="str">
        <x:v>EVT-01</x:v>
      </x:c>
      <x:c r="R9" s="30" t="str">
        <x:v>W2</x:v>
      </x:c>
      <x:c r="S9" s="30" t="str">
        <x:v>Analytics Engineer</x:v>
      </x:c>
      <x:c r="T9" s="30" t="str">
        <x:v>Proposed</x:v>
      </x:c>
    </x:row>
    <x:row r="10">
      <x:c r="A10" s="17" t="inlineStr">
        <x:is>
          <x:t xml:space="preserve">EVT-01</x:t>
        </x:is>
      </x:c>
      <x:c r="B10" s="4" t="inlineStr">
        <x:is>
          <x:t xml:space="preserve">utm_content</x:t>
        </x:is>
      </x:c>
      <x:c r="C10" s="4" t="inlineStr">
        <x:is>
          <x:t xml:space="preserve">کانتنت UTM</x:t>
        </x:is>
      </x:c>
      <x:c r="D10" s="4" t="inlineStr">
        <x:is>
          <x:t xml:space="preserve">شناسه کریتیو/لینک</x:t>
        </x:is>
      </x:c>
      <x:c r="E10" s="4" t="inlineStr">
        <x:is>
          <x:t xml:space="preserve">String</x:t>
        </x:is>
      </x:c>
      <x:c r="F10" s="17" t="inlineStr">
        <x:is>
          <x:t xml:space="preserve">Optional</x:t>
        </x:is>
      </x:c>
      <x:c r="G10" s="4" t="inlineStr">
        <x:is>
          <x:t xml:space="preserve">reels_hook1_v2</x:t>
        </x:is>
      </x:c>
      <x:c r="H10" s="4" t="inlineStr">
        <x:is>
          <x:t xml:space="preserve">—</x:t>
        </x:is>
      </x:c>
      <x:c r="I10" s="4" t="inlineStr">
        <x:is>
          <x:t xml:space="preserve">URL param</x:t>
        </x:is>
      </x:c>
      <x:c r="J10" s="4" t="inlineStr">
        <x:is>
          <x:t xml:space="preserve">lowercase</x:t>
        </x:is>
      </x:c>
      <x:c r="K10" s="4" t="inlineStr">
        <x:is>
          <x:t xml:space="preserve">حداکثر ۵۰ کاراکتر</x:t>
        </x:is>
      </x:c>
      <x:c r="L10" s="17" t="inlineStr">
        <x:is>
          <x:t xml:space="preserve">None</x:t>
        </x:is>
      </x:c>
      <x:c r="M10" s="17" t="inlineStr">
        <x:is>
          <x:t xml:space="preserve">No</x:t>
        </x:is>
      </x:c>
      <x:c r="N10" s="4" t="inlineStr">
        <x:is>
          <x:t xml:space="preserve">GA4, DWH</x:t>
        </x:is>
      </x:c>
      <x:c r="O10" s="4" t="inlineStr">
        <x:is>
          <x:t xml:space="preserve"/>
        </x:is>
      </x:c>
      <x:c r="P10" s="30" t="str">
        <x:v>EVP-009</x:v>
      </x:c>
      <x:c r="Q10" s="30" t="str">
        <x:v>EVT-01</x:v>
      </x:c>
      <x:c r="R10" s="30" t="str">
        <x:v>W2</x:v>
      </x:c>
      <x:c r="S10" s="30" t="str">
        <x:v>Analytics Engineer</x:v>
      </x:c>
      <x:c r="T10" s="30" t="str">
        <x:v>Proposed</x:v>
      </x:c>
    </x:row>
    <x:row r="11">
      <x:c r="A11" s="19" t="inlineStr">
        <x:is>
          <x:t xml:space="preserve">EVT-01</x:t>
        </x:is>
      </x:c>
      <x:c r="B11" s="6" t="inlineStr">
        <x:is>
          <x:t xml:space="preserve">device_category</x:t>
        </x:is>
      </x:c>
      <x:c r="C11" s="6" t="inlineStr">
        <x:is>
          <x:t xml:space="preserve">رده دستگاه</x:t>
        </x:is>
      </x:c>
      <x:c r="D11" s="6" t="inlineStr">
        <x:is>
          <x:t xml:space="preserve">موبایل/دسکتاپ/تبلت</x:t>
        </x:is>
      </x:c>
      <x:c r="E11" s="6" t="inlineStr">
        <x:is>
          <x:t xml:space="preserve">Enum</x:t>
        </x:is>
      </x:c>
      <x:c r="F11" s="19" t="inlineStr">
        <x:is>
          <x:t xml:space="preserve">Optional</x:t>
        </x:is>
      </x:c>
      <x:c r="G11" s="6" t="inlineStr">
        <x:is>
          <x:t xml:space="preserve">mobile</x:t>
        </x:is>
      </x:c>
      <x:c r="H11" s="6" t="inlineStr">
        <x:is>
          <x:t xml:space="preserve">mobile/desktop/tablet</x:t>
        </x:is>
      </x:c>
      <x:c r="I11" s="6" t="inlineStr">
        <x:is>
          <x:t xml:space="preserve">User-Agent parsing</x:t>
        </x:is>
      </x:c>
      <x:c r="J11" s="6" t="inlineStr">
        <x:is>
          <x:t xml:space="preserve">استاندارد GA4</x:t>
        </x:is>
      </x:c>
      <x:c r="K11" s="6" t="inlineStr">
        <x:is>
          <x:t xml:space="preserve">عضویت در لیست</x:t>
        </x:is>
      </x:c>
      <x:c r="L11" s="19" t="inlineStr">
        <x:is>
          <x:t xml:space="preserve">None</x:t>
        </x:is>
      </x:c>
      <x:c r="M11" s="19" t="inlineStr">
        <x:is>
          <x:t xml:space="preserve">No</x:t>
        </x:is>
      </x:c>
      <x:c r="N11" s="6" t="inlineStr">
        <x:is>
          <x:t xml:space="preserve">GA4, DWH</x:t>
        </x:is>
      </x:c>
      <x:c r="O11" s="6" t="inlineStr">
        <x:is>
          <x:t xml:space="preserve"/>
        </x:is>
      </x:c>
      <x:c r="P11" s="30" t="str">
        <x:v>EVP-010</x:v>
      </x:c>
      <x:c r="Q11" s="30" t="str">
        <x:v>EVT-01</x:v>
      </x:c>
      <x:c r="R11" s="30" t="str">
        <x:v>W2</x:v>
      </x:c>
      <x:c r="S11" s="30" t="str">
        <x:v>Analytics Engineer</x:v>
      </x:c>
      <x:c r="T11" s="30" t="str">
        <x:v>Proposed</x:v>
      </x:c>
    </x:row>
    <x:row r="12">
      <x:c r="A12" s="17" t="inlineStr">
        <x:is>
          <x:t xml:space="preserve">EVT-02</x:t>
        </x:is>
      </x:c>
      <x:c r="B12" s="4" t="inlineStr">
        <x:is>
          <x:t xml:space="preserve">item_list_id</x:t>
        </x:is>
      </x:c>
      <x:c r="C12" s="4" t="inlineStr">
        <x:is>
          <x:t xml:space="preserve">شناسه لیست کالا</x:t>
        </x:is>
      </x:c>
      <x:c r="D12" s="4" t="inlineStr">
        <x:is>
          <x:t xml:space="preserve">کد یکتای لیست/دسته</x:t>
        </x:is>
      </x:c>
      <x:c r="E12" s="4" t="inlineStr">
        <x:is>
          <x:t xml:space="preserve">String</x:t>
        </x:is>
      </x:c>
      <x:c r="F12" s="17" t="inlineStr">
        <x:is>
          <x:t xml:space="preserve">Required</x:t>
        </x:is>
      </x:c>
      <x:c r="G12" s="4" t="inlineStr">
        <x:is>
          <x:t xml:space="preserve">cat_implantology</x:t>
        </x:is>
      </x:c>
      <x:c r="H12" s="4" t="inlineStr">
        <x:is>
          <x:t xml:space="preserve">—</x:t>
        </x:is>
      </x:c>
      <x:c r="I12" s="4" t="inlineStr">
        <x:is>
          <x:t xml:space="preserve">دیتابیس کاتالوگ</x:t>
        </x:is>
      </x:c>
      <x:c r="J12" s="4" t="inlineStr">
        <x:is>
          <x:t xml:space="preserve">هیچ</x:t>
        </x:is>
      </x:c>
      <x:c r="K12" s="4" t="inlineStr">
        <x:is>
          <x:t xml:space="preserve">حداکثر ۵۰ کاراکتر</x:t>
        </x:is>
      </x:c>
      <x:c r="L12" s="17" t="inlineStr">
        <x:is>
          <x:t xml:space="preserve">None</x:t>
        </x:is>
      </x:c>
      <x:c r="M12" s="17" t="inlineStr">
        <x:is>
          <x:t xml:space="preserve">No</x:t>
        </x:is>
      </x:c>
      <x:c r="N12" s="4" t="inlineStr">
        <x:is>
          <x:t xml:space="preserve">GA4, BigQuery</x:t>
        </x:is>
      </x:c>
      <x:c r="O12" s="4" t="inlineStr">
        <x:is>
          <x:t xml:space="preserve"/>
        </x:is>
      </x:c>
      <x:c r="P12" s="30" t="str">
        <x:v>EVP-011</x:v>
      </x:c>
      <x:c r="Q12" s="30" t="str">
        <x:v>EVT-02</x:v>
      </x:c>
      <x:c r="R12" s="30" t="str">
        <x:v>W2</x:v>
      </x:c>
      <x:c r="S12" s="30" t="str">
        <x:v>Analytics Engineer</x:v>
      </x:c>
      <x:c r="T12" s="30" t="str">
        <x:v>Proposed</x:v>
      </x:c>
    </x:row>
    <x:row r="13">
      <x:c r="A13" s="19" t="inlineStr">
        <x:is>
          <x:t xml:space="preserve">EVT-02</x:t>
        </x:is>
      </x:c>
      <x:c r="B13" s="6" t="inlineStr">
        <x:is>
          <x:t xml:space="preserve">item_list_name</x:t>
        </x:is>
      </x:c>
      <x:c r="C13" s="6" t="inlineStr">
        <x:is>
          <x:t xml:space="preserve">نام لیست کالا</x:t>
        </x:is>
      </x:c>
      <x:c r="D13" s="6" t="inlineStr">
        <x:is>
          <x:t xml:space="preserve">عنوان فارسی لیست</x:t>
        </x:is>
      </x:c>
      <x:c r="E13" s="6" t="inlineStr">
        <x:is>
          <x:t xml:space="preserve">String</x:t>
        </x:is>
      </x:c>
      <x:c r="F13" s="19" t="inlineStr">
        <x:is>
          <x:t xml:space="preserve">Required</x:t>
        </x:is>
      </x:c>
      <x:c r="G13" s="6" t="inlineStr">
        <x:is>
          <x:t xml:space="preserve">ایمپلنتولوژی و تجهیزات جراحی</x:t>
        </x:is>
      </x:c>
      <x:c r="H13" s="6" t="inlineStr">
        <x:is>
          <x:t xml:space="preserve">—</x:t>
        </x:is>
      </x:c>
      <x:c r="I13" s="6" t="inlineStr">
        <x:is>
          <x:t xml:space="preserve">دیتابیس کاتالوگ</x:t>
        </x:is>
      </x:c>
      <x:c r="J13" s="6" t="inlineStr">
        <x:is>
          <x:t xml:space="preserve">هیچ</x:t>
        </x:is>
      </x:c>
      <x:c r="K13" s="6" t="inlineStr">
        <x:is>
          <x:t xml:space="preserve">حداکثر ۱۰۰ کاراکتر</x:t>
        </x:is>
      </x:c>
      <x:c r="L13" s="19" t="inlineStr">
        <x:is>
          <x:t xml:space="preserve">None</x:t>
        </x:is>
      </x:c>
      <x:c r="M13" s="19" t="inlineStr">
        <x:is>
          <x:t xml:space="preserve">No</x:t>
        </x:is>
      </x:c>
      <x:c r="N13" s="6" t="inlineStr">
        <x:is>
          <x:t xml:space="preserve">GA4, BigQuery</x:t>
        </x:is>
      </x:c>
      <x:c r="O13" s="6" t="inlineStr">
        <x:is>
          <x:t xml:space="preserve"/>
        </x:is>
      </x:c>
      <x:c r="P13" s="30" t="str">
        <x:v>EVP-012</x:v>
      </x:c>
      <x:c r="Q13" s="30" t="str">
        <x:v>EVT-02</x:v>
      </x:c>
      <x:c r="R13" s="30" t="str">
        <x:v>W2</x:v>
      </x:c>
      <x:c r="S13" s="30" t="str">
        <x:v>Analytics Engineer</x:v>
      </x:c>
      <x:c r="T13" s="30" t="str">
        <x:v>Proposed</x:v>
      </x:c>
    </x:row>
    <x:row r="14">
      <x:c r="A14" s="17" t="inlineStr">
        <x:is>
          <x:t xml:space="preserve">EVT-02</x:t>
        </x:is>
      </x:c>
      <x:c r="B14" s="4" t="inlineStr">
        <x:is>
          <x:t xml:space="preserve">items</x:t>
        </x:is>
      </x:c>
      <x:c r="C14" s="4" t="inlineStr">
        <x:is>
          <x:t xml:space="preserve">آرایه اقلام</x:t>
        </x:is>
      </x:c>
      <x:c r="D14" s="4" t="inlineStr">
        <x:is>
          <x:t xml:space="preserve">حداکثر ۲۰ قلم با item_id/item_name/price</x:t>
        </x:is>
      </x:c>
      <x:c r="E14" s="4" t="inlineStr">
        <x:is>
          <x:t xml:space="preserve">Array[Object]</x:t>
        </x:is>
      </x:c>
      <x:c r="F14" s="17" t="inlineStr">
        <x:is>
          <x:t xml:space="preserve">Required</x:t>
        </x:is>
      </x:c>
      <x:c r="G14" s="4" t="inlineStr">
        <x:is>
          <x:t xml:space="preserve">[{item_id:SKU-IMP-01,...}]</x:t>
        </x:is>
      </x:c>
      <x:c r="H14" s="4" t="inlineStr">
        <x:is>
          <x:t xml:space="preserve">—</x:t>
        </x:is>
      </x:c>
      <x:c r="I14" s="4" t="inlineStr">
        <x:is>
          <x:t xml:space="preserve">لیست رندرشده</x:t>
        </x:is>
      </x:c>
      <x:c r="J14" s="4" t="inlineStr">
        <x:is>
          <x:t xml:space="preserve">slice(0,20)</x:t>
        </x:is>
      </x:c>
      <x:c r="K14" s="4" t="inlineStr">
        <x:is>
          <x:t xml:space="preserve">هر قلم item_id و price الزامی</x:t>
        </x:is>
      </x:c>
      <x:c r="L14" s="17" t="inlineStr">
        <x:is>
          <x:t xml:space="preserve">None</x:t>
        </x:is>
      </x:c>
      <x:c r="M14" s="17" t="inlineStr">
        <x:is>
          <x:t xml:space="preserve">No</x:t>
        </x:is>
      </x:c>
      <x:c r="N14" s="4" t="inlineStr">
        <x:is>
          <x:t xml:space="preserve">GA4, CAPI (content_ids)</x:t>
        </x:is>
      </x:c>
      <x:c r="O14" s="4" t="inlineStr">
        <x:is>
          <x:t xml:space="preserve"/>
        </x:is>
      </x:c>
      <x:c r="P14" s="30" t="str">
        <x:v>EVP-013</x:v>
      </x:c>
      <x:c r="Q14" s="30" t="str">
        <x:v>EVT-02</x:v>
      </x:c>
      <x:c r="R14" s="30" t="str">
        <x:v>W2</x:v>
      </x:c>
      <x:c r="S14" s="30" t="str">
        <x:v>Analytics Engineer</x:v>
      </x:c>
      <x:c r="T14" s="30" t="str">
        <x:v>Proposed</x:v>
      </x:c>
    </x:row>
    <x:row r="15">
      <x:c r="A15" s="19" t="inlineStr">
        <x:is>
          <x:t xml:space="preserve">EVT-02</x:t>
        </x:is>
      </x:c>
      <x:c r="B15" s="6" t="inlineStr">
        <x:is>
          <x:t xml:space="preserve">items.item_brand</x:t>
        </x:is>
      </x:c>
      <x:c r="C15" s="6" t="inlineStr">
        <x:is>
          <x:t xml:space="preserve">برند قلم (لیست)</x:t>
        </x:is>
      </x:c>
      <x:c r="D15" s="6" t="inlineStr">
        <x:is>
          <x:t xml:space="preserve">برند سازنده</x:t>
        </x:is>
      </x:c>
      <x:c r="E15" s="6" t="inlineStr">
        <x:is>
          <x:t xml:space="preserve">String</x:t>
        </x:is>
      </x:c>
      <x:c r="F15" s="19" t="inlineStr">
        <x:is>
          <x:t xml:space="preserve">Optional</x:t>
        </x:is>
      </x:c>
      <x:c r="G15" s="6" t="inlineStr">
        <x:is>
          <x:t xml:space="preserve">Dentsply</x:t>
        </x:is>
      </x:c>
      <x:c r="H15" s="6" t="inlineStr">
        <x:is>
          <x:t xml:space="preserve">—</x:t>
        </x:is>
      </x:c>
      <x:c r="I15" s="6" t="inlineStr">
        <x:is>
          <x:t xml:space="preserve">کاتالوگ</x:t>
        </x:is>
      </x:c>
      <x:c r="J15" s="6" t="inlineStr">
        <x:is>
          <x:t xml:space="preserve">هیچ</x:t>
        </x:is>
      </x:c>
      <x:c r="K15" s="6" t="inlineStr">
        <x:is>
          <x:t xml:space="preserve">مطابقت با جدول Brand</x:t>
        </x:is>
      </x:c>
      <x:c r="L15" s="19" t="inlineStr">
        <x:is>
          <x:t xml:space="preserve">None</x:t>
        </x:is>
      </x:c>
      <x:c r="M15" s="19" t="inlineStr">
        <x:is>
          <x:t xml:space="preserve">No</x:t>
        </x:is>
      </x:c>
      <x:c r="N15" s="6" t="inlineStr">
        <x:is>
          <x:t xml:space="preserve">GA4, CAPI</x:t>
        </x:is>
      </x:c>
      <x:c r="O15" s="6" t="inlineStr">
        <x:is>
          <x:t xml:space="preserve"/>
        </x:is>
      </x:c>
      <x:c r="P15" s="30" t="str">
        <x:v>EVP-014</x:v>
      </x:c>
      <x:c r="Q15" s="30" t="str">
        <x:v>EVT-02</x:v>
      </x:c>
      <x:c r="R15" s="30" t="str">
        <x:v>W2</x:v>
      </x:c>
      <x:c r="S15" s="30" t="str">
        <x:v>Analytics Engineer</x:v>
      </x:c>
      <x:c r="T15" s="30" t="str">
        <x:v>Proposed</x:v>
      </x:c>
    </x:row>
    <x:row r="16">
      <x:c r="A16" s="17" t="inlineStr">
        <x:is>
          <x:t xml:space="preserve">EVT-02</x:t>
        </x:is>
      </x:c>
      <x:c r="B16" s="4" t="inlineStr">
        <x:is>
          <x:t xml:space="preserve">items.item_category</x:t>
        </x:is>
      </x:c>
      <x:c r="C16" s="4" t="inlineStr">
        <x:is>
          <x:t xml:space="preserve">دسته قلم (لیست)</x:t>
        </x:is>
      </x:c>
      <x:c r="D16" s="4" t="inlineStr">
        <x:is>
          <x:t xml:space="preserve">دسته اصلی کالا</x:t>
        </x:is>
      </x:c>
      <x:c r="E16" s="4" t="inlineStr">
        <x:is>
          <x:t xml:space="preserve">String</x:t>
        </x:is>
      </x:c>
      <x:c r="F16" s="17" t="inlineStr">
        <x:is>
          <x:t xml:space="preserve">Optional</x:t>
        </x:is>
      </x:c>
      <x:c r="G16" s="4" t="inlineStr">
        <x:is>
          <x:t xml:space="preserve">Implant</x:t>
        </x:is>
      </x:c>
      <x:c r="H16" s="4" t="inlineStr">
        <x:is>
          <x:t xml:space="preserve">—</x:t>
        </x:is>
      </x:c>
      <x:c r="I16" s="4" t="inlineStr">
        <x:is>
          <x:t xml:space="preserve">کاتالوگ</x:t>
        </x:is>
      </x:c>
      <x:c r="J16" s="4" t="inlineStr">
        <x:is>
          <x:t xml:space="preserve">هیچ</x:t>
        </x:is>
      </x:c>
      <x:c r="K16" s="4" t="inlineStr">
        <x:is>
          <x:t xml:space="preserve">مطابقت درخت Category</x:t>
        </x:is>
      </x:c>
      <x:c r="L16" s="17" t="inlineStr">
        <x:is>
          <x:t xml:space="preserve">None</x:t>
        </x:is>
      </x:c>
      <x:c r="M16" s="17" t="inlineStr">
        <x:is>
          <x:t xml:space="preserve">No</x:t>
        </x:is>
      </x:c>
      <x:c r="N16" s="4" t="inlineStr">
        <x:is>
          <x:t xml:space="preserve">GA4, CAPI</x:t>
        </x:is>
      </x:c>
      <x:c r="O16" s="4" t="inlineStr">
        <x:is>
          <x:t xml:space="preserve"/>
        </x:is>
      </x:c>
      <x:c r="P16" s="30" t="str">
        <x:v>EVP-015</x:v>
      </x:c>
      <x:c r="Q16" s="30" t="str">
        <x:v>EVT-02</x:v>
      </x:c>
      <x:c r="R16" s="30" t="str">
        <x:v>W2</x:v>
      </x:c>
      <x:c r="S16" s="30" t="str">
        <x:v>Analytics Engineer</x:v>
      </x:c>
      <x:c r="T16" s="30" t="str">
        <x:v>Proposed</x:v>
      </x:c>
    </x:row>
    <x:row r="17">
      <x:c r="A17" s="19" t="inlineStr">
        <x:is>
          <x:t xml:space="preserve">EVT-02</x:t>
        </x:is>
      </x:c>
      <x:c r="B17" s="6" t="inlineStr">
        <x:is>
          <x:t xml:space="preserve">items.index</x:t>
        </x:is>
      </x:c>
      <x:c r="C17" s="6" t="inlineStr">
        <x:is>
          <x:t xml:space="preserve">موقعیت در لیست</x:t>
        </x:is>
      </x:c>
      <x:c r="D17" s="6" t="inlineStr">
        <x:is>
          <x:t xml:space="preserve">شماره مرتبه قلم</x:t>
        </x:is>
      </x:c>
      <x:c r="E17" s="6" t="inlineStr">
        <x:is>
          <x:t xml:space="preserve">Integer</x:t>
        </x:is>
      </x:c>
      <x:c r="F17" s="19" t="inlineStr">
        <x:is>
          <x:t xml:space="preserve">Optional</x:t>
        </x:is>
      </x:c>
      <x:c r="G17" s="6" t="inlineStr">
        <x:is>
          <x:t xml:space="preserve">1</x:t>
        </x:is>
      </x:c>
      <x:c r="H17" s="6" t="inlineStr">
        <x:is>
          <x:t xml:space="preserve">1..20</x:t>
        </x:is>
      </x:c>
      <x:c r="I17" s="6" t="inlineStr">
        <x:is>
          <x:t xml:space="preserve">loop index</x:t>
        </x:is>
      </x:c>
      <x:c r="J17" s="6" t="inlineStr">
        <x:is>
          <x:t xml:space="preserve">هیچ</x:t>
        </x:is>
      </x:c>
      <x:c r="K17" s="6" t="inlineStr">
        <x:is>
          <x:t xml:space="preserve">بزرگ‌تر از ۰</x:t>
        </x:is>
      </x:c>
      <x:c r="L17" s="19" t="inlineStr">
        <x:is>
          <x:t xml:space="preserve">None</x:t>
        </x:is>
      </x:c>
      <x:c r="M17" s="19" t="inlineStr">
        <x:is>
          <x:t xml:space="preserve">No</x:t>
        </x:is>
      </x:c>
      <x:c r="N17" s="6" t="inlineStr">
        <x:is>
          <x:t xml:space="preserve">GA4, CAPI</x:t>
        </x:is>
      </x:c>
      <x:c r="O17" s="6" t="inlineStr">
        <x:is>
          <x:t xml:space="preserve"/>
        </x:is>
      </x:c>
      <x:c r="P17" s="30" t="str">
        <x:v>EVP-016</x:v>
      </x:c>
      <x:c r="Q17" s="30" t="str">
        <x:v>EVT-02</x:v>
      </x:c>
      <x:c r="R17" s="30" t="str">
        <x:v>W2</x:v>
      </x:c>
      <x:c r="S17" s="30" t="str">
        <x:v>Analytics Engineer</x:v>
      </x:c>
      <x:c r="T17" s="30" t="str">
        <x:v>Proposed</x:v>
      </x:c>
    </x:row>
    <x:row r="18">
      <x:c r="A18" s="17" t="inlineStr">
        <x:is>
          <x:t xml:space="preserve">EVT-03</x:t>
        </x:is>
      </x:c>
      <x:c r="B18" s="4" t="inlineStr">
        <x:is>
          <x:t xml:space="preserve">item_list_id</x:t>
        </x:is>
      </x:c>
      <x:c r="C18" s="4" t="inlineStr">
        <x:is>
          <x:t xml:space="preserve">شناسه لیست کالا</x:t>
        </x:is>
      </x:c>
      <x:c r="D18" s="4" t="inlineStr">
        <x:is>
          <x:t xml:space="preserve">کد یکتای لیست مبدأ</x:t>
        </x:is>
      </x:c>
      <x:c r="E18" s="4" t="inlineStr">
        <x:is>
          <x:t xml:space="preserve">String</x:t>
        </x:is>
      </x:c>
      <x:c r="F18" s="17" t="inlineStr">
        <x:is>
          <x:t xml:space="preserve">Required</x:t>
        </x:is>
      </x:c>
      <x:c r="G18" s="4" t="inlineStr">
        <x:is>
          <x:t xml:space="preserve">search_results</x:t>
        </x:is>
      </x:c>
      <x:c r="H18" s="4" t="inlineStr">
        <x:is>
          <x:t xml:space="preserve">—</x:t>
        </x:is>
      </x:c>
      <x:c r="I18" s="4" t="inlineStr">
        <x:is>
          <x:t xml:space="preserve">dataLayer</x:t>
        </x:is>
      </x:c>
      <x:c r="J18" s="4" t="inlineStr">
        <x:is>
          <x:t xml:space="preserve">هیچ</x:t>
        </x:is>
      </x:c>
      <x:c r="K18" s="4" t="inlineStr">
        <x:is>
          <x:t xml:space="preserve">—</x:t>
        </x:is>
      </x:c>
      <x:c r="L18" s="17" t="inlineStr">
        <x:is>
          <x:t xml:space="preserve">None</x:t>
        </x:is>
      </x:c>
      <x:c r="M18" s="17" t="inlineStr">
        <x:is>
          <x:t xml:space="preserve">No</x:t>
        </x:is>
      </x:c>
      <x:c r="N18" s="4" t="inlineStr">
        <x:is>
          <x:t xml:space="preserve">GA4, BigQuery</x:t>
        </x:is>
      </x:c>
      <x:c r="O18" s="4" t="inlineStr">
        <x:is>
          <x:t xml:space="preserve"/>
        </x:is>
      </x:c>
      <x:c r="P18" s="30" t="str">
        <x:v>EVP-017</x:v>
      </x:c>
      <x:c r="Q18" s="30" t="str">
        <x:v>EVT-03</x:v>
      </x:c>
      <x:c r="R18" s="30" t="str">
        <x:v>W2</x:v>
      </x:c>
      <x:c r="S18" s="30" t="str">
        <x:v>Analytics Engineer</x:v>
      </x:c>
      <x:c r="T18" s="30" t="str">
        <x:v>Proposed</x:v>
      </x:c>
    </x:row>
    <x:row r="19">
      <x:c r="A19" s="19" t="inlineStr">
        <x:is>
          <x:t xml:space="preserve">EVT-03</x:t>
        </x:is>
      </x:c>
      <x:c r="B19" s="6" t="inlineStr">
        <x:is>
          <x:t xml:space="preserve">item_list_name</x:t>
        </x:is>
      </x:c>
      <x:c r="C19" s="6" t="inlineStr">
        <x:is>
          <x:t xml:space="preserve">نام لیست کالا</x:t>
        </x:is>
      </x:c>
      <x:c r="D19" s="6" t="inlineStr">
        <x:is>
          <x:t xml:space="preserve">عنوان لیست مبدأ</x:t>
        </x:is>
      </x:c>
      <x:c r="E19" s="6" t="inlineStr">
        <x:is>
          <x:t xml:space="preserve">String</x:t>
        </x:is>
      </x:c>
      <x:c r="F19" s="19" t="inlineStr">
        <x:is>
          <x:t xml:space="preserve">Required</x:t>
        </x:is>
      </x:c>
      <x:c r="G19" s="6" t="inlineStr">
        <x:is>
          <x:t xml:space="preserve">نتایج جستجو</x:t>
        </x:is>
      </x:c>
      <x:c r="H19" s="6" t="inlineStr">
        <x:is>
          <x:t xml:space="preserve">—</x:t>
        </x:is>
      </x:c>
      <x:c r="I19" s="6" t="inlineStr">
        <x:is>
          <x:t xml:space="preserve">dataLayer</x:t>
        </x:is>
      </x:c>
      <x:c r="J19" s="6" t="inlineStr">
        <x:is>
          <x:t xml:space="preserve">هیچ</x:t>
        </x:is>
      </x:c>
      <x:c r="K19" s="6" t="inlineStr">
        <x:is>
          <x:t xml:space="preserve">—</x:t>
        </x:is>
      </x:c>
      <x:c r="L19" s="19" t="inlineStr">
        <x:is>
          <x:t xml:space="preserve">None</x:t>
        </x:is>
      </x:c>
      <x:c r="M19" s="19" t="inlineStr">
        <x:is>
          <x:t xml:space="preserve">No</x:t>
        </x:is>
      </x:c>
      <x:c r="N19" s="6" t="inlineStr">
        <x:is>
          <x:t xml:space="preserve">GA4, BigQuery</x:t>
        </x:is>
      </x:c>
      <x:c r="O19" s="6" t="inlineStr">
        <x:is>
          <x:t xml:space="preserve"/>
        </x:is>
      </x:c>
      <x:c r="P19" s="30" t="str">
        <x:v>EVP-018</x:v>
      </x:c>
      <x:c r="Q19" s="30" t="str">
        <x:v>EVT-03</x:v>
      </x:c>
      <x:c r="R19" s="30" t="str">
        <x:v>W2</x:v>
      </x:c>
      <x:c r="S19" s="30" t="str">
        <x:v>Analytics Engineer</x:v>
      </x:c>
      <x:c r="T19" s="30" t="str">
        <x:v>Proposed</x:v>
      </x:c>
    </x:row>
    <x:row r="20">
      <x:c r="A20" s="17" t="inlineStr">
        <x:is>
          <x:t xml:space="preserve">EVT-03</x:t>
        </x:is>
      </x:c>
      <x:c r="B20" s="4" t="inlineStr">
        <x:is>
          <x:t xml:space="preserve">items</x:t>
        </x:is>
      </x:c>
      <x:c r="C20" s="4" t="inlineStr">
        <x:is>
          <x:t xml:space="preserve">آرایه قلم تک</x:t>
        </x:is>
      </x:c>
      <x:c r="D20" s="4" t="inlineStr">
        <x:is>
          <x:t xml:space="preserve">آرایه تک‌کالایی کلیک‌شده</x:t>
        </x:is>
      </x:c>
      <x:c r="E20" s="4" t="inlineStr">
        <x:is>
          <x:t xml:space="preserve">Array[Object]</x:t>
        </x:is>
      </x:c>
      <x:c r="F20" s="17" t="inlineStr">
        <x:is>
          <x:t xml:space="preserve">Required</x:t>
        </x:is>
      </x:c>
      <x:c r="G20" s="4" t="inlineStr">
        <x:is>
          <x:t xml:space="preserve">[{item_id:SKU-COMP-3M,...}]</x:t>
        </x:is>
      </x:c>
      <x:c r="H20" s="4" t="inlineStr">
        <x:is>
          <x:t xml:space="preserve">—</x:t>
        </x:is>
      </x:c>
      <x:c r="I20" s="4" t="inlineStr">
        <x:is>
          <x:t xml:space="preserve">dataLayer</x:t>
        </x:is>
      </x:c>
      <x:c r="J20" s="4" t="inlineStr">
        <x:is>
          <x:t xml:space="preserve">هیچ</x:t>
        </x:is>
      </x:c>
      <x:c r="K20" s="4" t="inlineStr">
        <x:is>
          <x:t xml:space="preserve">دقیقاً ۱ قلم</x:t>
        </x:is>
      </x:c>
      <x:c r="L20" s="17" t="inlineStr">
        <x:is>
          <x:t xml:space="preserve">None</x:t>
        </x:is>
      </x:c>
      <x:c r="M20" s="17" t="inlineStr">
        <x:is>
          <x:t xml:space="preserve">No</x:t>
        </x:is>
      </x:c>
      <x:c r="N20" s="4" t="inlineStr">
        <x:is>
          <x:t xml:space="preserve">GA4, CAPI (content_id)</x:t>
        </x:is>
      </x:c>
      <x:c r="O20" s="4" t="inlineStr">
        <x:is>
          <x:t xml:space="preserve"/>
        </x:is>
      </x:c>
      <x:c r="P20" s="30" t="str">
        <x:v>EVP-019</x:v>
      </x:c>
      <x:c r="Q20" s="30" t="str">
        <x:v>EVT-03</x:v>
      </x:c>
      <x:c r="R20" s="30" t="str">
        <x:v>W2</x:v>
      </x:c>
      <x:c r="S20" s="30" t="str">
        <x:v>Analytics Engineer</x:v>
      </x:c>
      <x:c r="T20" s="30" t="str">
        <x:v>Proposed</x:v>
      </x:c>
    </x:row>
    <x:row r="21">
      <x:c r="A21" s="19" t="inlineStr">
        <x:is>
          <x:t xml:space="preserve">EVT-03</x:t>
        </x:is>
      </x:c>
      <x:c r="B21" s="6" t="inlineStr">
        <x:is>
          <x:t xml:space="preserve">items.index</x:t>
        </x:is>
      </x:c>
      <x:c r="C21" s="6" t="inlineStr">
        <x:is>
          <x:t xml:space="preserve">موقعیت در لیست</x:t>
        </x:is>
      </x:c>
      <x:c r="D21" s="6" t="inlineStr">
        <x:is>
          <x:t xml:space="preserve">شماره مرتبه کلیک</x:t>
        </x:is>
      </x:c>
      <x:c r="E21" s="6" t="inlineStr">
        <x:is>
          <x:t xml:space="preserve">Integer</x:t>
        </x:is>
      </x:c>
      <x:c r="F21" s="19" t="inlineStr">
        <x:is>
          <x:t xml:space="preserve">Optional</x:t>
        </x:is>
      </x:c>
      <x:c r="G21" s="6" t="inlineStr">
        <x:is>
          <x:t xml:space="preserve">1</x:t>
        </x:is>
      </x:c>
      <x:c r="H21" s="6" t="inlineStr">
        <x:is>
          <x:t xml:space="preserve">1..100</x:t>
        </x:is>
      </x:c>
      <x:c r="I21" s="6" t="inlineStr">
        <x:is>
          <x:t xml:space="preserve">loop index</x:t>
        </x:is>
      </x:c>
      <x:c r="J21" s="6" t="inlineStr">
        <x:is>
          <x:t xml:space="preserve">هیچ</x:t>
        </x:is>
      </x:c>
      <x:c r="K21" s="6" t="inlineStr">
        <x:is>
          <x:t xml:space="preserve">&gt; 0</x:t>
        </x:is>
      </x:c>
      <x:c r="L21" s="19" t="inlineStr">
        <x:is>
          <x:t xml:space="preserve">None</x:t>
        </x:is>
      </x:c>
      <x:c r="M21" s="19" t="inlineStr">
        <x:is>
          <x:t xml:space="preserve">No</x:t>
        </x:is>
      </x:c>
      <x:c r="N21" s="6" t="inlineStr">
        <x:is>
          <x:t xml:space="preserve">GA4, CAPI</x:t>
        </x:is>
      </x:c>
      <x:c r="O21" s="6" t="inlineStr">
        <x:is>
          <x:t xml:space="preserve"/>
        </x:is>
      </x:c>
      <x:c r="P21" s="30" t="str">
        <x:v>EVP-020</x:v>
      </x:c>
      <x:c r="Q21" s="30" t="str">
        <x:v>EVT-03</x:v>
      </x:c>
      <x:c r="R21" s="30" t="str">
        <x:v>W2</x:v>
      </x:c>
      <x:c r="S21" s="30" t="str">
        <x:v>Analytics Engineer</x:v>
      </x:c>
      <x:c r="T21" s="30" t="str">
        <x:v>Proposed</x:v>
      </x:c>
    </x:row>
    <x:row r="22">
      <x:c r="A22" s="17" t="inlineStr">
        <x:is>
          <x:t xml:space="preserve">EVT-03</x:t>
        </x:is>
      </x:c>
      <x:c r="B22" s="4" t="inlineStr">
        <x:is>
          <x:t xml:space="preserve">items.item_category</x:t>
        </x:is>
      </x:c>
      <x:c r="C22" s="4" t="inlineStr">
        <x:is>
          <x:t xml:space="preserve">دسته قلم</x:t>
        </x:is>
      </x:c>
      <x:c r="D22" s="4" t="inlineStr">
        <x:is>
          <x:t xml:space="preserve">دسته اصلی کالا</x:t>
        </x:is>
      </x:c>
      <x:c r="E22" s="4" t="inlineStr">
        <x:is>
          <x:t xml:space="preserve">String</x:t>
        </x:is>
      </x:c>
      <x:c r="F22" s="17" t="inlineStr">
        <x:is>
          <x:t xml:space="preserve">Optional</x:t>
        </x:is>
      </x:c>
      <x:c r="G22" s="4" t="inlineStr">
        <x:is>
          <x:t xml:space="preserve">Composite</x:t>
        </x:is>
      </x:c>
      <x:c r="H22" s="4" t="inlineStr">
        <x:is>
          <x:t xml:space="preserve">—</x:t>
        </x:is>
      </x:c>
      <x:c r="I22" s="4" t="inlineStr">
        <x:is>
          <x:t xml:space="preserve">کاتالوگ</x:t>
        </x:is>
      </x:c>
      <x:c r="J22" s="4" t="inlineStr">
        <x:is>
          <x:t xml:space="preserve">هیچ</x:t>
        </x:is>
      </x:c>
      <x:c r="K22" s="4" t="inlineStr">
        <x:is>
          <x:t xml:space="preserve">مطابقت درخت</x:t>
        </x:is>
      </x:c>
      <x:c r="L22" s="17" t="inlineStr">
        <x:is>
          <x:t xml:space="preserve">None</x:t>
        </x:is>
      </x:c>
      <x:c r="M22" s="17" t="inlineStr">
        <x:is>
          <x:t xml:space="preserve">No</x:t>
        </x:is>
      </x:c>
      <x:c r="N22" s="4" t="inlineStr">
        <x:is>
          <x:t xml:space="preserve">GA4, CAPI</x:t>
        </x:is>
      </x:c>
      <x:c r="O22" s="4" t="inlineStr">
        <x:is>
          <x:t xml:space="preserve"/>
        </x:is>
      </x:c>
      <x:c r="P22" s="30" t="str">
        <x:v>EVP-021</x:v>
      </x:c>
      <x:c r="Q22" s="30" t="str">
        <x:v>EVT-03</x:v>
      </x:c>
      <x:c r="R22" s="30" t="str">
        <x:v>W2</x:v>
      </x:c>
      <x:c r="S22" s="30" t="str">
        <x:v>Analytics Engineer</x:v>
      </x:c>
      <x:c r="T22" s="30" t="str">
        <x:v>Proposed</x:v>
      </x:c>
    </x:row>
    <x:row r="23">
      <x:c r="A23" s="19" t="inlineStr">
        <x:is>
          <x:t xml:space="preserve">EVT-04</x:t>
        </x:is>
      </x:c>
      <x:c r="B23" s="6" t="inlineStr">
        <x:is>
          <x:t xml:space="preserve">currency</x:t>
        </x:is>
      </x:c>
      <x:c r="C23" s="6" t="inlineStr">
        <x:is>
          <x:t xml:space="preserve">ارز</x:t>
        </x:is>
      </x:c>
      <x:c r="D23" s="6" t="inlineStr">
        <x:is>
          <x:t xml:space="preserve">ارز مبادلاتی</x:t>
        </x:is>
      </x:c>
      <x:c r="E23" s="6" t="inlineStr">
        <x:is>
          <x:t xml:space="preserve">String</x:t>
        </x:is>
      </x:c>
      <x:c r="F23" s="19" t="inlineStr">
        <x:is>
          <x:t xml:space="preserve">Required</x:t>
        </x:is>
      </x:c>
      <x:c r="G23" s="6" t="inlineStr">
        <x:is>
          <x:t xml:space="preserve">IRR</x:t>
        </x:is>
      </x:c>
      <x:c r="H23" s="6" t="inlineStr">
        <x:is>
          <x:t xml:space="preserve">IRR</x:t>
        </x:is>
      </x:c>
      <x:c r="I23" s="6" t="inlineStr">
        <x:is>
          <x:t xml:space="preserve">سیستم قیمت‌گذاری</x:t>
        </x:is>
      </x:c>
      <x:c r="J23" s="6" t="inlineStr">
        <x:is>
          <x:t xml:space="preserve">ثابت IRR</x:t>
        </x:is>
      </x:c>
      <x:c r="K23" s="6" t="inlineStr">
        <x:is>
          <x:t xml:space="preserve">مطابقت ISO-4217</x:t>
        </x:is>
      </x:c>
      <x:c r="L23" s="19" t="inlineStr">
        <x:is>
          <x:t xml:space="preserve">None</x:t>
        </x:is>
      </x:c>
      <x:c r="M23" s="19" t="inlineStr">
        <x:is>
          <x:t xml:space="preserve">No</x:t>
        </x:is>
      </x:c>
      <x:c r="N23" s="6" t="inlineStr">
        <x:is>
          <x:t xml:space="preserve">GA4, CAPI, DWH</x:t>
        </x:is>
      </x:c>
      <x:c r="O23" s="6" t="inlineStr">
        <x:is>
          <x:t xml:space="preserve"/>
        </x:is>
      </x:c>
      <x:c r="P23" s="30" t="str">
        <x:v>EVP-022</x:v>
      </x:c>
      <x:c r="Q23" s="30" t="str">
        <x:v>EVT-04</x:v>
      </x:c>
      <x:c r="R23" s="30" t="str">
        <x:v>W2</x:v>
      </x:c>
      <x:c r="S23" s="30" t="str">
        <x:v>Analytics Engineer</x:v>
      </x:c>
      <x:c r="T23" s="30" t="str">
        <x:v>Proposed</x:v>
      </x:c>
    </x:row>
    <x:row r="24">
      <x:c r="A24" s="17" t="inlineStr">
        <x:is>
          <x:t xml:space="preserve">EVT-04</x:t>
        </x:is>
      </x:c>
      <x:c r="B24" s="4" t="inlineStr">
        <x:is>
          <x:t xml:space="preserve">value</x:t>
        </x:is>
      </x:c>
      <x:c r="C24" s="4" t="inlineStr">
        <x:is>
          <x:t xml:space="preserve">ارزش صفحه</x:t>
        </x:is>
      </x:c>
      <x:c r="D24" s="4" t="inlineStr">
        <x:is>
          <x:t xml:space="preserve">قیمت کالا در صفحه</x:t>
        </x:is>
      </x:c>
      <x:c r="E24" s="4" t="inlineStr">
        <x:is>
          <x:t xml:space="preserve">Decimal (IRR)</x:t>
        </x:is>
      </x:c>
      <x:c r="F24" s="17" t="inlineStr">
        <x:is>
          <x:t xml:space="preserve">Required</x:t>
        </x:is>
      </x:c>
      <x:c r="G24" s="4" t="inlineStr">
        <x:is>
          <x:t xml:space="preserve">2450000000</x:t>
        </x:is>
      </x:c>
      <x:c r="H24" s="4" t="inlineStr">
        <x:is>
          <x:t xml:space="preserve">&gt; 0</x:t>
        </x:is>
      </x:c>
      <x:c r="I24" s="4" t="inlineStr">
        <x:is>
          <x:t xml:space="preserve">کاتالوگ/بک‌اند</x:t>
        </x:is>
      </x:c>
      <x:c r="J24" s="4" t="inlineStr">
        <x:is>
          <x:t xml:space="preserve">تطبیق با قیمت لحظه‌ای انبار</x:t>
        </x:is>
      </x:c>
      <x:c r="K24" s="4" t="inlineStr">
        <x:is>
          <x:t xml:space="preserve">بزرگ‌تر از صفر</x:t>
        </x:is>
      </x:c>
      <x:c r="L24" s="17" t="inlineStr">
        <x:is>
          <x:t xml:space="preserve">None</x:t>
        </x:is>
      </x:c>
      <x:c r="M24" s="17" t="inlineStr">
        <x:is>
          <x:t xml:space="preserve">No</x:t>
        </x:is>
      </x:c>
      <x:c r="N24" s="4" t="inlineStr">
        <x:is>
          <x:t xml:space="preserve">GA4, CAPI, DWH</x:t>
        </x:is>
      </x:c>
      <x:c r="O24" s="4" t="inlineStr">
        <x:is>
          <x:t xml:space="preserve"/>
        </x:is>
      </x:c>
      <x:c r="P24" s="30" t="str">
        <x:v>EVP-023</x:v>
      </x:c>
      <x:c r="Q24" s="30" t="str">
        <x:v>EVT-04</x:v>
      </x:c>
      <x:c r="R24" s="30" t="str">
        <x:v>W2</x:v>
      </x:c>
      <x:c r="S24" s="30" t="str">
        <x:v>Analytics Engineer</x:v>
      </x:c>
      <x:c r="T24" s="30" t="str">
        <x:v>Proposed</x:v>
      </x:c>
    </x:row>
    <x:row r="25">
      <x:c r="A25" s="19" t="inlineStr">
        <x:is>
          <x:t xml:space="preserve">EVT-04</x:t>
        </x:is>
      </x:c>
      <x:c r="B25" s="6" t="inlineStr">
        <x:is>
          <x:t xml:space="preserve">items</x:t>
        </x:is>
      </x:c>
      <x:c r="C25" s="6" t="inlineStr">
        <x:is>
          <x:t xml:space="preserve">آرایه قلم</x:t>
        </x:is>
      </x:c>
      <x:c r="D25" s="6" t="inlineStr">
        <x:is>
          <x:t xml:space="preserve">جزئیات کالا در PDP</x:t>
        </x:is>
      </x:c>
      <x:c r="E25" s="6" t="inlineStr">
        <x:is>
          <x:t xml:space="preserve">Array[Object]</x:t>
        </x:is>
      </x:c>
      <x:c r="F25" s="19" t="inlineStr">
        <x:is>
          <x:t xml:space="preserve">Required</x:t>
        </x:is>
      </x:c>
      <x:c r="G25" s="6" t="inlineStr">
        <x:is>
          <x:t xml:space="preserve">[{item_id,price,item_brand,item_category}]</x:t>
        </x:is>
      </x:c>
      <x:c r="H25" s="6" t="inlineStr">
        <x:is>
          <x:t xml:space="preserve">—</x:t>
        </x:is>
      </x:c>
      <x:c r="I25" s="6" t="inlineStr">
        <x:is>
          <x:t xml:space="preserve">PDP backend</x:t>
        </x:is>
      </x:c>
      <x:c r="J25" s="6" t="inlineStr">
        <x:is>
          <x:t xml:space="preserve">هیچ</x:t>
        </x:is>
      </x:c>
      <x:c r="K25" s="6" t="inlineStr">
        <x:is>
          <x:t xml:space="preserve">فیلدهای الزامی GA4 e-com</x:t>
        </x:is>
      </x:c>
      <x:c r="L25" s="19" t="inlineStr">
        <x:is>
          <x:t xml:space="preserve">None</x:t>
        </x:is>
      </x:c>
      <x:c r="M25" s="19" t="inlineStr">
        <x:is>
          <x:t xml:space="preserve">No</x:t>
        </x:is>
      </x:c>
      <x:c r="N25" s="6" t="inlineStr">
        <x:is>
          <x:t xml:space="preserve">GA4, CAPI</x:t>
        </x:is>
      </x:c>
      <x:c r="O25" s="6" t="inlineStr">
        <x:is>
          <x:t xml:space="preserve"/>
        </x:is>
      </x:c>
      <x:c r="P25" s="30" t="str">
        <x:v>EVP-024</x:v>
      </x:c>
      <x:c r="Q25" s="30" t="str">
        <x:v>EVT-04</x:v>
      </x:c>
      <x:c r="R25" s="30" t="str">
        <x:v>W2</x:v>
      </x:c>
      <x:c r="S25" s="30" t="str">
        <x:v>Analytics Engineer</x:v>
      </x:c>
      <x:c r="T25" s="30" t="str">
        <x:v>Proposed</x:v>
      </x:c>
    </x:row>
    <x:row r="26">
      <x:c r="A26" s="17" t="inlineStr">
        <x:is>
          <x:t xml:space="preserve">EVT-04</x:t>
        </x:is>
      </x:c>
      <x:c r="B26" s="4" t="inlineStr">
        <x:is>
          <x:t xml:space="preserve">items.item_category2</x:t>
        </x:is>
      </x:c>
      <x:c r="C26" s="4" t="inlineStr">
        <x:is>
          <x:t xml:space="preserve">زیردسته کالا</x:t>
        </x:is>
      </x:c>
      <x:c r="D26" s="4" t="inlineStr">
        <x:is>
          <x:t xml:space="preserve">شاخه تخصصی</x:t>
        </x:is>
      </x:c>
      <x:c r="E26" s="4" t="inlineStr">
        <x:is>
          <x:t xml:space="preserve">String</x:t>
        </x:is>
      </x:c>
      <x:c r="F26" s="17" t="inlineStr">
        <x:is>
          <x:t xml:space="preserve">Optional</x:t>
        </x:is>
      </x:c>
      <x:c r="G26" s="4" t="inlineStr">
        <x:is>
          <x:t xml:space="preserve">Endodontics</x:t>
        </x:is>
      </x:c>
      <x:c r="H26" s="4" t="inlineStr">
        <x:is>
          <x:t xml:space="preserve">—</x:t>
        </x:is>
      </x:c>
      <x:c r="I26" s="4" t="inlineStr">
        <x:is>
          <x:t xml:space="preserve">کاتالوگ</x:t>
        </x:is>
      </x:c>
      <x:c r="J26" s="4" t="inlineStr">
        <x:is>
          <x:t xml:space="preserve">هیچ</x:t>
        </x:is>
      </x:c>
      <x:c r="K26" s="4" t="inlineStr">
        <x:is>
          <x:t xml:space="preserve">مطابقت درخت</x:t>
        </x:is>
      </x:c>
      <x:c r="L26" s="17" t="inlineStr">
        <x:is>
          <x:t xml:space="preserve">None</x:t>
        </x:is>
      </x:c>
      <x:c r="M26" s="17" t="inlineStr">
        <x:is>
          <x:t xml:space="preserve">No</x:t>
        </x:is>
      </x:c>
      <x:c r="N26" s="4" t="inlineStr">
        <x:is>
          <x:t xml:space="preserve">GA4</x:t>
        </x:is>
      </x:c>
      <x:c r="O26" s="4" t="inlineStr">
        <x:is>
          <x:t xml:space="preserve"/>
        </x:is>
      </x:c>
      <x:c r="P26" s="30" t="str">
        <x:v>EVP-025</x:v>
      </x:c>
      <x:c r="Q26" s="30" t="str">
        <x:v>EVT-04</x:v>
      </x:c>
      <x:c r="R26" s="30" t="str">
        <x:v>W2</x:v>
      </x:c>
      <x:c r="S26" s="30" t="str">
        <x:v>Analytics Engineer</x:v>
      </x:c>
      <x:c r="T26" s="30" t="str">
        <x:v>Proposed</x:v>
      </x:c>
    </x:row>
    <x:row r="27">
      <x:c r="A27" s="19" t="inlineStr">
        <x:is>
          <x:t xml:space="preserve">EVT-04</x:t>
        </x:is>
      </x:c>
      <x:c r="B27" s="6" t="inlineStr">
        <x:is>
          <x:t xml:space="preserve">items.availability_status</x:t>
        </x:is>
      </x:c>
      <x:c r="C27" s="6" t="inlineStr">
        <x:is>
          <x:t xml:space="preserve">وضعیت موجودی</x:t>
        </x:is>
      </x:c>
      <x:c r="D27" s="6" t="inlineStr">
        <x:is>
          <x:t xml:space="preserve">موجودی/ناموجود</x:t>
        </x:is>
      </x:c>
      <x:c r="E27" s="6" t="inlineStr">
        <x:is>
          <x:t xml:space="preserve">Enum</x:t>
        </x:is>
      </x:c>
      <x:c r="F27" s="19" t="inlineStr">
        <x:is>
          <x:t xml:space="preserve">Optional</x:t>
        </x:is>
      </x:c>
      <x:c r="G27" s="6" t="inlineStr">
        <x:is>
          <x:t xml:space="preserve">in_stock</x:t>
        </x:is>
      </x:c>
      <x:c r="H27" s="6" t="inlineStr">
        <x:is>
          <x:t xml:space="preserve">in_stock/out_of_stock/low</x:t>
        </x:is>
      </x:c>
      <x:c r="I27" s="6" t="inlineStr">
        <x:is>
          <x:t xml:space="preserve">WMS feed</x:t>
        </x:is>
      </x:c>
      <x:c r="J27" s="6" t="inlineStr">
        <x:is>
          <x:t xml:space="preserve">sync ساعتی</x:t>
        </x:is>
      </x:c>
      <x:c r="K27" s="6" t="inlineStr">
        <x:is>
          <x:t xml:space="preserve">مطابقت با WMS</x:t>
        </x:is>
      </x:c>
      <x:c r="L27" s="19" t="inlineStr">
        <x:is>
          <x:t xml:space="preserve">None</x:t>
        </x:is>
      </x:c>
      <x:c r="M27" s="19" t="inlineStr">
        <x:is>
          <x:t xml:space="preserve">No</x:t>
        </x:is>
      </x:c>
      <x:c r="N27" s="6" t="inlineStr">
        <x:is>
          <x:t xml:space="preserve">GA4, DWH</x:t>
        </x:is>
      </x:c>
      <x:c r="O27" s="6" t="inlineStr">
        <x:is>
          <x:t xml:space="preserve">پشتیبان REP-42/REP-47</x:t>
        </x:is>
      </x:c>
      <x:c r="P27" s="30" t="str">
        <x:v>EVP-026</x:v>
      </x:c>
      <x:c r="Q27" s="30" t="str">
        <x:v>EVT-04</x:v>
      </x:c>
      <x:c r="R27" s="30" t="str">
        <x:v>W2</x:v>
      </x:c>
      <x:c r="S27" s="30" t="str">
        <x:v>Analytics Engineer</x:v>
      </x:c>
      <x:c r="T27" s="30" t="str">
        <x:v>Proposed</x:v>
      </x:c>
    </x:row>
    <x:row r="28">
      <x:c r="A28" s="17" t="inlineStr">
        <x:is>
          <x:t xml:space="preserve">EVT-05</x:t>
        </x:is>
      </x:c>
      <x:c r="B28" s="4" t="inlineStr">
        <x:is>
          <x:t xml:space="preserve">item_id</x:t>
        </x:is>
      </x:c>
      <x:c r="C28" s="4" t="inlineStr">
        <x:is>
          <x:t xml:space="preserve">شناسه کالا</x:t>
        </x:is>
      </x:c>
      <x:c r="D28" s="4" t="inlineStr">
        <x:is>
          <x:t xml:space="preserve">SKU فایل دانلودی</x:t>
        </x:is>
      </x:c>
      <x:c r="E28" s="4" t="inlineStr">
        <x:is>
          <x:t xml:space="preserve">String</x:t>
        </x:is>
      </x:c>
      <x:c r="F28" s="17" t="inlineStr">
        <x:is>
          <x:t xml:space="preserve">Required</x:t>
        </x:is>
      </x:c>
      <x:c r="G28" s="4" t="inlineStr">
        <x:is>
          <x:t xml:space="preserve">SKU-AUTOCLAVE-01</x:t>
        </x:is>
      </x:c>
      <x:c r="H28" s="4" t="inlineStr">
        <x:is>
          <x:t xml:space="preserve">—</x:t>
        </x:is>
      </x:c>
      <x:c r="I28" s="4" t="inlineStr">
        <x:is>
          <x:t xml:space="preserve">PDP</x:t>
        </x:is>
      </x:c>
      <x:c r="J28" s="4" t="inlineStr">
        <x:is>
          <x:t xml:space="preserve">هیچ</x:t>
        </x:is>
      </x:c>
      <x:c r="K28" s="4" t="inlineStr">
        <x:is>
          <x:t xml:space="preserve">فرمت SKU-*</x:t>
        </x:is>
      </x:c>
      <x:c r="L28" s="17" t="inlineStr">
        <x:is>
          <x:t xml:space="preserve">None</x:t>
        </x:is>
      </x:c>
      <x:c r="M28" s="17" t="inlineStr">
        <x:is>
          <x:t xml:space="preserve">No</x:t>
        </x:is>
      </x:c>
      <x:c r="N28" s="4" t="inlineStr">
        <x:is>
          <x:t xml:space="preserve">GA4, CRM, DWH</x:t>
        </x:is>
      </x:c>
      <x:c r="O28" s="4" t="inlineStr">
        <x:is>
          <x:t xml:space="preserve"/>
        </x:is>
      </x:c>
      <x:c r="P28" s="30" t="str">
        <x:v>EVP-027</x:v>
      </x:c>
      <x:c r="Q28" s="30" t="str">
        <x:v>EVT-05</x:v>
      </x:c>
      <x:c r="R28" s="30" t="str">
        <x:v>W2</x:v>
      </x:c>
      <x:c r="S28" s="30" t="str">
        <x:v>Analytics Engineer</x:v>
      </x:c>
      <x:c r="T28" s="30" t="str">
        <x:v>Proposed</x:v>
      </x:c>
    </x:row>
    <x:row r="29">
      <x:c r="A29" s="19" t="inlineStr">
        <x:is>
          <x:t xml:space="preserve">EVT-05</x:t>
        </x:is>
      </x:c>
      <x:c r="B29" s="6" t="inlineStr">
        <x:is>
          <x:t xml:space="preserve">item_name</x:t>
        </x:is>
      </x:c>
      <x:c r="C29" s="6" t="inlineStr">
        <x:is>
          <x:t xml:space="preserve">نام کالا</x:t>
        </x:is>
      </x:c>
      <x:c r="D29" s="6" t="inlineStr">
        <x:is>
          <x:t xml:space="preserve">نام تجاری کالا</x:t>
        </x:is>
      </x:c>
      <x:c r="E29" s="6" t="inlineStr">
        <x:is>
          <x:t xml:space="preserve">String</x:t>
        </x:is>
      </x:c>
      <x:c r="F29" s="19" t="inlineStr">
        <x:is>
          <x:t xml:space="preserve">Required</x:t>
        </x:is>
      </x:c>
      <x:c r="G29" s="6" t="inlineStr">
        <x:is>
          <x:t xml:space="preserve">اتوکلاو کلاس B یوروندا ۲۴ لیتری</x:t>
        </x:is>
      </x:c>
      <x:c r="H29" s="6" t="inlineStr">
        <x:is>
          <x:t xml:space="preserve">—</x:t>
        </x:is>
      </x:c>
      <x:c r="I29" s="6" t="inlineStr">
        <x:is>
          <x:t xml:space="preserve">PDP</x:t>
        </x:is>
      </x:c>
      <x:c r="J29" s="6" t="inlineStr">
        <x:is>
          <x:t xml:space="preserve">هیچ</x:t>
        </x:is>
      </x:c>
      <x:c r="K29" s="6" t="inlineStr">
        <x:is>
          <x:t xml:space="preserve">حداکثر ۲۰۰ کاراکتر</x:t>
        </x:is>
      </x:c>
      <x:c r="L29" s="19" t="inlineStr">
        <x:is>
          <x:t xml:space="preserve">None</x:t>
        </x:is>
      </x:c>
      <x:c r="M29" s="19" t="inlineStr">
        <x:is>
          <x:t xml:space="preserve">No</x:t>
        </x:is>
      </x:c>
      <x:c r="N29" s="6" t="inlineStr">
        <x:is>
          <x:t xml:space="preserve">GA4, CRM</x:t>
        </x:is>
      </x:c>
      <x:c r="O29" s="6" t="inlineStr">
        <x:is>
          <x:t xml:space="preserve"/>
        </x:is>
      </x:c>
      <x:c r="P29" s="30" t="str">
        <x:v>EVP-028</x:v>
      </x:c>
      <x:c r="Q29" s="30" t="str">
        <x:v>EVT-05</x:v>
      </x:c>
      <x:c r="R29" s="30" t="str">
        <x:v>W2</x:v>
      </x:c>
      <x:c r="S29" s="30" t="str">
        <x:v>Analytics Engineer</x:v>
      </x:c>
      <x:c r="T29" s="30" t="str">
        <x:v>Proposed</x:v>
      </x:c>
    </x:row>
    <x:row r="30">
      <x:c r="A30" s="17" t="inlineStr">
        <x:is>
          <x:t xml:space="preserve">EVT-05</x:t>
        </x:is>
      </x:c>
      <x:c r="B30" s="4" t="inlineStr">
        <x:is>
          <x:t xml:space="preserve">file_name</x:t>
        </x:is>
      </x:c>
      <x:c r="C30" s="4" t="inlineStr">
        <x:is>
          <x:t xml:space="preserve">نام فایل</x:t>
        </x:is>
      </x:c>
      <x:c r="D30" s="4" t="inlineStr">
        <x:is>
          <x:t xml:space="preserve">نام فایل دانلودی</x:t>
        </x:is>
      </x:c>
      <x:c r="E30" s="4" t="inlineStr">
        <x:is>
          <x:t xml:space="preserve">String</x:t>
        </x:is>
      </x:c>
      <x:c r="F30" s="17" t="inlineStr">
        <x:is>
          <x:t xml:space="preserve">Required</x:t>
        </x:is>
      </x:c>
      <x:c r="G30" s="4" t="inlineStr">
        <x:is>
          <x:t xml:space="preserve">euronda_e9_specs_fa.pdf</x:t>
        </x:is>
      </x:c>
      <x:c r="H30" s="4" t="inlineStr">
        <x:is>
          <x:t xml:space="preserve">—</x:t>
        </x:is>
      </x:c>
      <x:c r="I30" s="4" t="inlineStr">
        <x:is>
          <x:t xml:space="preserve">download handler</x:t>
        </x:is>
      </x:c>
      <x:c r="J30" s="4" t="inlineStr">
        <x:is>
          <x:t xml:space="preserve">هیچ</x:t>
        </x:is>
      </x:c>
      <x:c r="K30" s="4" t="inlineStr">
        <x:is>
          <x:t xml:space="preserve">بدون کاراکترهای مخرب</x:t>
        </x:is>
      </x:c>
      <x:c r="L30" s="17" t="inlineStr">
        <x:is>
          <x:t xml:space="preserve">None</x:t>
        </x:is>
      </x:c>
      <x:c r="M30" s="17" t="inlineStr">
        <x:is>
          <x:t xml:space="preserve">No</x:t>
        </x:is>
      </x:c>
      <x:c r="N30" s="4" t="inlineStr">
        <x:is>
          <x:t xml:space="preserve">GA4, DWH</x:t>
        </x:is>
      </x:c>
      <x:c r="O30" s="4" t="inlineStr">
        <x:is>
          <x:t xml:space="preserve"/>
        </x:is>
      </x:c>
      <x:c r="P30" s="30" t="str">
        <x:v>EVP-029</x:v>
      </x:c>
      <x:c r="Q30" s="30" t="str">
        <x:v>EVT-05</x:v>
      </x:c>
      <x:c r="R30" s="30" t="str">
        <x:v>W2</x:v>
      </x:c>
      <x:c r="S30" s="30" t="str">
        <x:v>Analytics Engineer</x:v>
      </x:c>
      <x:c r="T30" s="30" t="str">
        <x:v>Proposed</x:v>
      </x:c>
    </x:row>
    <x:row r="31">
      <x:c r="A31" s="19" t="inlineStr">
        <x:is>
          <x:t xml:space="preserve">EVT-05</x:t>
        </x:is>
      </x:c>
      <x:c r="B31" s="6" t="inlineStr">
        <x:is>
          <x:t xml:space="preserve">file_extension</x:t>
        </x:is>
      </x:c>
      <x:c r="C31" s="6" t="inlineStr">
        <x:is>
          <x:t xml:space="preserve">پسوند فایل</x:t>
        </x:is>
      </x:c>
      <x:c r="D31" s="6" t="inlineStr">
        <x:is>
          <x:t xml:space="preserve">نوع فایل</x:t>
        </x:is>
      </x:c>
      <x:c r="E31" s="6" t="inlineStr">
        <x:is>
          <x:t xml:space="preserve">Enum</x:t>
        </x:is>
      </x:c>
      <x:c r="F31" s="19" t="inlineStr">
        <x:is>
          <x:t xml:space="preserve">Required</x:t>
        </x:is>
      </x:c>
      <x:c r="G31" s="6" t="inlineStr">
        <x:is>
          <x:t xml:space="preserve">pdf</x:t>
        </x:is>
      </x:c>
      <x:c r="H31" s="6" t="inlineStr">
        <x:is>
          <x:t xml:space="preserve">pdf/doc/xlsx</x:t>
        </x:is>
      </x:c>
      <x:c r="I31" s="6" t="inlineStr">
        <x:is>
          <x:t xml:space="preserve">download handler</x:t>
        </x:is>
      </x:c>
      <x:c r="J31" s="6" t="inlineStr">
        <x:is>
          <x:t xml:space="preserve">extract</x:t>
        </x:is>
      </x:c>
      <x:c r="K31" s="6" t="inlineStr">
        <x:is>
          <x:t xml:space="preserve">عضویت در لیست</x:t>
        </x:is>
      </x:c>
      <x:c r="L31" s="19" t="inlineStr">
        <x:is>
          <x:t xml:space="preserve">None</x:t>
        </x:is>
      </x:c>
      <x:c r="M31" s="19" t="inlineStr">
        <x:is>
          <x:t xml:space="preserve">No</x:t>
        </x:is>
      </x:c>
      <x:c r="N31" s="6" t="inlineStr">
        <x:is>
          <x:t xml:space="preserve">GA4</x:t>
        </x:is>
      </x:c>
      <x:c r="O31" s="6" t="inlineStr">
        <x:is>
          <x:t xml:space="preserve"/>
        </x:is>
      </x:c>
      <x:c r="P31" s="30" t="str">
        <x:v>EVP-030</x:v>
      </x:c>
      <x:c r="Q31" s="30" t="str">
        <x:v>EVT-05</x:v>
      </x:c>
      <x:c r="R31" s="30" t="str">
        <x:v>W2</x:v>
      </x:c>
      <x:c r="S31" s="30" t="str">
        <x:v>Analytics Engineer</x:v>
      </x:c>
      <x:c r="T31" s="30" t="str">
        <x:v>Proposed</x:v>
      </x:c>
    </x:row>
    <x:row r="32">
      <x:c r="A32" s="17" t="inlineStr">
        <x:is>
          <x:t xml:space="preserve">EVT-05</x:t>
        </x:is>
      </x:c>
      <x:c r="B32" s="4" t="inlineStr">
        <x:is>
          <x:t xml:space="preserve">file_url</x:t>
        </x:is>
      </x:c>
      <x:c r="C32" s="4" t="inlineStr">
        <x:is>
          <x:t xml:space="preserve">آدرس فایل</x:t>
        </x:is>
      </x:c>
      <x:c r="D32" s="4" t="inlineStr">
        <x:is>
          <x:t xml:space="preserve">URL مستند</x:t>
        </x:is>
      </x:c>
      <x:c r="E32" s="4" t="inlineStr">
        <x:is>
          <x:t xml:space="preserve">String</x:t>
        </x:is>
      </x:c>
      <x:c r="F32" s="17" t="inlineStr">
        <x:is>
          <x:t xml:space="preserve">Optional</x:t>
        </x:is>
      </x:c>
      <x:c r="G32" s="4" t="inlineStr">
        <x:is>
          <x:t xml:space="preserve">/docs/specs/euronda_e9.pdf</x:t>
        </x:is>
      </x:c>
      <x:c r="H32" s="4" t="inlineStr">
        <x:is>
          <x:t xml:space="preserve">—</x:t>
        </x:is>
      </x:c>
      <x:c r="I32" s="4" t="inlineStr">
        <x:is>
          <x:t xml:space="preserve">download handler</x:t>
        </x:is>
      </x:c>
      <x:c r="J32" s="4" t="inlineStr">
        <x:is>
          <x:t xml:space="preserve">هیچ</x:t>
        </x:is>
      </x:c>
      <x:c r="K32" s="4" t="inlineStr">
        <x:is>
          <x:t xml:space="preserve">HTTPS + دامنه تیتانا</x:t>
        </x:is>
      </x:c>
      <x:c r="L32" s="17" t="inlineStr">
        <x:is>
          <x:t xml:space="preserve">None</x:t>
        </x:is>
      </x:c>
      <x:c r="M32" s="17" t="inlineStr">
        <x:is>
          <x:t xml:space="preserve">No</x:t>
        </x:is>
      </x:c>
      <x:c r="N32" s="4" t="inlineStr">
        <x:is>
          <x:t xml:space="preserve">GA4</x:t>
        </x:is>
      </x:c>
      <x:c r="O32" s="4" t="inlineStr">
        <x:is>
          <x:t xml:space="preserve"/>
        </x:is>
      </x:c>
      <x:c r="P32" s="30" t="str">
        <x:v>EVP-031</x:v>
      </x:c>
      <x:c r="Q32" s="30" t="str">
        <x:v>EVT-05</x:v>
      </x:c>
      <x:c r="R32" s="30" t="str">
        <x:v>W2</x:v>
      </x:c>
      <x:c r="S32" s="30" t="str">
        <x:v>Analytics Engineer</x:v>
      </x:c>
      <x:c r="T32" s="30" t="str">
        <x:v>Proposed</x:v>
      </x:c>
    </x:row>
    <x:row r="33">
      <x:c r="A33" s="19" t="inlineStr">
        <x:is>
          <x:t xml:space="preserve">EVT-05</x:t>
        </x:is>
      </x:c>
      <x:c r="B33" s="6" t="inlineStr">
        <x:is>
          <x:t xml:space="preserve">user_medical_council_id</x:t>
        </x:is>
      </x:c>
      <x:c r="C33" s="6" t="inlineStr">
        <x:is>
          <x:t xml:space="preserve">شماره نظام پزشکی</x:t>
        </x:is>
      </x:c>
      <x:c r="D33" s="6" t="inlineStr">
        <x:is>
          <x:t xml:space="preserve">شماره صنفی کاربر (در صورت ورود)</x:t>
        </x:is>
      </x:c>
      <x:c r="E33" s="6" t="inlineStr">
        <x:is>
          <x:t xml:space="preserve">String (Numeric)</x:t>
        </x:is>
      </x:c>
      <x:c r="F33" s="19" t="inlineStr">
        <x:is>
          <x:t xml:space="preserve">Optional</x:t>
        </x:is>
      </x:c>
      <x:c r="G33" s="6" t="inlineStr">
        <x:is>
          <x:t xml:space="preserve">184920</x:t>
        </x:is>
      </x:c>
      <x:c r="H33" s="6" t="inlineStr">
        <x:is>
          <x:t xml:space="preserve">—</x:t>
        </x:is>
      </x:c>
      <x:c r="I33" s="6" t="inlineStr">
        <x:is>
          <x:t xml:space="preserve">پروفایل کاربر</x:t>
        </x:is>
      </x:c>
      <x:c r="J33" s="6" t="inlineStr">
        <x:is>
          <x:t xml:space="preserve">SHA-256 در صورت ارسال به بیرون</x:t>
        </x:is>
      </x:c>
      <x:c r="K33" s="6" t="inlineStr">
        <x:is>
          <x:t xml:space="preserve">اعتبارسنجی وب‌سرویس نظام</x:t>
        </x:is>
      </x:c>
      <x:c r="L33" s="19" t="inlineStr">
        <x:is>
          <x:t xml:space="preserve">PII-2</x:t>
        </x:is>
      </x:c>
      <x:c r="M33" s="19" t="inlineStr">
        <x:is>
          <x:t xml:space="preserve">No</x:t>
        </x:is>
      </x:c>
      <x:c r="N33" s="6" t="inlineStr">
        <x:is>
          <x:t xml:space="preserve">CRM (Lead Score)</x:t>
        </x:is>
      </x:c>
      <x:c r="O33" s="6" t="inlineStr">
        <x:is>
          <x:t xml:space="preserve">فقط در صورت احراز هویت</x:t>
        </x:is>
      </x:c>
      <x:c r="P33" s="30" t="str">
        <x:v>EVP-032</x:v>
      </x:c>
      <x:c r="Q33" s="30" t="str">
        <x:v>EVT-05</x:v>
      </x:c>
      <x:c r="R33" s="30" t="str">
        <x:v>W2</x:v>
      </x:c>
      <x:c r="S33" s="30" t="str">
        <x:v>Analytics Engineer</x:v>
      </x:c>
      <x:c r="T33" s="30" t="str">
        <x:v>Proposed</x:v>
      </x:c>
    </x:row>
    <x:row r="34">
      <x:c r="A34" s="17" t="inlineStr">
        <x:is>
          <x:t xml:space="preserve">EVT-06</x:t>
        </x:is>
      </x:c>
      <x:c r="B34" s="4" t="inlineStr">
        <x:is>
          <x:t xml:space="preserve">currency</x:t>
        </x:is>
      </x:c>
      <x:c r="C34" s="4" t="inlineStr">
        <x:is>
          <x:t xml:space="preserve">ارز</x:t>
        </x:is>
      </x:c>
      <x:c r="D34" s="4" t="inlineStr">
        <x:is>
          <x:t xml:space="preserve">ارز مبادلاتی</x:t>
        </x:is>
      </x:c>
      <x:c r="E34" s="4" t="inlineStr">
        <x:is>
          <x:t xml:space="preserve">String</x:t>
        </x:is>
      </x:c>
      <x:c r="F34" s="17" t="inlineStr">
        <x:is>
          <x:t xml:space="preserve">Required</x:t>
        </x:is>
      </x:c>
      <x:c r="G34" s="4" t="inlineStr">
        <x:is>
          <x:t xml:space="preserve">IRR</x:t>
        </x:is>
      </x:c>
      <x:c r="H34" s="4" t="inlineStr">
        <x:is>
          <x:t xml:space="preserve">IRR</x:t>
        </x:is>
      </x:c>
      <x:c r="I34" s="4" t="inlineStr">
        <x:is>
          <x:t xml:space="preserve">ثابت</x:t>
        </x:is>
      </x:c>
      <x:c r="J34" s="4" t="inlineStr">
        <x:is>
          <x:t xml:space="preserve">ثابت</x:t>
        </x:is>
      </x:c>
      <x:c r="K34" s="4" t="inlineStr">
        <x:is>
          <x:t xml:space="preserve">ISO-4217</x:t>
        </x:is>
      </x:c>
      <x:c r="L34" s="17" t="inlineStr">
        <x:is>
          <x:t xml:space="preserve">None</x:t>
        </x:is>
      </x:c>
      <x:c r="M34" s="17" t="inlineStr">
        <x:is>
          <x:t xml:space="preserve">No</x:t>
        </x:is>
      </x:c>
      <x:c r="N34" s="4" t="inlineStr">
        <x:is>
          <x:t xml:space="preserve">GA4, CAPI</x:t>
        </x:is>
      </x:c>
      <x:c r="O34" s="4" t="inlineStr">
        <x:is>
          <x:t xml:space="preserve"/>
        </x:is>
      </x:c>
      <x:c r="P34" s="30" t="str">
        <x:v>EVP-033</x:v>
      </x:c>
      <x:c r="Q34" s="30" t="str">
        <x:v>EVT-06</x:v>
      </x:c>
      <x:c r="R34" s="30" t="str">
        <x:v>W2</x:v>
      </x:c>
      <x:c r="S34" s="30" t="str">
        <x:v>Analytics Engineer</x:v>
      </x:c>
      <x:c r="T34" s="30" t="str">
        <x:v>Proposed</x:v>
      </x:c>
    </x:row>
    <x:row r="35">
      <x:c r="A35" s="19" t="inlineStr">
        <x:is>
          <x:t xml:space="preserve">EVT-06</x:t>
        </x:is>
      </x:c>
      <x:c r="B35" s="6" t="inlineStr">
        <x:is>
          <x:t xml:space="preserve">value</x:t>
        </x:is>
      </x:c>
      <x:c r="C35" s="6" t="inlineStr">
        <x:is>
          <x:t xml:space="preserve">ارزش آرزو</x:t>
        </x:is>
      </x:c>
      <x:c r="D35" s="6" t="inlineStr">
        <x:is>
          <x:t xml:space="preserve">مجموع قیمت اقلام اضافه‌شده</x:t>
        </x:is>
      </x:c>
      <x:c r="E35" s="6" t="inlineStr">
        <x:is>
          <x:t xml:space="preserve">Decimal (IRR)</x:t>
        </x:is>
      </x:c>
      <x:c r="F35" s="19" t="inlineStr">
        <x:is>
          <x:t xml:space="preserve">Required</x:t>
        </x:is>
      </x:c>
      <x:c r="G35" s="6" t="inlineStr">
        <x:is>
          <x:t xml:space="preserve">185000000</x:t>
        </x:is>
      </x:c>
      <x:c r="H35" s="6" t="inlineStr">
        <x:is>
          <x:t xml:space="preserve">&gt; 0</x:t>
        </x:is>
      </x:c>
      <x:c r="I35" s="6" t="inlineStr">
        <x:is>
          <x:t xml:space="preserve">کارت کالا</x:t>
        </x:is>
      </x:c>
      <x:c r="J35" s="6" t="inlineStr">
        <x:is>
          <x:t xml:space="preserve">هیچ</x:t>
        </x:is>
      </x:c>
      <x:c r="K35" s="6" t="inlineStr">
        <x:is>
          <x:t xml:space="preserve">&gt; 0</x:t>
        </x:is>
      </x:c>
      <x:c r="L35" s="19" t="inlineStr">
        <x:is>
          <x:t xml:space="preserve">None</x:t>
        </x:is>
      </x:c>
      <x:c r="M35" s="19" t="inlineStr">
        <x:is>
          <x:t xml:space="preserve">No</x:t>
        </x:is>
      </x:c>
      <x:c r="N35" s="6" t="inlineStr">
        <x:is>
          <x:t xml:space="preserve">GA4, CAPI</x:t>
        </x:is>
      </x:c>
      <x:c r="O35" s="6" t="inlineStr">
        <x:is>
          <x:t xml:space="preserve"/>
        </x:is>
      </x:c>
      <x:c r="P35" s="30" t="str">
        <x:v>EVP-034</x:v>
      </x:c>
      <x:c r="Q35" s="30" t="str">
        <x:v>EVT-06</x:v>
      </x:c>
      <x:c r="R35" s="30" t="str">
        <x:v>W2</x:v>
      </x:c>
      <x:c r="S35" s="30" t="str">
        <x:v>Analytics Engineer</x:v>
      </x:c>
      <x:c r="T35" s="30" t="str">
        <x:v>Proposed</x:v>
      </x:c>
    </x:row>
    <x:row r="36">
      <x:c r="A36" s="17" t="inlineStr">
        <x:is>
          <x:t xml:space="preserve">EVT-06</x:t>
        </x:is>
      </x:c>
      <x:c r="B36" s="4" t="inlineStr">
        <x:is>
          <x:t xml:space="preserve">items</x:t>
        </x:is>
      </x:c>
      <x:c r="C36" s="4" t="inlineStr">
        <x:is>
          <x:t xml:space="preserve">آرایه قلم</x:t>
        </x:is>
      </x:c>
      <x:c r="D36" s="4" t="inlineStr">
        <x:is>
          <x:t xml:space="preserve">جزئیات کالای بوکمارک‌شده</x:t>
        </x:is>
      </x:c>
      <x:c r="E36" s="4" t="inlineStr">
        <x:is>
          <x:t xml:space="preserve">Array[Object]</x:t>
        </x:is>
      </x:c>
      <x:c r="F36" s="17" t="inlineStr">
        <x:is>
          <x:t xml:space="preserve">Required</x:t>
        </x:is>
      </x:c>
      <x:c r="G36" s="4" t="inlineStr">
        <x:is>
          <x:t xml:space="preserve">[{item_id:SKU-LIGHT-01,price}]</x:t>
        </x:is>
      </x:c>
      <x:c r="H36" s="4" t="inlineStr">
        <x:is>
          <x:t xml:space="preserve">—</x:t>
        </x:is>
      </x:c>
      <x:c r="I36" s="4" t="inlineStr">
        <x:is>
          <x:t xml:space="preserve">PDP</x:t>
        </x:is>
      </x:c>
      <x:c r="J36" s="4" t="inlineStr">
        <x:is>
          <x:t xml:space="preserve">هیچ</x:t>
        </x:is>
      </x:c>
      <x:c r="K36" s="4" t="inlineStr">
        <x:is>
          <x:t xml:space="preserve">فیلدهای الزامی</x:t>
        </x:is>
      </x:c>
      <x:c r="L36" s="17" t="inlineStr">
        <x:is>
          <x:t xml:space="preserve">None</x:t>
        </x:is>
      </x:c>
      <x:c r="M36" s="17" t="inlineStr">
        <x:is>
          <x:t xml:space="preserve">No</x:t>
        </x:is>
      </x:c>
      <x:c r="N36" s="4" t="inlineStr">
        <x:is>
          <x:t xml:space="preserve">GA4, CAPI</x:t>
        </x:is>
      </x:c>
      <x:c r="O36" s="4" t="inlineStr">
        <x:is>
          <x:t xml:space="preserve"/>
        </x:is>
      </x:c>
      <x:c r="P36" s="30" t="str">
        <x:v>EVP-035</x:v>
      </x:c>
      <x:c r="Q36" s="30" t="str">
        <x:v>EVT-06</x:v>
      </x:c>
      <x:c r="R36" s="30" t="str">
        <x:v>W2</x:v>
      </x:c>
      <x:c r="S36" s="30" t="str">
        <x:v>Analytics Engineer</x:v>
      </x:c>
      <x:c r="T36" s="30" t="str">
        <x:v>Proposed</x:v>
      </x:c>
    </x:row>
    <x:row r="37">
      <x:c r="A37" s="19" t="inlineStr">
        <x:is>
          <x:t xml:space="preserve">EVT-06</x:t>
        </x:is>
      </x:c>
      <x:c r="B37" s="6" t="inlineStr">
        <x:is>
          <x:t xml:space="preserve">items.item_brand</x:t>
        </x:is>
      </x:c>
      <x:c r="C37" s="6" t="inlineStr">
        <x:is>
          <x:t xml:space="preserve">برند قلم</x:t>
        </x:is>
      </x:c>
      <x:c r="D37" s="6" t="inlineStr">
        <x:is>
          <x:t xml:space="preserve">برند سازنده</x:t>
        </x:is>
      </x:c>
      <x:c r="E37" s="6" t="inlineStr">
        <x:is>
          <x:t xml:space="preserve">String</x:t>
        </x:is>
      </x:c>
      <x:c r="F37" s="19" t="inlineStr">
        <x:is>
          <x:t xml:space="preserve">Optional</x:t>
        </x:is>
      </x:c>
      <x:c r="G37" s="6" t="inlineStr">
        <x:is>
          <x:t xml:space="preserve">Woodpecker</x:t>
        </x:is>
      </x:c>
      <x:c r="H37" s="6" t="inlineStr">
        <x:is>
          <x:t xml:space="preserve">—</x:t>
        </x:is>
      </x:c>
      <x:c r="I37" s="6" t="inlineStr">
        <x:is>
          <x:t xml:space="preserve">کاتالوگ</x:t>
        </x:is>
      </x:c>
      <x:c r="J37" s="6" t="inlineStr">
        <x:is>
          <x:t xml:space="preserve">هیچ</x:t>
        </x:is>
      </x:c>
      <x:c r="K37" s="6" t="inlineStr">
        <x:is>
          <x:t xml:space="preserve">مطابقت Brand</x:t>
        </x:is>
      </x:c>
      <x:c r="L37" s="19" t="inlineStr">
        <x:is>
          <x:t xml:space="preserve">None</x:t>
        </x:is>
      </x:c>
      <x:c r="M37" s="19" t="inlineStr">
        <x:is>
          <x:t xml:space="preserve">No</x:t>
        </x:is>
      </x:c>
      <x:c r="N37" s="6" t="inlineStr">
        <x:is>
          <x:t xml:space="preserve">GA4</x:t>
        </x:is>
      </x:c>
      <x:c r="O37" s="6" t="inlineStr">
        <x:is>
          <x:t xml:space="preserve"/>
        </x:is>
      </x:c>
      <x:c r="P37" s="30" t="str">
        <x:v>EVP-036</x:v>
      </x:c>
      <x:c r="Q37" s="30" t="str">
        <x:v>EVT-06</x:v>
      </x:c>
      <x:c r="R37" s="30" t="str">
        <x:v>W2</x:v>
      </x:c>
      <x:c r="S37" s="30" t="str">
        <x:v>Analytics Engineer</x:v>
      </x:c>
      <x:c r="T37" s="30" t="str">
        <x:v>Proposed</x:v>
      </x:c>
    </x:row>
    <x:row r="38">
      <x:c r="A38" s="17" t="inlineStr">
        <x:is>
          <x:t xml:space="preserve">EVT-06</x:t>
        </x:is>
      </x:c>
      <x:c r="B38" s="4" t="inlineStr">
        <x:is>
          <x:t xml:space="preserve">user_id</x:t>
        </x:is>
      </x:c>
      <x:c r="C38" s="4" t="inlineStr">
        <x:is>
          <x:t xml:space="preserve">شناسه مشتری</x:t>
        </x:is>
      </x:c>
      <x:c r="D38" s="4" t="inlineStr">
        <x:is>
          <x:t xml:space="preserve">master_customer_id</x:t>
        </x:is>
      </x:c>
      <x:c r="E38" s="4" t="inlineStr">
        <x:is>
          <x:t xml:space="preserve">String (UUID)</x:t>
        </x:is>
      </x:c>
      <x:c r="F38" s="17" t="inlineStr">
        <x:is>
          <x:t xml:space="preserve">Optional</x:t>
        </x:is>
      </x:c>
      <x:c r="G38" s="4" t="inlineStr">
        <x:is>
          <x:t xml:space="preserve">CUST-107-8841</x:t>
        </x:is>
      </x:c>
      <x:c r="H38" s="4" t="inlineStr">
        <x:is>
          <x:t xml:space="preserve">—</x:t>
        </x:is>
      </x:c>
      <x:c r="I38" s="4" t="inlineStr">
        <x:is>
          <x:t xml:space="preserve">سیستم احراز هویت</x:t>
        </x:is>
      </x:c>
      <x:c r="J38" s="4" t="inlineStr">
        <x:is>
          <x:t xml:space="preserve">هیچ</x:t>
        </x:is>
      </x:c>
      <x:c r="K38" s="4" t="inlineStr">
        <x:is>
          <x:t xml:space="preserve">فرمت CUST-107-*</x:t>
        </x:is>
      </x:c>
      <x:c r="L38" s="17" t="inlineStr">
        <x:is>
          <x:t xml:space="preserve">PII-1 (pseudo)</x:t>
        </x:is>
      </x:c>
      <x:c r="M38" s="17" t="inlineStr">
        <x:is>
          <x:t xml:space="preserve">Yes</x:t>
        </x:is>
      </x:c>
      <x:c r="N38" s="4" t="inlineStr">
        <x:is>
          <x:t xml:space="preserve">GA4, DWH</x:t>
        </x:is>
      </x:c>
      <x:c r="O38" s="4" t="inlineStr">
        <x:is>
          <x:t xml:space="preserve"/>
        </x:is>
      </x:c>
      <x:c r="P38" s="30" t="str">
        <x:v>EVP-037</x:v>
      </x:c>
      <x:c r="Q38" s="30" t="str">
        <x:v>EVT-06</x:v>
      </x:c>
      <x:c r="R38" s="30" t="str">
        <x:v>W2</x:v>
      </x:c>
      <x:c r="S38" s="30" t="str">
        <x:v>Analytics Engineer</x:v>
      </x:c>
      <x:c r="T38" s="30" t="str">
        <x:v>Proposed</x:v>
      </x:c>
    </x:row>
    <x:row r="39">
      <x:c r="A39" s="19" t="inlineStr">
        <x:is>
          <x:t xml:space="preserve">EVT-07</x:t>
        </x:is>
      </x:c>
      <x:c r="B39" s="6" t="inlineStr">
        <x:is>
          <x:t xml:space="preserve">currency</x:t>
        </x:is>
      </x:c>
      <x:c r="C39" s="6" t="inlineStr">
        <x:is>
          <x:t xml:space="preserve">ارز</x:t>
        </x:is>
      </x:c>
      <x:c r="D39" s="6" t="inlineStr">
        <x:is>
          <x:t xml:space="preserve">ارز مبادلاتی</x:t>
        </x:is>
      </x:c>
      <x:c r="E39" s="6" t="inlineStr">
        <x:is>
          <x:t xml:space="preserve">String</x:t>
        </x:is>
      </x:c>
      <x:c r="F39" s="19" t="inlineStr">
        <x:is>
          <x:t xml:space="preserve">Required</x:t>
        </x:is>
      </x:c>
      <x:c r="G39" s="6" t="inlineStr">
        <x:is>
          <x:t xml:space="preserve">IRR</x:t>
        </x:is>
      </x:c>
      <x:c r="H39" s="6" t="inlineStr">
        <x:is>
          <x:t xml:space="preserve">IRR</x:t>
        </x:is>
      </x:c>
      <x:c r="I39" s="6" t="inlineStr">
        <x:is>
          <x:t xml:space="preserve">ثابت</x:t>
        </x:is>
      </x:c>
      <x:c r="J39" s="6" t="inlineStr">
        <x:is>
          <x:t xml:space="preserve">ثابت</x:t>
        </x:is>
      </x:c>
      <x:c r="K39" s="6" t="inlineStr">
        <x:is>
          <x:t xml:space="preserve">ISO-4217</x:t>
        </x:is>
      </x:c>
      <x:c r="L39" s="19" t="inlineStr">
        <x:is>
          <x:t xml:space="preserve">None</x:t>
        </x:is>
      </x:c>
      <x:c r="M39" s="19" t="inlineStr">
        <x:is>
          <x:t xml:space="preserve">No</x:t>
        </x:is>
      </x:c>
      <x:c r="N39" s="6" t="inlineStr">
        <x:is>
          <x:t xml:space="preserve">GA4, CAPI, DWH</x:t>
        </x:is>
      </x:c>
      <x:c r="O39" s="6" t="inlineStr">
        <x:is>
          <x:t xml:space="preserve"/>
        </x:is>
      </x:c>
      <x:c r="P39" s="30" t="str">
        <x:v>EVP-038</x:v>
      </x:c>
      <x:c r="Q39" s="30" t="str">
        <x:v>EVT-07</x:v>
      </x:c>
      <x:c r="R39" s="30" t="str">
        <x:v>W2</x:v>
      </x:c>
      <x:c r="S39" s="30" t="str">
        <x:v>Analytics Engineer</x:v>
      </x:c>
      <x:c r="T39" s="30" t="str">
        <x:v>Proposed</x:v>
      </x:c>
    </x:row>
    <x:row r="40">
      <x:c r="A40" s="17" t="inlineStr">
        <x:is>
          <x:t xml:space="preserve">EVT-07</x:t>
        </x:is>
      </x:c>
      <x:c r="B40" s="4" t="inlineStr">
        <x:is>
          <x:t xml:space="preserve">value</x:t>
        </x:is>
      </x:c>
      <x:c r="C40" s="4" t="inlineStr">
        <x:is>
          <x:t xml:space="preserve">ارزش قلم افزوده‌شده</x:t>
        </x:is>
      </x:c>
      <x:c r="D40" s="4" t="inlineStr">
        <x:is>
          <x:t xml:space="preserve">قیمت × تعداد قلم</x:t>
        </x:is>
      </x:c>
      <x:c r="E40" s="4" t="inlineStr">
        <x:is>
          <x:t xml:space="preserve">Decimal (IRR)</x:t>
        </x:is>
      </x:c>
      <x:c r="F40" s="17" t="inlineStr">
        <x:is>
          <x:t xml:space="preserve">Required</x:t>
        </x:is>
      </x:c>
      <x:c r="G40" s="4" t="inlineStr">
        <x:is>
          <x:t xml:space="preserve">11550000</x:t>
        </x:is>
      </x:c>
      <x:c r="H40" s="4" t="inlineStr">
        <x:is>
          <x:t xml:space="preserve">&gt; 0</x:t>
        </x:is>
      </x:c>
      <x:c r="I40" s="4" t="inlineStr">
        <x:is>
          <x:t xml:space="preserve">کارت کالا</x:t>
        </x:is>
      </x:c>
      <x:c r="J40" s="4" t="inlineStr">
        <x:is>
          <x:t xml:space="preserve">هیچ</x:t>
        </x:is>
      </x:c>
      <x:c r="K40" s="4" t="inlineStr">
        <x:is>
          <x:t xml:space="preserve">&gt; 0</x:t>
        </x:is>
      </x:c>
      <x:c r="L40" s="17" t="inlineStr">
        <x:is>
          <x:t xml:space="preserve">None</x:t>
        </x:is>
      </x:c>
      <x:c r="M40" s="17" t="inlineStr">
        <x:is>
          <x:t xml:space="preserve">No</x:t>
        </x:is>
      </x:c>
      <x:c r="N40" s="4" t="inlineStr">
        <x:is>
          <x:t xml:space="preserve">GA4, CAPI, DWH</x:t>
        </x:is>
      </x:c>
      <x:c r="O40" s="4" t="inlineStr">
        <x:is>
          <x:t xml:space="preserve"/>
        </x:is>
      </x:c>
      <x:c r="P40" s="30" t="str">
        <x:v>EVP-039</x:v>
      </x:c>
      <x:c r="Q40" s="30" t="str">
        <x:v>EVT-07</x:v>
      </x:c>
      <x:c r="R40" s="30" t="str">
        <x:v>W2</x:v>
      </x:c>
      <x:c r="S40" s="30" t="str">
        <x:v>Analytics Engineer</x:v>
      </x:c>
      <x:c r="T40" s="30" t="str">
        <x:v>Proposed</x:v>
      </x:c>
    </x:row>
    <x:row r="41">
      <x:c r="A41" s="19" t="inlineStr">
        <x:is>
          <x:t xml:space="preserve">EVT-07</x:t>
        </x:is>
      </x:c>
      <x:c r="B41" s="6" t="inlineStr">
        <x:is>
          <x:t xml:space="preserve">items</x:t>
        </x:is>
      </x:c>
      <x:c r="C41" s="6" t="inlineStr">
        <x:is>
          <x:t xml:space="preserve">آرایه قلم</x:t>
        </x:is>
      </x:c>
      <x:c r="D41" s="6" t="inlineStr">
        <x:is>
          <x:t xml:space="preserve">جزئیات با quantity</x:t>
        </x:is>
      </x:c>
      <x:c r="E41" s="6" t="inlineStr">
        <x:is>
          <x:t xml:space="preserve">Array[Object]</x:t>
        </x:is>
      </x:c>
      <x:c r="F41" s="19" t="inlineStr">
        <x:is>
          <x:t xml:space="preserve">Required</x:t>
        </x:is>
      </x:c>
      <x:c r="G41" s="6" t="inlineStr">
        <x:is>
          <x:t xml:space="preserve">[{item_id,price,quantity:3}]</x:t>
        </x:is>
      </x:c>
      <x:c r="H41" s="6" t="inlineStr">
        <x:is>
          <x:t xml:space="preserve">—</x:t>
        </x:is>
      </x:c>
      <x:c r="I41" s="6" t="inlineStr">
        <x:is>
          <x:t xml:space="preserve">PDP/cart API</x:t>
        </x:is>
      </x:c>
      <x:c r="J41" s="6" t="inlineStr">
        <x:is>
          <x:t xml:space="preserve">هیچ</x:t>
        </x:is>
      </x:c>
      <x:c r="K41" s="6" t="inlineStr">
        <x:is>
          <x:t xml:space="preserve">quantity صحیح</x:t>
        </x:is>
      </x:c>
      <x:c r="L41" s="19" t="inlineStr">
        <x:is>
          <x:t xml:space="preserve">None</x:t>
        </x:is>
      </x:c>
      <x:c r="M41" s="19" t="inlineStr">
        <x:is>
          <x:t xml:space="preserve">No</x:t>
        </x:is>
      </x:c>
      <x:c r="N41" s="6" t="inlineStr">
        <x:is>
          <x:t xml:space="preserve">GA4, CAPI, DWH</x:t>
        </x:is>
      </x:c>
      <x:c r="O41" s="6" t="inlineStr">
        <x:is>
          <x:t xml:space="preserve"/>
        </x:is>
      </x:c>
      <x:c r="P41" s="30" t="str">
        <x:v>EVP-040</x:v>
      </x:c>
      <x:c r="Q41" s="30" t="str">
        <x:v>EVT-07</x:v>
      </x:c>
      <x:c r="R41" s="30" t="str">
        <x:v>W2</x:v>
      </x:c>
      <x:c r="S41" s="30" t="str">
        <x:v>Analytics Engineer</x:v>
      </x:c>
      <x:c r="T41" s="30" t="str">
        <x:v>Proposed</x:v>
      </x:c>
    </x:row>
    <x:row r="42">
      <x:c r="A42" s="17" t="inlineStr">
        <x:is>
          <x:t xml:space="preserve">EVT-07</x:t>
        </x:is>
      </x:c>
      <x:c r="B42" s="4" t="inlineStr">
        <x:is>
          <x:t xml:space="preserve">items.item_category</x:t>
        </x:is>
      </x:c>
      <x:c r="C42" s="4" t="inlineStr">
        <x:is>
          <x:t xml:space="preserve">دسته قلم</x:t>
        </x:is>
      </x:c>
      <x:c r="D42" s="4" t="inlineStr">
        <x:is>
          <x:t xml:space="preserve">دسته اصلی</x:t>
        </x:is>
      </x:c>
      <x:c r="E42" s="4" t="inlineStr">
        <x:is>
          <x:t xml:space="preserve">String</x:t>
        </x:is>
      </x:c>
      <x:c r="F42" s="17" t="inlineStr">
        <x:is>
          <x:t xml:space="preserve">Optional</x:t>
        </x:is>
      </x:c>
      <x:c r="G42" s="4" t="inlineStr">
        <x:is>
          <x:t xml:space="preserve">Composite</x:t>
        </x:is>
      </x:c>
      <x:c r="H42" s="4" t="inlineStr">
        <x:is>
          <x:t xml:space="preserve">—</x:t>
        </x:is>
      </x:c>
      <x:c r="I42" s="4" t="inlineStr">
        <x:is>
          <x:t xml:space="preserve">کاتالوگ</x:t>
        </x:is>
      </x:c>
      <x:c r="J42" s="4" t="inlineStr">
        <x:is>
          <x:t xml:space="preserve">هیچ</x:t>
        </x:is>
      </x:c>
      <x:c r="K42" s="4" t="inlineStr">
        <x:is>
          <x:t xml:space="preserve">مطابقت درخت</x:t>
        </x:is>
      </x:c>
      <x:c r="L42" s="17" t="inlineStr">
        <x:is>
          <x:t xml:space="preserve">None</x:t>
        </x:is>
      </x:c>
      <x:c r="M42" s="17" t="inlineStr">
        <x:is>
          <x:t xml:space="preserve">No</x:t>
        </x:is>
      </x:c>
      <x:c r="N42" s="4" t="inlineStr">
        <x:is>
          <x:t xml:space="preserve">GA4</x:t>
        </x:is>
      </x:c>
      <x:c r="O42" s="4" t="inlineStr">
        <x:is>
          <x:t xml:space="preserve"/>
        </x:is>
      </x:c>
      <x:c r="P42" s="30" t="str">
        <x:v>EVP-041</x:v>
      </x:c>
      <x:c r="Q42" s="30" t="str">
        <x:v>EVT-07</x:v>
      </x:c>
      <x:c r="R42" s="30" t="str">
        <x:v>W2</x:v>
      </x:c>
      <x:c r="S42" s="30" t="str">
        <x:v>Analytics Engineer</x:v>
      </x:c>
      <x:c r="T42" s="30" t="str">
        <x:v>Proposed</x:v>
      </x:c>
    </x:row>
    <x:row r="43">
      <x:c r="A43" s="19" t="inlineStr">
        <x:is>
          <x:t xml:space="preserve">EVT-07</x:t>
        </x:is>
      </x:c>
      <x:c r="B43" s="6" t="inlineStr">
        <x:is>
          <x:t xml:space="preserve">cart_total_items</x:t>
        </x:is>
      </x:c>
      <x:c r="C43" s="6" t="inlineStr">
        <x:is>
          <x:t xml:space="preserve">تعداد کل اقلام سبد</x:t>
        </x:is>
      </x:c>
      <x:c r="D43" s="6" t="inlineStr">
        <x:is>
          <x:t xml:space="preserve">مجموع سطرهای سبد</x:t>
        </x:is>
      </x:c>
      <x:c r="E43" s="6" t="inlineStr">
        <x:is>
          <x:t xml:space="preserve">Integer</x:t>
        </x:is>
      </x:c>
      <x:c r="F43" s="19" t="inlineStr">
        <x:is>
          <x:t xml:space="preserve">Optional</x:t>
        </x:is>
      </x:c>
      <x:c r="G43" s="6" t="inlineStr">
        <x:is>
          <x:t xml:space="preserve">5</x:t>
        </x:is>
      </x:c>
      <x:c r="H43" s="6" t="inlineStr">
        <x:is>
          <x:t xml:space="preserve">0..999</x:t>
        </x:is>
      </x:c>
      <x:c r="I43" s="6" t="inlineStr">
        <x:is>
          <x:t xml:space="preserve">cart API</x:t>
        </x:is>
      </x:c>
      <x:c r="J43" s="6" t="inlineStr">
        <x:is>
          <x:t xml:space="preserve">count</x:t>
        </x:is>
      </x:c>
      <x:c r="K43" s="6" t="inlineStr">
        <x:is>
          <x:t xml:space="preserve">&gt;= 1</x:t>
        </x:is>
      </x:c>
      <x:c r="L43" s="19" t="inlineStr">
        <x:is>
          <x:t xml:space="preserve">None</x:t>
        </x:is>
      </x:c>
      <x:c r="M43" s="19" t="inlineStr">
        <x:is>
          <x:t xml:space="preserve">No</x:t>
        </x:is>
      </x:c>
      <x:c r="N43" s="6" t="inlineStr">
        <x:is>
          <x:t xml:space="preserve">GA4, DWH</x:t>
        </x:is>
      </x:c>
      <x:c r="O43" s="6" t="inlineStr">
        <x:is>
          <x:t xml:space="preserve"/>
        </x:is>
      </x:c>
      <x:c r="P43" s="30" t="str">
        <x:v>EVP-042</x:v>
      </x:c>
      <x:c r="Q43" s="30" t="str">
        <x:v>EVT-07</x:v>
      </x:c>
      <x:c r="R43" s="30" t="str">
        <x:v>W2</x:v>
      </x:c>
      <x:c r="S43" s="30" t="str">
        <x:v>Analytics Engineer</x:v>
      </x:c>
      <x:c r="T43" s="30" t="str">
        <x:v>Proposed</x:v>
      </x:c>
    </x:row>
    <x:row r="44">
      <x:c r="A44" s="17" t="inlineStr">
        <x:is>
          <x:t xml:space="preserve">EVT-08</x:t>
        </x:is>
      </x:c>
      <x:c r="B44" s="4" t="inlineStr">
        <x:is>
          <x:t xml:space="preserve">currency</x:t>
        </x:is>
      </x:c>
      <x:c r="C44" s="4" t="inlineStr">
        <x:is>
          <x:t xml:space="preserve">ارز</x:t>
        </x:is>
      </x:c>
      <x:c r="D44" s="4" t="inlineStr">
        <x:is>
          <x:t xml:space="preserve">ارز مبادلاتی</x:t>
        </x:is>
      </x:c>
      <x:c r="E44" s="4" t="inlineStr">
        <x:is>
          <x:t xml:space="preserve">String</x:t>
        </x:is>
      </x:c>
      <x:c r="F44" s="17" t="inlineStr">
        <x:is>
          <x:t xml:space="preserve">Required</x:t>
        </x:is>
      </x:c>
      <x:c r="G44" s="4" t="inlineStr">
        <x:is>
          <x:t xml:space="preserve">IRR</x:t>
        </x:is>
      </x:c>
      <x:c r="H44" s="4" t="inlineStr">
        <x:is>
          <x:t xml:space="preserve">IRR</x:t>
        </x:is>
      </x:c>
      <x:c r="I44" s="4" t="inlineStr">
        <x:is>
          <x:t xml:space="preserve">ثابت</x:t>
        </x:is>
      </x:c>
      <x:c r="J44" s="4" t="inlineStr">
        <x:is>
          <x:t xml:space="preserve">ثابت</x:t>
        </x:is>
      </x:c>
      <x:c r="K44" s="4" t="inlineStr">
        <x:is>
          <x:t xml:space="preserve">ISO-4217</x:t>
        </x:is>
      </x:c>
      <x:c r="L44" s="17" t="inlineStr">
        <x:is>
          <x:t xml:space="preserve">None</x:t>
        </x:is>
      </x:c>
      <x:c r="M44" s="17" t="inlineStr">
        <x:is>
          <x:t xml:space="preserve">No</x:t>
        </x:is>
      </x:c>
      <x:c r="N44" s="4" t="inlineStr">
        <x:is>
          <x:t xml:space="preserve">GA4, CAPI</x:t>
        </x:is>
      </x:c>
      <x:c r="O44" s="4" t="inlineStr">
        <x:is>
          <x:t xml:space="preserve"/>
        </x:is>
      </x:c>
      <x:c r="P44" s="30" t="str">
        <x:v>EVP-043</x:v>
      </x:c>
      <x:c r="Q44" s="30" t="str">
        <x:v>EVT-08</x:v>
      </x:c>
      <x:c r="R44" s="30" t="str">
        <x:v>W2</x:v>
      </x:c>
      <x:c r="S44" s="30" t="str">
        <x:v>Analytics Engineer</x:v>
      </x:c>
      <x:c r="T44" s="30" t="str">
        <x:v>Proposed</x:v>
      </x:c>
    </x:row>
    <x:row r="45">
      <x:c r="A45" s="19" t="inlineStr">
        <x:is>
          <x:t xml:space="preserve">EVT-08</x:t>
        </x:is>
      </x:c>
      <x:c r="B45" s="6" t="inlineStr">
        <x:is>
          <x:t xml:space="preserve">value</x:t>
        </x:is>
      </x:c>
      <x:c r="C45" s="6" t="inlineStr">
        <x:is>
          <x:t xml:space="preserve">ارزش قلم حذف‌شده</x:t>
        </x:is>
      </x:c>
      <x:c r="D45" s="6" t="inlineStr">
        <x:is>
          <x:t xml:space="preserve">قیمت × تعداد حذفی</x:t>
        </x:is>
      </x:c>
      <x:c r="E45" s="6" t="inlineStr">
        <x:is>
          <x:t xml:space="preserve">Decimal (IRR)</x:t>
        </x:is>
      </x:c>
      <x:c r="F45" s="19" t="inlineStr">
        <x:is>
          <x:t xml:space="preserve">Required</x:t>
        </x:is>
      </x:c>
      <x:c r="G45" s="6" t="inlineStr">
        <x:is>
          <x:t xml:space="preserve">3850000</x:t>
        </x:is>
      </x:c>
      <x:c r="H45" s="6" t="inlineStr">
        <x:is>
          <x:t xml:space="preserve">&gt; 0</x:t>
        </x:is>
      </x:c>
      <x:c r="I45" s="6" t="inlineStr">
        <x:is>
          <x:t xml:space="preserve">سبد خرید</x:t>
        </x:is>
      </x:c>
      <x:c r="J45" s="6" t="inlineStr">
        <x:is>
          <x:t xml:space="preserve">هیچ</x:t>
        </x:is>
      </x:c>
      <x:c r="K45" s="6" t="inlineStr">
        <x:is>
          <x:t xml:space="preserve">&gt; 0</x:t>
        </x:is>
      </x:c>
      <x:c r="L45" s="19" t="inlineStr">
        <x:is>
          <x:t xml:space="preserve">None</x:t>
        </x:is>
      </x:c>
      <x:c r="M45" s="19" t="inlineStr">
        <x:is>
          <x:t xml:space="preserve">No</x:t>
        </x:is>
      </x:c>
      <x:c r="N45" s="6" t="inlineStr">
        <x:is>
          <x:t xml:space="preserve">GA4, CAPI</x:t>
        </x:is>
      </x:c>
      <x:c r="O45" s="6" t="inlineStr">
        <x:is>
          <x:t xml:space="preserve"/>
        </x:is>
      </x:c>
      <x:c r="P45" s="30" t="str">
        <x:v>EVP-044</x:v>
      </x:c>
      <x:c r="Q45" s="30" t="str">
        <x:v>EVT-08</x:v>
      </x:c>
      <x:c r="R45" s="30" t="str">
        <x:v>W2</x:v>
      </x:c>
      <x:c r="S45" s="30" t="str">
        <x:v>Analytics Engineer</x:v>
      </x:c>
      <x:c r="T45" s="30" t="str">
        <x:v>Proposed</x:v>
      </x:c>
    </x:row>
    <x:row r="46">
      <x:c r="A46" s="17" t="inlineStr">
        <x:is>
          <x:t xml:space="preserve">EVT-08</x:t>
        </x:is>
      </x:c>
      <x:c r="B46" s="4" t="inlineStr">
        <x:is>
          <x:t xml:space="preserve">items</x:t>
        </x:is>
      </x:c>
      <x:c r="C46" s="4" t="inlineStr">
        <x:is>
          <x:t xml:space="preserve">آرایه قلم</x:t>
        </x:is>
      </x:c>
      <x:c r="D46" s="4" t="inlineStr">
        <x:is>
          <x:t xml:space="preserve">جزئیات قلم حذفی</x:t>
        </x:is>
      </x:c>
      <x:c r="E46" s="4" t="inlineStr">
        <x:is>
          <x:t xml:space="preserve">Array[Object]</x:t>
        </x:is>
      </x:c>
      <x:c r="F46" s="17" t="inlineStr">
        <x:is>
          <x:t xml:space="preserve">Required</x:t>
        </x:is>
      </x:c>
      <x:c r="G46" s="4" t="inlineStr">
        <x:is>
          <x:t xml:space="preserve">[{item_id,quantity}]</x:t>
        </x:is>
      </x:c>
      <x:c r="H46" s="4" t="inlineStr">
        <x:is>
          <x:t xml:space="preserve">—</x:t>
        </x:is>
      </x:c>
      <x:c r="I46" s="4" t="inlineStr">
        <x:is>
          <x:t xml:space="preserve">سبد خرید</x:t>
        </x:is>
      </x:c>
      <x:c r="J46" s="4" t="inlineStr">
        <x:is>
          <x:t xml:space="preserve">هیچ</x:t>
        </x:is>
      </x:c>
      <x:c r="K46" s="4" t="inlineStr">
        <x:is>
          <x:t xml:space="preserve">quantity صحیح</x:t>
        </x:is>
      </x:c>
      <x:c r="L46" s="17" t="inlineStr">
        <x:is>
          <x:t xml:space="preserve">None</x:t>
        </x:is>
      </x:c>
      <x:c r="M46" s="17" t="inlineStr">
        <x:is>
          <x:t xml:space="preserve">No</x:t>
        </x:is>
      </x:c>
      <x:c r="N46" s="4" t="inlineStr">
        <x:is>
          <x:t xml:space="preserve">GA4, CAPI</x:t>
        </x:is>
      </x:c>
      <x:c r="O46" s="4" t="inlineStr">
        <x:is>
          <x:t xml:space="preserve"/>
        </x:is>
      </x:c>
      <x:c r="P46" s="30" t="str">
        <x:v>EVP-045</x:v>
      </x:c>
      <x:c r="Q46" s="30" t="str">
        <x:v>EVT-08</x:v>
      </x:c>
      <x:c r="R46" s="30" t="str">
        <x:v>W2</x:v>
      </x:c>
      <x:c r="S46" s="30" t="str">
        <x:v>Analytics Engineer</x:v>
      </x:c>
      <x:c r="T46" s="30" t="str">
        <x:v>Proposed</x:v>
      </x:c>
    </x:row>
    <x:row r="47">
      <x:c r="A47" s="19" t="inlineStr">
        <x:is>
          <x:t xml:space="preserve">EVT-08</x:t>
        </x:is>
      </x:c>
      <x:c r="B47" s="6" t="inlineStr">
        <x:is>
          <x:t xml:space="preserve">items.item_name</x:t>
        </x:is>
      </x:c>
      <x:c r="C47" s="6" t="inlineStr">
        <x:is>
          <x:t xml:space="preserve">نام قلم حذفی</x:t>
        </x:is>
      </x:c>
      <x:c r="D47" s="6" t="inlineStr">
        <x:is>
          <x:t xml:space="preserve">نام کالا</x:t>
        </x:is>
      </x:c>
      <x:c r="E47" s="6" t="inlineStr">
        <x:is>
          <x:t xml:space="preserve">String</x:t>
        </x:is>
      </x:c>
      <x:c r="F47" s="19" t="inlineStr">
        <x:is>
          <x:t xml:space="preserve">Optional</x:t>
        </x:is>
      </x:c>
      <x:c r="G47" s="6" t="inlineStr">
        <x:is>
          <x:t xml:space="preserve">کامپوزیت Filtek Z350 XT 3M</x:t>
        </x:is>
      </x:c>
      <x:c r="H47" s="6" t="inlineStr">
        <x:is>
          <x:t xml:space="preserve">—</x:t>
        </x:is>
      </x:c>
      <x:c r="I47" s="6" t="inlineStr">
        <x:is>
          <x:t xml:space="preserve">کاتالوگ</x:t>
        </x:is>
      </x:c>
      <x:c r="J47" s="6" t="inlineStr">
        <x:is>
          <x:t xml:space="preserve">هیچ</x:t>
        </x:is>
      </x:c>
      <x:c r="K47" s="6" t="inlineStr">
        <x:is>
          <x:t xml:space="preserve">—</x:t>
        </x:is>
      </x:c>
      <x:c r="L47" s="19" t="inlineStr">
        <x:is>
          <x:t xml:space="preserve">None</x:t>
        </x:is>
      </x:c>
      <x:c r="M47" s="19" t="inlineStr">
        <x:is>
          <x:t xml:space="preserve">No</x:t>
        </x:is>
      </x:c>
      <x:c r="N47" s="6" t="inlineStr">
        <x:is>
          <x:t xml:space="preserve">GA4</x:t>
        </x:is>
      </x:c>
      <x:c r="O47" s="6" t="inlineStr">
        <x:is>
          <x:t xml:space="preserve"/>
        </x:is>
      </x:c>
      <x:c r="P47" s="30" t="str">
        <x:v>EVP-046</x:v>
      </x:c>
      <x:c r="Q47" s="30" t="str">
        <x:v>EVT-08</x:v>
      </x:c>
      <x:c r="R47" s="30" t="str">
        <x:v>W2</x:v>
      </x:c>
      <x:c r="S47" s="30" t="str">
        <x:v>Analytics Engineer</x:v>
      </x:c>
      <x:c r="T47" s="30" t="str">
        <x:v>Proposed</x:v>
      </x:c>
    </x:row>
    <x:row r="48">
      <x:c r="A48" s="17" t="inlineStr">
        <x:is>
          <x:t xml:space="preserve">EVT-08</x:t>
        </x:is>
      </x:c>
      <x:c r="B48" s="4" t="inlineStr">
        <x:is>
          <x:t xml:space="preserve">removal_reason</x:t>
        </x:is>
      </x:c>
      <x:c r="C48" s="4" t="inlineStr">
        <x:is>
          <x:t xml:space="preserve">دلیل حذف</x:t>
        </x:is>
      </x:c>
      <x:c r="D48" s="4" t="inlineStr">
        <x:is>
          <x:t xml:space="preserve">علت حذف از سبد</x:t>
        </x:is>
      </x:c>
      <x:c r="E48" s="4" t="inlineStr">
        <x:is>
          <x:t xml:space="preserve">Enum</x:t>
        </x:is>
      </x:c>
      <x:c r="F48" s="17" t="inlineStr">
        <x:is>
          <x:t xml:space="preserve">Optional</x:t>
        </x:is>
      </x:c>
      <x:c r="G48" s="4" t="inlineStr">
        <x:is>
          <x:t xml:space="preserve">price_too_high</x:t>
        </x:is>
      </x:c>
      <x:c r="H48" s="4" t="inlineStr">
        <x:is>
          <x:t xml:space="preserve">price_too_high/size_mismatch/no_stock/changed_mind</x:t>
        </x:is>
      </x:c>
      <x:c r="I48" s="4" t="inlineStr">
        <x:is>
          <x:t xml:space="preserve">فرم/دکمه حذف</x:t>
        </x:is>
      </x:c>
      <x:c r="J48" s="4" t="inlineStr">
        <x:is>
          <x:t xml:space="preserve">استانداردسازی</x:t>
        </x:is>
      </x:c>
      <x:c r="K48" s="4" t="inlineStr">
        <x:is>
          <x:t xml:space="preserve">عضویت در لیست</x:t>
        </x:is>
      </x:c>
      <x:c r="L48" s="17" t="inlineStr">
        <x:is>
          <x:t xml:space="preserve">None</x:t>
        </x:is>
      </x:c>
      <x:c r="M48" s="17" t="inlineStr">
        <x:is>
          <x:t xml:space="preserve">No</x:t>
        </x:is>
      </x:c>
      <x:c r="N48" s="4" t="inlineStr">
        <x:is>
          <x:t xml:space="preserve">DWH</x:t>
        </x:is>
      </x:c>
      <x:c r="O48" s="4" t="inlineStr">
        <x:is>
          <x:t xml:space="preserve">ورودی مدل کشش قیمت (MOD-13)</x:t>
        </x:is>
      </x:c>
      <x:c r="P48" s="30" t="str">
        <x:v>EVP-047</x:v>
      </x:c>
      <x:c r="Q48" s="30" t="str">
        <x:v>EVT-08</x:v>
      </x:c>
      <x:c r="R48" s="30" t="str">
        <x:v>W2</x:v>
      </x:c>
      <x:c r="S48" s="30" t="str">
        <x:v>Analytics Engineer</x:v>
      </x:c>
      <x:c r="T48" s="30" t="str">
        <x:v>Proposed</x:v>
      </x:c>
    </x:row>
    <x:row r="49">
      <x:c r="A49" s="19" t="inlineStr">
        <x:is>
          <x:t xml:space="preserve">EVT-09</x:t>
        </x:is>
      </x:c>
      <x:c r="B49" s="6" t="inlineStr">
        <x:is>
          <x:t xml:space="preserve">currency</x:t>
        </x:is>
      </x:c>
      <x:c r="C49" s="6" t="inlineStr">
        <x:is>
          <x:t xml:space="preserve">ارز</x:t>
        </x:is>
      </x:c>
      <x:c r="D49" s="6" t="inlineStr">
        <x:is>
          <x:t xml:space="preserve">ارز مبادلاتی</x:t>
        </x:is>
      </x:c>
      <x:c r="E49" s="6" t="inlineStr">
        <x:is>
          <x:t xml:space="preserve">String</x:t>
        </x:is>
      </x:c>
      <x:c r="F49" s="19" t="inlineStr">
        <x:is>
          <x:t xml:space="preserve">Required</x:t>
        </x:is>
      </x:c>
      <x:c r="G49" s="6" t="inlineStr">
        <x:is>
          <x:t xml:space="preserve">IRR</x:t>
        </x:is>
      </x:c>
      <x:c r="H49" s="6" t="inlineStr">
        <x:is>
          <x:t xml:space="preserve">IRR</x:t>
        </x:is>
      </x:c>
      <x:c r="I49" s="6" t="inlineStr">
        <x:is>
          <x:t xml:space="preserve">ثابت</x:t>
        </x:is>
      </x:c>
      <x:c r="J49" s="6" t="inlineStr">
        <x:is>
          <x:t xml:space="preserve">ثابت</x:t>
        </x:is>
      </x:c>
      <x:c r="K49" s="6" t="inlineStr">
        <x:is>
          <x:t xml:space="preserve">ISO-4217</x:t>
        </x:is>
      </x:c>
      <x:c r="L49" s="19" t="inlineStr">
        <x:is>
          <x:t xml:space="preserve">None</x:t>
        </x:is>
      </x:c>
      <x:c r="M49" s="19" t="inlineStr">
        <x:is>
          <x:t xml:space="preserve">No</x:t>
        </x:is>
      </x:c>
      <x:c r="N49" s="6" t="inlineStr">
        <x:is>
          <x:t xml:space="preserve">GA4, CAPI</x:t>
        </x:is>
      </x:c>
      <x:c r="O49" s="6" t="inlineStr">
        <x:is>
          <x:t xml:space="preserve"/>
        </x:is>
      </x:c>
      <x:c r="P49" s="30" t="str">
        <x:v>EVP-048</x:v>
      </x:c>
      <x:c r="Q49" s="30" t="str">
        <x:v>EVT-09</x:v>
      </x:c>
      <x:c r="R49" s="30" t="str">
        <x:v>W2</x:v>
      </x:c>
      <x:c r="S49" s="30" t="str">
        <x:v>Analytics Engineer</x:v>
      </x:c>
      <x:c r="T49" s="30" t="str">
        <x:v>Proposed</x:v>
      </x:c>
    </x:row>
    <x:row r="50">
      <x:c r="A50" s="17" t="inlineStr">
        <x:is>
          <x:t xml:space="preserve">EVT-09</x:t>
        </x:is>
      </x:c>
      <x:c r="B50" s="4" t="inlineStr">
        <x:is>
          <x:t xml:space="preserve">value</x:t>
        </x:is>
      </x:c>
      <x:c r="C50" s="4" t="inlineStr">
        <x:is>
          <x:t xml:space="preserve">ارزش کل سبد</x:t>
        </x:is>
      </x:c>
      <x:c r="D50" s="4" t="inlineStr">
        <x:is>
          <x:t xml:space="preserve">مجموع اقلام سبد</x:t>
        </x:is>
      </x:c>
      <x:c r="E50" s="4" t="inlineStr">
        <x:is>
          <x:t xml:space="preserve">Decimal (IRR)</x:t>
        </x:is>
      </x:c>
      <x:c r="F50" s="17" t="inlineStr">
        <x:is>
          <x:t xml:space="preserve">Required</x:t>
        </x:is>
      </x:c>
      <x:c r="G50" s="4" t="inlineStr">
        <x:is>
          <x:t xml:space="preserve">45000000</x:t>
        </x:is>
      </x:c>
      <x:c r="H50" s="4" t="inlineStr">
        <x:is>
          <x:t xml:space="preserve">&gt; 0</x:t>
        </x:is>
      </x:c>
      <x:c r="I50" s="4" t="inlineStr">
        <x:is>
          <x:t xml:space="preserve">cart API</x:t>
        </x:is>
      </x:c>
      <x:c r="J50" s="4" t="inlineStr">
        <x:is>
          <x:t xml:space="preserve">هیچ</x:t>
        </x:is>
      </x:c>
      <x:c r="K50" s="4" t="inlineStr">
        <x:is>
          <x:t xml:space="preserve">&gt; 0</x:t>
        </x:is>
      </x:c>
      <x:c r="L50" s="17" t="inlineStr">
        <x:is>
          <x:t xml:space="preserve">None</x:t>
        </x:is>
      </x:c>
      <x:c r="M50" s="17" t="inlineStr">
        <x:is>
          <x:t xml:space="preserve">No</x:t>
        </x:is>
      </x:c>
      <x:c r="N50" s="4" t="inlineStr">
        <x:is>
          <x:t xml:space="preserve">GA4, CAPI</x:t>
        </x:is>
      </x:c>
      <x:c r="O50" s="4" t="inlineStr">
        <x:is>
          <x:t xml:space="preserve"/>
        </x:is>
      </x:c>
      <x:c r="P50" s="30" t="str">
        <x:v>EVP-049</x:v>
      </x:c>
      <x:c r="Q50" s="30" t="str">
        <x:v>EVT-09</x:v>
      </x:c>
      <x:c r="R50" s="30" t="str">
        <x:v>W2</x:v>
      </x:c>
      <x:c r="S50" s="30" t="str">
        <x:v>Analytics Engineer</x:v>
      </x:c>
      <x:c r="T50" s="30" t="str">
        <x:v>Proposed</x:v>
      </x:c>
    </x:row>
    <x:row r="51">
      <x:c r="A51" s="19" t="inlineStr">
        <x:is>
          <x:t xml:space="preserve">EVT-09</x:t>
        </x:is>
      </x:c>
      <x:c r="B51" s="6" t="inlineStr">
        <x:is>
          <x:t xml:space="preserve">items</x:t>
        </x:is>
      </x:c>
      <x:c r="C51" s="6" t="inlineStr">
        <x:is>
          <x:t xml:space="preserve">آرایه اقلام سبد</x:t>
        </x:is>
      </x:c>
      <x:c r="D51" s="6" t="inlineStr">
        <x:is>
          <x:t xml:space="preserve">تمام اقلام سبد</x:t>
        </x:is>
      </x:c>
      <x:c r="E51" s="6" t="inlineStr">
        <x:is>
          <x:t xml:space="preserve">Array[Object]</x:t>
        </x:is>
      </x:c>
      <x:c r="F51" s="19" t="inlineStr">
        <x:is>
          <x:t xml:space="preserve">Required</x:t>
        </x:is>
      </x:c>
      <x:c r="G51" s="6" t="inlineStr">
        <x:is>
          <x:t xml:space="preserve">[{item_id,price,quantity}]</x:t>
        </x:is>
      </x:c>
      <x:c r="H51" s="6" t="inlineStr">
        <x:is>
          <x:t xml:space="preserve">—</x:t>
        </x:is>
      </x:c>
      <x:c r="I51" s="6" t="inlineStr">
        <x:is>
          <x:t xml:space="preserve">cart API</x:t>
        </x:is>
      </x:c>
      <x:c r="J51" s="6" t="inlineStr">
        <x:is>
          <x:t xml:space="preserve">هیچ</x:t>
        </x:is>
      </x:c>
      <x:c r="K51" s="6" t="inlineStr">
        <x:is>
          <x:t xml:space="preserve">تطبیق با cart API</x:t>
        </x:is>
      </x:c>
      <x:c r="L51" s="19" t="inlineStr">
        <x:is>
          <x:t xml:space="preserve">None</x:t>
        </x:is>
      </x:c>
      <x:c r="M51" s="19" t="inlineStr">
        <x:is>
          <x:t xml:space="preserve">No</x:t>
        </x:is>
      </x:c>
      <x:c r="N51" s="6" t="inlineStr">
        <x:is>
          <x:t xml:space="preserve">GA4, CAPI</x:t>
        </x:is>
      </x:c>
      <x:c r="O51" s="6" t="inlineStr">
        <x:is>
          <x:t xml:space="preserve"/>
        </x:is>
      </x:c>
      <x:c r="P51" s="30" t="str">
        <x:v>EVP-050</x:v>
      </x:c>
      <x:c r="Q51" s="30" t="str">
        <x:v>EVT-09</x:v>
      </x:c>
      <x:c r="R51" s="30" t="str">
        <x:v>W2</x:v>
      </x:c>
      <x:c r="S51" s="30" t="str">
        <x:v>Analytics Engineer</x:v>
      </x:c>
      <x:c r="T51" s="30" t="str">
        <x:v>Proposed</x:v>
      </x:c>
    </x:row>
    <x:row r="52">
      <x:c r="A52" s="17" t="inlineStr">
        <x:is>
          <x:t xml:space="preserve">EVT-09</x:t>
        </x:is>
      </x:c>
      <x:c r="B52" s="4" t="inlineStr">
        <x:is>
          <x:t xml:space="preserve">cart_total_weight_kg</x:t>
        </x:is>
      </x:c>
      <x:c r="C52" s="4" t="inlineStr">
        <x:is>
          <x:t xml:space="preserve">وزن کل سبد</x:t>
        </x:is>
      </x:c>
      <x:c r="D52" s="4" t="inlineStr">
        <x:is>
          <x:t xml:space="preserve">وزن تخمینی بار</x:t>
        </x:is>
      </x:c>
      <x:c r="E52" s="4" t="inlineStr">
        <x:is>
          <x:t xml:space="preserve">Decimal (kg)</x:t>
        </x:is>
      </x:c>
      <x:c r="F52" s="17" t="inlineStr">
        <x:is>
          <x:t xml:space="preserve">Optional</x:t>
        </x:is>
      </x:c>
      <x:c r="G52" s="4" t="inlineStr">
        <x:is>
          <x:t xml:space="preserve">12.5</x:t>
        </x:is>
      </x:c>
      <x:c r="H52" s="4" t="inlineStr">
        <x:is>
          <x:t xml:space="preserve">&gt; 0</x:t>
        </x:is>
      </x:c>
      <x:c r="I52" s="4" t="inlineStr">
        <x:is>
          <x:t xml:space="preserve">محاسبه از SKU</x:t>
        </x:is>
      </x:c>
      <x:c r="J52" s="4" t="inlineStr">
        <x:is>
          <x:t xml:space="preserve">round 2</x:t>
        </x:is>
      </x:c>
      <x:c r="K52" s="4" t="inlineStr">
        <x:is>
          <x:t xml:space="preserve">&gt; 0</x:t>
        </x:is>
      </x:c>
      <x:c r="L52" s="17" t="inlineStr">
        <x:is>
          <x:t xml:space="preserve">None</x:t>
        </x:is>
      </x:c>
      <x:c r="M52" s="17" t="inlineStr">
        <x:is>
          <x:t xml:space="preserve">No</x:t>
        </x:is>
      </x:c>
      <x:c r="N52" s="4" t="inlineStr">
        <x:is>
          <x:t xml:space="preserve">GA4, DWH</x:t>
        </x:is>
      </x:c>
      <x:c r="O52" s="4" t="inlineStr">
        <x:is>
          <x:t xml:space="preserve">مبنای کرایه باربری</x:t>
        </x:is>
      </x:c>
      <x:c r="P52" s="30" t="str">
        <x:v>EVP-051</x:v>
      </x:c>
      <x:c r="Q52" s="30" t="str">
        <x:v>EVT-09</x:v>
      </x:c>
      <x:c r="R52" s="30" t="str">
        <x:v>W2</x:v>
      </x:c>
      <x:c r="S52" s="30" t="str">
        <x:v>Analytics Engineer</x:v>
      </x:c>
      <x:c r="T52" s="30" t="str">
        <x:v>Proposed</x:v>
      </x:c>
    </x:row>
    <x:row r="53">
      <x:c r="A53" s="19" t="inlineStr">
        <x:is>
          <x:t xml:space="preserve">EVT-09</x:t>
        </x:is>
      </x:c>
      <x:c r="B53" s="6" t="inlineStr">
        <x:is>
          <x:t xml:space="preserve">estimated_freight</x:t>
        </x:is>
      </x:c>
      <x:c r="C53" s="6" t="inlineStr">
        <x:is>
          <x:t xml:space="preserve">کرایه تخمینی</x:t>
        </x:is>
      </x:c>
      <x:c r="D53" s="6" t="inlineStr">
        <x:is>
          <x:t xml:space="preserve">هزینه ارسال تخمینی</x:t>
        </x:is>
      </x:c>
      <x:c r="E53" s="6" t="inlineStr">
        <x:is>
          <x:t xml:space="preserve">Decimal (IRR)</x:t>
        </x:is>
      </x:c>
      <x:c r="F53" s="19" t="inlineStr">
        <x:is>
          <x:t xml:space="preserve">Optional</x:t>
        </x:is>
      </x:c>
      <x:c r="G53" s="6" t="inlineStr">
        <x:is>
          <x:t xml:space="preserve">2500000</x:t>
        </x:is>
      </x:c>
      <x:c r="H53" s="6" t="inlineStr">
        <x:is>
          <x:t xml:space="preserve">&gt;= 0</x:t>
        </x:is>
      </x:c>
      <x:c r="I53" s="6" t="inlineStr">
        <x:is>
          <x:t xml:space="preserve">محرک محاسبه کرایه</x:t>
        </x:is>
      </x:c>
      <x:c r="J53" s="6" t="inlineStr">
        <x:is>
          <x:t xml:space="preserve">هیچ</x:t>
        </x:is>
      </x:c>
      <x:c r="K53" s="6" t="inlineStr">
        <x:is>
          <x:t xml:space="preserve">&gt;= 0</x:t>
        </x:is>
      </x:c>
      <x:c r="L53" s="19" t="inlineStr">
        <x:is>
          <x:t xml:space="preserve">None</x:t>
        </x:is>
      </x:c>
      <x:c r="M53" s="19" t="inlineStr">
        <x:is>
          <x:t xml:space="preserve">No</x:t>
        </x:is>
      </x:c>
      <x:c r="N53" s="6" t="inlineStr">
        <x:is>
          <x:t xml:space="preserve">GA4, DWH</x:t>
        </x:is>
      </x:c>
      <x:c r="O53" s="6" t="inlineStr">
        <x:is>
          <x:t xml:space="preserve"/>
        </x:is>
      </x:c>
      <x:c r="P53" s="30" t="str">
        <x:v>EVP-052</x:v>
      </x:c>
      <x:c r="Q53" s="30" t="str">
        <x:v>EVT-09</x:v>
      </x:c>
      <x:c r="R53" s="30" t="str">
        <x:v>W2</x:v>
      </x:c>
      <x:c r="S53" s="30" t="str">
        <x:v>Analytics Engineer</x:v>
      </x:c>
      <x:c r="T53" s="30" t="str">
        <x:v>Proposed</x:v>
      </x:c>
    </x:row>
    <x:row r="54">
      <x:c r="A54" s="17" t="inlineStr">
        <x:is>
          <x:t xml:space="preserve">EVT-10</x:t>
        </x:is>
      </x:c>
      <x:c r="B54" s="4" t="inlineStr">
        <x:is>
          <x:t xml:space="preserve">currency</x:t>
        </x:is>
      </x:c>
      <x:c r="C54" s="4" t="inlineStr">
        <x:is>
          <x:t xml:space="preserve">ارز</x:t>
        </x:is>
      </x:c>
      <x:c r="D54" s="4" t="inlineStr">
        <x:is>
          <x:t xml:space="preserve">ارز مبادلاتی</x:t>
        </x:is>
      </x:c>
      <x:c r="E54" s="4" t="inlineStr">
        <x:is>
          <x:t xml:space="preserve">String</x:t>
        </x:is>
      </x:c>
      <x:c r="F54" s="17" t="inlineStr">
        <x:is>
          <x:t xml:space="preserve">Required</x:t>
        </x:is>
      </x:c>
      <x:c r="G54" s="4" t="inlineStr">
        <x:is>
          <x:t xml:space="preserve">IRR</x:t>
        </x:is>
      </x:c>
      <x:c r="H54" s="4" t="inlineStr">
        <x:is>
          <x:t xml:space="preserve">IRR</x:t>
        </x:is>
      </x:c>
      <x:c r="I54" s="4" t="inlineStr">
        <x:is>
          <x:t xml:space="preserve">ثابت</x:t>
        </x:is>
      </x:c>
      <x:c r="J54" s="4" t="inlineStr">
        <x:is>
          <x:t xml:space="preserve">ثابت</x:t>
        </x:is>
      </x:c>
      <x:c r="K54" s="4" t="inlineStr">
        <x:is>
          <x:t xml:space="preserve">ISO-4217</x:t>
        </x:is>
      </x:c>
      <x:c r="L54" s="17" t="inlineStr">
        <x:is>
          <x:t xml:space="preserve">None</x:t>
        </x:is>
      </x:c>
      <x:c r="M54" s="17" t="inlineStr">
        <x:is>
          <x:t xml:space="preserve">No</x:t>
        </x:is>
      </x:c>
      <x:c r="N54" s="4" t="inlineStr">
        <x:is>
          <x:t xml:space="preserve">GA4, CAPI</x:t>
        </x:is>
      </x:c>
      <x:c r="O54" s="4" t="inlineStr">
        <x:is>
          <x:t xml:space="preserve"/>
        </x:is>
      </x:c>
      <x:c r="P54" s="30" t="str">
        <x:v>EVP-053</x:v>
      </x:c>
      <x:c r="Q54" s="30" t="str">
        <x:v>EVT-10</x:v>
      </x:c>
      <x:c r="R54" s="30" t="str">
        <x:v>W2</x:v>
      </x:c>
      <x:c r="S54" s="30" t="str">
        <x:v>Analytics Engineer</x:v>
      </x:c>
      <x:c r="T54" s="30" t="str">
        <x:v>Proposed</x:v>
      </x:c>
    </x:row>
    <x:row r="55">
      <x:c r="A55" s="19" t="inlineStr">
        <x:is>
          <x:t xml:space="preserve">EVT-10</x:t>
        </x:is>
      </x:c>
      <x:c r="B55" s="6" t="inlineStr">
        <x:is>
          <x:t xml:space="preserve">value</x:t>
        </x:is>
      </x:c>
      <x:c r="C55" s="6" t="inlineStr">
        <x:is>
          <x:t xml:space="preserve">ارزش فاکتور اولیه</x:t>
        </x:is>
      </x:c>
      <x:c r="D55" s="6" t="inlineStr">
        <x:is>
          <x:t xml:space="preserve">مجموع سبد</x:t>
        </x:is>
      </x:c>
      <x:c r="E55" s="6" t="inlineStr">
        <x:is>
          <x:t xml:space="preserve">Decimal (IRR)</x:t>
        </x:is>
      </x:c>
      <x:c r="F55" s="19" t="inlineStr">
        <x:is>
          <x:t xml:space="preserve">Required</x:t>
        </x:is>
      </x:c>
      <x:c r="G55" s="6" t="inlineStr">
        <x:is>
          <x:t xml:space="preserve">45000000</x:t>
        </x:is>
      </x:c>
      <x:c r="H55" s="6" t="inlineStr">
        <x:is>
          <x:t xml:space="preserve">&gt; 0</x:t>
        </x:is>
      </x:c>
      <x:c r="I55" s="6" t="inlineStr">
        <x:is>
          <x:t xml:space="preserve">cart API</x:t>
        </x:is>
      </x:c>
      <x:c r="J55" s="6" t="inlineStr">
        <x:is>
          <x:t xml:space="preserve">هیچ</x:t>
        </x:is>
      </x:c>
      <x:c r="K55" s="6" t="inlineStr">
        <x:is>
          <x:t xml:space="preserve">&gt; 0</x:t>
        </x:is>
      </x:c>
      <x:c r="L55" s="19" t="inlineStr">
        <x:is>
          <x:t xml:space="preserve">None</x:t>
        </x:is>
      </x:c>
      <x:c r="M55" s="19" t="inlineStr">
        <x:is>
          <x:t xml:space="preserve">No</x:t>
        </x:is>
      </x:c>
      <x:c r="N55" s="6" t="inlineStr">
        <x:is>
          <x:t xml:space="preserve">GA4, CAPI</x:t>
        </x:is>
      </x:c>
      <x:c r="O55" s="6" t="inlineStr">
        <x:is>
          <x:t xml:space="preserve"/>
        </x:is>
      </x:c>
      <x:c r="P55" s="30" t="str">
        <x:v>EVP-054</x:v>
      </x:c>
      <x:c r="Q55" s="30" t="str">
        <x:v>EVT-10</x:v>
      </x:c>
      <x:c r="R55" s="30" t="str">
        <x:v>W2</x:v>
      </x:c>
      <x:c r="S55" s="30" t="str">
        <x:v>Analytics Engineer</x:v>
      </x:c>
      <x:c r="T55" s="30" t="str">
        <x:v>Proposed</x:v>
      </x:c>
    </x:row>
    <x:row r="56">
      <x:c r="A56" s="17" t="inlineStr">
        <x:is>
          <x:t xml:space="preserve">EVT-10</x:t>
        </x:is>
      </x:c>
      <x:c r="B56" s="4" t="inlineStr">
        <x:is>
          <x:t xml:space="preserve">items</x:t>
        </x:is>
      </x:c>
      <x:c r="C56" s="4" t="inlineStr">
        <x:is>
          <x:t xml:space="preserve">آرایه اقلام</x:t>
        </x:is>
      </x:c>
      <x:c r="D56" s="4" t="inlineStr">
        <x:is>
          <x:t xml:space="preserve">اقلام سبد</x:t>
        </x:is>
      </x:c>
      <x:c r="E56" s="4" t="inlineStr">
        <x:is>
          <x:t xml:space="preserve">Array[Object]</x:t>
        </x:is>
      </x:c>
      <x:c r="F56" s="17" t="inlineStr">
        <x:is>
          <x:t xml:space="preserve">Required</x:t>
        </x:is>
      </x:c>
      <x:c r="G56" s="4" t="inlineStr">
        <x:is>
          <x:t xml:space="preserve">[{item_id,price,quantity}]</x:t>
        </x:is>
      </x:c>
      <x:c r="H56" s="4" t="inlineStr">
        <x:is>
          <x:t xml:space="preserve">—</x:t>
        </x:is>
      </x:c>
      <x:c r="I56" s="4" t="inlineStr">
        <x:is>
          <x:t xml:space="preserve">cart API</x:t>
        </x:is>
      </x:c>
      <x:c r="J56" s="4" t="inlineStr">
        <x:is>
          <x:t xml:space="preserve">هیچ</x:t>
        </x:is>
      </x:c>
      <x:c r="K56" s="4" t="inlineStr">
        <x:is>
          <x:t xml:space="preserve">تطبیق</x:t>
        </x:is>
      </x:c>
      <x:c r="L56" s="17" t="inlineStr">
        <x:is>
          <x:t xml:space="preserve">None</x:t>
        </x:is>
      </x:c>
      <x:c r="M56" s="17" t="inlineStr">
        <x:is>
          <x:t xml:space="preserve">No</x:t>
        </x:is>
      </x:c>
      <x:c r="N56" s="4" t="inlineStr">
        <x:is>
          <x:t xml:space="preserve">GA4, CAPI</x:t>
        </x:is>
      </x:c>
      <x:c r="O56" s="4" t="inlineStr">
        <x:is>
          <x:t xml:space="preserve"/>
        </x:is>
      </x:c>
      <x:c r="P56" s="30" t="str">
        <x:v>EVP-055</x:v>
      </x:c>
      <x:c r="Q56" s="30" t="str">
        <x:v>EVT-10</x:v>
      </x:c>
      <x:c r="R56" s="30" t="str">
        <x:v>W2</x:v>
      </x:c>
      <x:c r="S56" s="30" t="str">
        <x:v>Analytics Engineer</x:v>
      </x:c>
      <x:c r="T56" s="30" t="str">
        <x:v>Proposed</x:v>
      </x:c>
    </x:row>
    <x:row r="57">
      <x:c r="A57" s="19" t="inlineStr">
        <x:is>
          <x:t xml:space="preserve">EVT-10</x:t>
        </x:is>
      </x:c>
      <x:c r="B57" s="6" t="inlineStr">
        <x:is>
          <x:t xml:space="preserve">coupon</x:t>
        </x:is>
      </x:c>
      <x:c r="C57" s="6" t="inlineStr">
        <x:is>
          <x:t xml:space="preserve">کد تخفیف</x:t>
        </x:is>
      </x:c>
      <x:c r="D57" s="6" t="inlineStr">
        <x:is>
          <x:t xml:space="preserve">کوپن واردشده</x:t>
        </x:is>
      </x:c>
      <x:c r="E57" s="6" t="inlineStr">
        <x:is>
          <x:t xml:space="preserve">String</x:t>
        </x:is>
      </x:c>
      <x:c r="F57" s="19" t="inlineStr">
        <x:is>
          <x:t xml:space="preserve">Optional</x:t>
        </x:is>
      </x:c>
      <x:c r="G57" s="6" t="inlineStr">
        <x:is>
          <x:t xml:space="preserve">VIP_DENT_10</x:t>
        </x:is>
      </x:c>
      <x:c r="H57" s="6" t="inlineStr">
        <x:is>
          <x:t xml:space="preserve">—</x:t>
        </x:is>
      </x:c>
      <x:c r="I57" s="6" t="inlineStr">
        <x:is>
          <x:t xml:space="preserve">فرم کوپن</x:t>
        </x:is>
      </x:c>
      <x:c r="J57" s="6" t="inlineStr">
        <x:is>
          <x:t xml:space="preserve">UPPER + بدون فاصله</x:t>
        </x:is>
      </x:c>
      <x:c r="K57" s="6" t="inlineStr">
        <x:is>
          <x:t xml:space="preserve">مطابقت جدول کوپن فعال</x:t>
        </x:is>
      </x:c>
      <x:c r="L57" s="19" t="inlineStr">
        <x:is>
          <x:t xml:space="preserve">None</x:t>
        </x:is>
      </x:c>
      <x:c r="M57" s="19" t="inlineStr">
        <x:is>
          <x:t xml:space="preserve">No</x:t>
        </x:is>
      </x:c>
      <x:c r="N57" s="6" t="inlineStr">
        <x:is>
          <x:t xml:space="preserve">GA4, DWH</x:t>
        </x:is>
      </x:c>
      <x:c r="O57" s="6" t="inlineStr">
        <x:is>
          <x:t xml:space="preserve"/>
        </x:is>
      </x:c>
      <x:c r="P57" s="30" t="str">
        <x:v>EVP-056</x:v>
      </x:c>
      <x:c r="Q57" s="30" t="str">
        <x:v>EVT-10</x:v>
      </x:c>
      <x:c r="R57" s="30" t="str">
        <x:v>W2</x:v>
      </x:c>
      <x:c r="S57" s="30" t="str">
        <x:v>Analytics Engineer</x:v>
      </x:c>
      <x:c r="T57" s="30" t="str">
        <x:v>Proposed</x:v>
      </x:c>
    </x:row>
    <x:row r="58">
      <x:c r="A58" s="17" t="inlineStr">
        <x:is>
          <x:t xml:space="preserve">EVT-10</x:t>
        </x:is>
      </x:c>
      <x:c r="B58" s="4" t="inlineStr">
        <x:is>
          <x:t xml:space="preserve">user_medical_council_id</x:t>
        </x:is>
      </x:c>
      <x:c r="C58" s="4" t="inlineStr">
        <x:is>
          <x:t xml:space="preserve">شماره نظام پزشکی</x:t>
        </x:is>
      </x:c>
      <x:c r="D58" s="4" t="inlineStr">
        <x:is>
          <x:t xml:space="preserve">شماره صنفی (احراز هویت)</x:t>
        </x:is>
      </x:c>
      <x:c r="E58" s="4" t="inlineStr">
        <x:is>
          <x:t xml:space="preserve">String (Numeric)</x:t>
        </x:is>
      </x:c>
      <x:c r="F58" s="17" t="inlineStr">
        <x:is>
          <x:t xml:space="preserve">Optional</x:t>
        </x:is>
      </x:c>
      <x:c r="G58" s="4" t="inlineStr">
        <x:is>
          <x:t xml:space="preserve">184920</x:t>
        </x:is>
      </x:c>
      <x:c r="H58" s="4" t="inlineStr">
        <x:is>
          <x:t xml:space="preserve">—</x:t>
        </x:is>
      </x:c>
      <x:c r="I58" s="4" t="inlineStr">
        <x:is>
          <x:t xml:space="preserve">پروفایل</x:t>
        </x:is>
      </x:c>
      <x:c r="J58" s="4" t="inlineStr">
        <x:is>
          <x:t xml:space="preserve">SHA-256 برای ارسال بیرونی</x:t>
        </x:is>
      </x:c>
      <x:c r="K58" s="4" t="inlineStr">
        <x:is>
          <x:t xml:space="preserve">اعتبارسنجی</x:t>
        </x:is>
      </x:c>
      <x:c r="L58" s="17" t="inlineStr">
        <x:is>
          <x:t xml:space="preserve">PII-2</x:t>
        </x:is>
      </x:c>
      <x:c r="M58" s="17" t="inlineStr">
        <x:is>
          <x:t xml:space="preserve">No</x:t>
        </x:is>
      </x:c>
      <x:c r="N58" s="4" t="inlineStr">
        <x:is>
          <x:t xml:space="preserve">Server GTM</x:t>
        </x:is>
      </x:c>
      <x:c r="O58" s="4" t="inlineStr">
        <x:is>
          <x:t xml:space="preserve">بررسی بدهی معوق در سرور</x:t>
        </x:is>
      </x:c>
      <x:c r="P58" s="30" t="str">
        <x:v>EVP-057</x:v>
      </x:c>
      <x:c r="Q58" s="30" t="str">
        <x:v>EVT-10</x:v>
      </x:c>
      <x:c r="R58" s="30" t="str">
        <x:v>W2</x:v>
      </x:c>
      <x:c r="S58" s="30" t="str">
        <x:v>Analytics Engineer</x:v>
      </x:c>
      <x:c r="T58" s="30" t="str">
        <x:v>Proposed</x:v>
      </x:c>
    </x:row>
    <x:row r="59">
      <x:c r="A59" s="19" t="inlineStr">
        <x:is>
          <x:t xml:space="preserve">EVT-11</x:t>
        </x:is>
      </x:c>
      <x:c r="B59" s="6" t="inlineStr">
        <x:is>
          <x:t xml:space="preserve">currency</x:t>
        </x:is>
      </x:c>
      <x:c r="C59" s="6" t="inlineStr">
        <x:is>
          <x:t xml:space="preserve">ارز</x:t>
        </x:is>
      </x:c>
      <x:c r="D59" s="6" t="inlineStr">
        <x:is>
          <x:t xml:space="preserve">ارز مبادلاتی</x:t>
        </x:is>
      </x:c>
      <x:c r="E59" s="6" t="inlineStr">
        <x:is>
          <x:t xml:space="preserve">String</x:t>
        </x:is>
      </x:c>
      <x:c r="F59" s="19" t="inlineStr">
        <x:is>
          <x:t xml:space="preserve">Required</x:t>
        </x:is>
      </x:c>
      <x:c r="G59" s="6" t="inlineStr">
        <x:is>
          <x:t xml:space="preserve">IRR</x:t>
        </x:is>
      </x:c>
      <x:c r="H59" s="6" t="inlineStr">
        <x:is>
          <x:t xml:space="preserve">IRR</x:t>
        </x:is>
      </x:c>
      <x:c r="I59" s="6" t="inlineStr">
        <x:is>
          <x:t xml:space="preserve">ثابت</x:t>
        </x:is>
      </x:c>
      <x:c r="J59" s="6" t="inlineStr">
        <x:is>
          <x:t xml:space="preserve">ثابت</x:t>
        </x:is>
      </x:c>
      <x:c r="K59" s="6" t="inlineStr">
        <x:is>
          <x:t xml:space="preserve">ISO-4217</x:t>
        </x:is>
      </x:c>
      <x:c r="L59" s="19" t="inlineStr">
        <x:is>
          <x:t xml:space="preserve">None</x:t>
        </x:is>
      </x:c>
      <x:c r="M59" s="19" t="inlineStr">
        <x:is>
          <x:t xml:space="preserve">No</x:t>
        </x:is>
      </x:c>
      <x:c r="N59" s="6" t="inlineStr">
        <x:is>
          <x:t xml:space="preserve">GA4, CAPI</x:t>
        </x:is>
      </x:c>
      <x:c r="O59" s="6" t="inlineStr">
        <x:is>
          <x:t xml:space="preserve"/>
        </x:is>
      </x:c>
      <x:c r="P59" s="30" t="str">
        <x:v>EVP-058</x:v>
      </x:c>
      <x:c r="Q59" s="30" t="str">
        <x:v>EVT-11</x:v>
      </x:c>
      <x:c r="R59" s="30" t="str">
        <x:v>W2</x:v>
      </x:c>
      <x:c r="S59" s="30" t="str">
        <x:v>Analytics Engineer</x:v>
      </x:c>
      <x:c r="T59" s="30" t="str">
        <x:v>Proposed</x:v>
      </x:c>
    </x:row>
    <x:row r="60">
      <x:c r="A60" s="17" t="inlineStr">
        <x:is>
          <x:t xml:space="preserve">EVT-11</x:t>
        </x:is>
      </x:c>
      <x:c r="B60" s="4" t="inlineStr">
        <x:is>
          <x:t xml:space="preserve">value</x:t>
        </x:is>
      </x:c>
      <x:c r="C60" s="4" t="inlineStr">
        <x:is>
          <x:t xml:space="preserve">ارزش فاکتور</x:t>
        </x:is>
      </x:c>
      <x:c r="D60" s="4" t="inlineStr">
        <x:is>
          <x:t xml:space="preserve">مجموع سبد</x:t>
        </x:is>
      </x:c>
      <x:c r="E60" s="4" t="inlineStr">
        <x:is>
          <x:t xml:space="preserve">Decimal (IRR)</x:t>
        </x:is>
      </x:c>
      <x:c r="F60" s="17" t="inlineStr">
        <x:is>
          <x:t xml:space="preserve">Required</x:t>
        </x:is>
      </x:c>
      <x:c r="G60" s="4" t="inlineStr">
        <x:is>
          <x:t xml:space="preserve">45000000</x:t>
        </x:is>
      </x:c>
      <x:c r="H60" s="4" t="inlineStr">
        <x:is>
          <x:t xml:space="preserve">&gt; 0</x:t>
        </x:is>
      </x:c>
      <x:c r="I60" s="4" t="inlineStr">
        <x:is>
          <x:t xml:space="preserve">cart API</x:t>
        </x:is>
      </x:c>
      <x:c r="J60" s="4" t="inlineStr">
        <x:is>
          <x:t xml:space="preserve">هیچ</x:t>
        </x:is>
      </x:c>
      <x:c r="K60" s="4" t="inlineStr">
        <x:is>
          <x:t xml:space="preserve">&gt; 0</x:t>
        </x:is>
      </x:c>
      <x:c r="L60" s="17" t="inlineStr">
        <x:is>
          <x:t xml:space="preserve">None</x:t>
        </x:is>
      </x:c>
      <x:c r="M60" s="17" t="inlineStr">
        <x:is>
          <x:t xml:space="preserve">No</x:t>
        </x:is>
      </x:c>
      <x:c r="N60" s="4" t="inlineStr">
        <x:is>
          <x:t xml:space="preserve">GA4, CAPI</x:t>
        </x:is>
      </x:c>
      <x:c r="O60" s="4" t="inlineStr">
        <x:is>
          <x:t xml:space="preserve"/>
        </x:is>
      </x:c>
      <x:c r="P60" s="30" t="str">
        <x:v>EVP-059</x:v>
      </x:c>
      <x:c r="Q60" s="30" t="str">
        <x:v>EVT-11</x:v>
      </x:c>
      <x:c r="R60" s="30" t="str">
        <x:v>W2</x:v>
      </x:c>
      <x:c r="S60" s="30" t="str">
        <x:v>Analytics Engineer</x:v>
      </x:c>
      <x:c r="T60" s="30" t="str">
        <x:v>Proposed</x:v>
      </x:c>
    </x:row>
    <x:row r="61">
      <x:c r="A61" s="19" t="inlineStr">
        <x:is>
          <x:t xml:space="preserve">EVT-11</x:t>
        </x:is>
      </x:c>
      <x:c r="B61" s="6" t="inlineStr">
        <x:is>
          <x:t xml:space="preserve">shipping_tier</x:t>
        </x:is>
      </x:c>
      <x:c r="C61" s="6" t="inlineStr">
        <x:is>
          <x:t xml:space="preserve">نحوه ارسال</x:t>
        </x:is>
      </x:c>
      <x:c r="D61" s="6" t="inlineStr">
        <x:is>
          <x:t xml:space="preserve">تیپ خدمت لجستیک</x:t>
        </x:is>
      </x:c>
      <x:c r="E61" s="6" t="inlineStr">
        <x:is>
          <x:t xml:space="preserve">Enum</x:t>
        </x:is>
      </x:c>
      <x:c r="F61" s="19" t="inlineStr">
        <x:is>
          <x:t xml:space="preserve">Required</x:t>
        </x:is>
      </x:c>
      <x:c r="G61" s="6" t="inlineStr">
        <x:is>
          <x:t xml:space="preserve">تیپاکس هوایی ویژه مواد فاسدشدنی</x:t>
        </x:is>
      </x:c>
      <x:c r="H61" s="6" t="inlineStr">
        <x:is>
          <x:t xml:space="preserve">express_air/ground/freight</x:t>
        </x:is>
      </x:c>
      <x:c r="I61" s="6" t="inlineStr">
        <x:is>
          <x:t xml:space="preserve">فیلدر آدرس</x:t>
        </x:is>
      </x:c>
      <x:c r="J61" s="6" t="inlineStr">
        <x:is>
          <x:t xml:space="preserve">استانداردسازی</x:t>
        </x:is>
      </x:c>
      <x:c r="K61" s="6" t="inlineStr">
        <x:is>
          <x:t xml:space="preserve">عضویت در لیست</x:t>
        </x:is>
      </x:c>
      <x:c r="L61" s="19" t="inlineStr">
        <x:is>
          <x:t xml:space="preserve">None</x:t>
        </x:is>
      </x:c>
      <x:c r="M61" s="19" t="inlineStr">
        <x:is>
          <x:t xml:space="preserve">No</x:t>
        </x:is>
      </x:c>
      <x:c r="N61" s="6" t="inlineStr">
        <x:is>
          <x:t xml:space="preserve">GA4, DWH</x:t>
        </x:is>
      </x:c>
      <x:c r="O61" s="6" t="inlineStr">
        <x:is>
          <x:t xml:space="preserve"/>
        </x:is>
      </x:c>
      <x:c r="P61" s="30" t="str">
        <x:v>EVP-060</x:v>
      </x:c>
      <x:c r="Q61" s="30" t="str">
        <x:v>EVT-11</x:v>
      </x:c>
      <x:c r="R61" s="30" t="str">
        <x:v>W2</x:v>
      </x:c>
      <x:c r="S61" s="30" t="str">
        <x:v>Analytics Engineer</x:v>
      </x:c>
      <x:c r="T61" s="30" t="str">
        <x:v>Proposed</x:v>
      </x:c>
    </x:row>
    <x:row r="62">
      <x:c r="A62" s="17" t="inlineStr">
        <x:is>
          <x:t xml:space="preserve">EVT-11</x:t>
        </x:is>
      </x:c>
      <x:c r="B62" s="4" t="inlineStr">
        <x:is>
          <x:t xml:space="preserve">items</x:t>
        </x:is>
      </x:c>
      <x:c r="C62" s="4" t="inlineStr">
        <x:is>
          <x:t xml:space="preserve">آرایه اقلام</x:t>
        </x:is>
      </x:c>
      <x:c r="D62" s="4" t="inlineStr">
        <x:is>
          <x:t xml:space="preserve">اقلام سبد</x:t>
        </x:is>
      </x:c>
      <x:c r="E62" s="4" t="inlineStr">
        <x:is>
          <x:t xml:space="preserve">Array[Object]</x:t>
        </x:is>
      </x:c>
      <x:c r="F62" s="17" t="inlineStr">
        <x:is>
          <x:t xml:space="preserve">Required</x:t>
        </x:is>
      </x:c>
      <x:c r="G62" s="4" t="inlineStr">
        <x:is>
          <x:t xml:space="preserve">[{item_id,quantity}]</x:t>
        </x:is>
      </x:c>
      <x:c r="H62" s="4" t="inlineStr">
        <x:is>
          <x:t xml:space="preserve">—</x:t>
        </x:is>
      </x:c>
      <x:c r="I62" s="4" t="inlineStr">
        <x:is>
          <x:t xml:space="preserve">cart API</x:t>
        </x:is>
      </x:c>
      <x:c r="J62" s="4" t="inlineStr">
        <x:is>
          <x:t xml:space="preserve">هیچ</x:t>
        </x:is>
      </x:c>
      <x:c r="K62" s="4" t="inlineStr">
        <x:is>
          <x:t xml:space="preserve">تطبیق</x:t>
        </x:is>
      </x:c>
      <x:c r="L62" s="17" t="inlineStr">
        <x:is>
          <x:t xml:space="preserve">None</x:t>
        </x:is>
      </x:c>
      <x:c r="M62" s="17" t="inlineStr">
        <x:is>
          <x:t xml:space="preserve">No</x:t>
        </x:is>
      </x:c>
      <x:c r="N62" s="4" t="inlineStr">
        <x:is>
          <x:t xml:space="preserve">GA4, CAPI</x:t>
        </x:is>
      </x:c>
      <x:c r="O62" s="4" t="inlineStr">
        <x:is>
          <x:t xml:space="preserve"/>
        </x:is>
      </x:c>
      <x:c r="P62" s="30" t="str">
        <x:v>EVP-061</x:v>
      </x:c>
      <x:c r="Q62" s="30" t="str">
        <x:v>EVT-11</x:v>
      </x:c>
      <x:c r="R62" s="30" t="str">
        <x:v>W2</x:v>
      </x:c>
      <x:c r="S62" s="30" t="str">
        <x:v>Analytics Engineer</x:v>
      </x:c>
      <x:c r="T62" s="30" t="str">
        <x:v>Proposed</x:v>
      </x:c>
    </x:row>
    <x:row r="63">
      <x:c r="A63" s="19" t="inlineStr">
        <x:is>
          <x:t xml:space="preserve">EVT-11</x:t>
        </x:is>
      </x:c>
      <x:c r="B63" s="6" t="inlineStr">
        <x:is>
          <x:t xml:space="preserve">city</x:t>
        </x:is>
      </x:c>
      <x:c r="C63" s="6" t="inlineStr">
        <x:is>
          <x:t xml:space="preserve">شهر مقصد</x:t>
        </x:is>
      </x:c>
      <x:c r="D63" s="6" t="inlineStr">
        <x:is>
          <x:t xml:space="preserve">شهر تحویل</x:t>
        </x:is>
      </x:c>
      <x:c r="E63" s="6" t="inlineStr">
        <x:is>
          <x:t xml:space="preserve">String</x:t>
        </x:is>
      </x:c>
      <x:c r="F63" s="19" t="inlineStr">
        <x:is>
          <x:t xml:space="preserve">Optional</x:t>
        </x:is>
      </x:c>
      <x:c r="G63" s="6" t="inlineStr">
        <x:is>
          <x:t xml:space="preserve">تهران</x:t>
        </x:is>
      </x:c>
      <x:c r="H63" s="6" t="inlineStr">
        <x:is>
          <x:t xml:space="preserve">—</x:t>
        </x:is>
      </x:c>
      <x:c r="I63" s="6" t="inlineStr">
        <x:is>
          <x:t xml:space="preserve">فرم آدرس</x:t>
        </x:is>
      </x:c>
      <x:c r="J63" s="6" t="inlineStr">
        <x:is>
          <x:t xml:space="preserve">استاندارد تقسیمات کشوری</x:t>
        </x:is>
      </x:c>
      <x:c r="K63" s="6" t="inlineStr">
        <x:is>
          <x:t xml:space="preserve">مطابقت جدول استان/شهر</x:t>
        </x:is>
      </x:c>
      <x:c r="L63" s="19" t="inlineStr">
        <x:is>
          <x:t xml:space="preserve">PII-2</x:t>
        </x:is>
      </x:c>
      <x:c r="M63" s="19" t="inlineStr">
        <x:is>
          <x:t xml:space="preserve">No</x:t>
        </x:is>
      </x:c>
      <x:c r="N63" s="6" t="inlineStr">
        <x:is>
          <x:t xml:space="preserve">GA4, DWH</x:t>
        </x:is>
      </x:c>
      <x:c r="O63" s="6" t="inlineStr">
        <x:is>
          <x:t xml:space="preserve"/>
        </x:is>
      </x:c>
      <x:c r="P63" s="30" t="str">
        <x:v>EVP-062</x:v>
      </x:c>
      <x:c r="Q63" s="30" t="str">
        <x:v>EVT-11</x:v>
      </x:c>
      <x:c r="R63" s="30" t="str">
        <x:v>W2</x:v>
      </x:c>
      <x:c r="S63" s="30" t="str">
        <x:v>Analytics Engineer</x:v>
      </x:c>
      <x:c r="T63" s="30" t="str">
        <x:v>Proposed</x:v>
      </x:c>
    </x:row>
    <x:row r="64">
      <x:c r="A64" s="17" t="inlineStr">
        <x:is>
          <x:t xml:space="preserve">EVT-11</x:t>
        </x:is>
      </x:c>
      <x:c r="B64" s="4" t="inlineStr">
        <x:is>
          <x:t xml:space="preserve">postal_code_first_5</x:t>
        </x:is>
      </x:c>
      <x:c r="C64" s="4" t="inlineStr">
        <x:is>
          <x:t xml:space="preserve">۵ رقم اول کدپستی</x:t>
        </x:is>
      </x:c>
      <x:c r="D64" s="4" t="inlineStr">
        <x:is>
          <x:t xml:space="preserve">پیشوند پستی برای تحلیل منطقه</x:t>
        </x:is>
      </x:c>
      <x:c r="E64" s="4" t="inlineStr">
        <x:is>
          <x:t xml:space="preserve">String</x:t>
        </x:is>
      </x:c>
      <x:c r="F64" s="17" t="inlineStr">
        <x:is>
          <x:t xml:space="preserve">Optional</x:t>
        </x:is>
      </x:c>
      <x:c r="G64" s="4" t="inlineStr">
        <x:is>
          <x:t xml:space="preserve">1476</x:t>
        </x:is>
      </x:c>
      <x:c r="H64" s="4" t="inlineStr">
        <x:is>
          <x:t xml:space="preserve">4-5 digit</x:t>
        </x:is>
      </x:c>
      <x:c r="I64" s="4" t="inlineStr">
        <x:is>
          <x:t xml:space="preserve">فرم آدرس</x:t>
        </x:is>
      </x:c>
      <x:c r="J64" s="4" t="inlineStr">
        <x:is>
          <x:t xml:space="preserve">substring(0,5)</x:t>
        </x:is>
      </x:c>
      <x:c r="K64" s="4" t="inlineStr">
        <x:is>
          <x:t xml:space="preserve">regex ^\d{4,5}$</x:t>
        </x:is>
      </x:c>
      <x:c r="L64" s="17" t="inlineStr">
        <x:is>
          <x:t xml:space="preserve">PII-2</x:t>
        </x:is>
      </x:c>
      <x:c r="M64" s="17" t="inlineStr">
        <x:is>
          <x:t xml:space="preserve">No</x:t>
        </x:is>
      </x:c>
      <x:c r="N64" s="4" t="inlineStr">
        <x:is>
          <x:t xml:space="preserve">DWH</x:t>
        </x:is>
      </x:c>
      <x:c r="O64" s="4" t="inlineStr">
        <x:is>
          <x:t xml:space="preserve">کاهش PII؛ تحلیل منطقه‌ای</x:t>
        </x:is>
      </x:c>
      <x:c r="P64" s="30" t="str">
        <x:v>EVP-063</x:v>
      </x:c>
      <x:c r="Q64" s="30" t="str">
        <x:v>EVT-11</x:v>
      </x:c>
      <x:c r="R64" s="30" t="str">
        <x:v>W2</x:v>
      </x:c>
      <x:c r="S64" s="30" t="str">
        <x:v>Analytics Engineer</x:v>
      </x:c>
      <x:c r="T64" s="30" t="str">
        <x:v>Proposed</x:v>
      </x:c>
    </x:row>
    <x:row r="65">
      <x:c r="A65" s="19" t="inlineStr">
        <x:is>
          <x:t xml:space="preserve">EVT-11</x:t>
        </x:is>
      </x:c>
      <x:c r="B65" s="6" t="inlineStr">
        <x:is>
          <x:t xml:space="preserve">delivery_estimate_days</x:t>
        </x:is>
      </x:c>
      <x:c r="C65" s="6" t="inlineStr">
        <x:is>
          <x:t xml:space="preserve">تخمین روز تحویل</x:t>
        </x:is>
      </x:c>
      <x:c r="D65" s="6" t="inlineStr">
        <x:is>
          <x:t xml:space="preserve">بازه تحویل</x:t>
        </x:is>
      </x:c>
      <x:c r="E65" s="6" t="inlineStr">
        <x:is>
          <x:t xml:space="preserve">Integer</x:t>
        </x:is>
      </x:c>
      <x:c r="F65" s="19" t="inlineStr">
        <x:is>
          <x:t xml:space="preserve">Optional</x:t>
        </x:is>
      </x:c>
      <x:c r="G65" s="6" t="inlineStr">
        <x:is>
          <x:t xml:space="preserve">3</x:t>
        </x:is>
      </x:c>
      <x:c r="H65" s="6" t="inlineStr">
        <x:is>
          <x:t xml:space="preserve">1..30</x:t>
        </x:is>
      </x:c>
      <x:c r="I65" s="6" t="inlineStr">
        <x:is>
          <x:t xml:space="preserve">محورک لجستیک</x:t>
        </x:is>
      </x:c>
      <x:c r="J65" s="6" t="inlineStr">
        <x:is>
          <x:t xml:space="preserve">هیچ</x:t>
        </x:is>
      </x:c>
      <x:c r="K65" s="6" t="inlineStr">
        <x:is>
          <x:t xml:space="preserve">1..30</x:t>
        </x:is>
      </x:c>
      <x:c r="L65" s="19" t="inlineStr">
        <x:is>
          <x:t xml:space="preserve">None</x:t>
        </x:is>
      </x:c>
      <x:c r="M65" s="19" t="inlineStr">
        <x:is>
          <x:t xml:space="preserve">No</x:t>
        </x:is>
      </x:c>
      <x:c r="N65" s="6" t="inlineStr">
        <x:is>
          <x:t xml:space="preserve">GA4</x:t>
        </x:is>
      </x:c>
      <x:c r="O65" s="6" t="inlineStr">
        <x:is>
          <x:t xml:space="preserve"/>
        </x:is>
      </x:c>
      <x:c r="P65" s="30" t="str">
        <x:v>EVP-064</x:v>
      </x:c>
      <x:c r="Q65" s="30" t="str">
        <x:v>EVT-11</x:v>
      </x:c>
      <x:c r="R65" s="30" t="str">
        <x:v>W2</x:v>
      </x:c>
      <x:c r="S65" s="30" t="str">
        <x:v>Analytics Engineer</x:v>
      </x:c>
      <x:c r="T65" s="30" t="str">
        <x:v>Proposed</x:v>
      </x:c>
    </x:row>
    <x:row r="66">
      <x:c r="A66" s="17" t="inlineStr">
        <x:is>
          <x:t xml:space="preserve">EVT-12</x:t>
        </x:is>
      </x:c>
      <x:c r="B66" s="4" t="inlineStr">
        <x:is>
          <x:t xml:space="preserve">currency</x:t>
        </x:is>
      </x:c>
      <x:c r="C66" s="4" t="inlineStr">
        <x:is>
          <x:t xml:space="preserve">ارز</x:t>
        </x:is>
      </x:c>
      <x:c r="D66" s="4" t="inlineStr">
        <x:is>
          <x:t xml:space="preserve">ارز مبادلاتی</x:t>
        </x:is>
      </x:c>
      <x:c r="E66" s="4" t="inlineStr">
        <x:is>
          <x:t xml:space="preserve">String</x:t>
        </x:is>
      </x:c>
      <x:c r="F66" s="17" t="inlineStr">
        <x:is>
          <x:t xml:space="preserve">Required</x:t>
        </x:is>
      </x:c>
      <x:c r="G66" s="4" t="inlineStr">
        <x:is>
          <x:t xml:space="preserve">IRR</x:t>
        </x:is>
      </x:c>
      <x:c r="H66" s="4" t="inlineStr">
        <x:is>
          <x:t xml:space="preserve">IRR</x:t>
        </x:is>
      </x:c>
      <x:c r="I66" s="4" t="inlineStr">
        <x:is>
          <x:t xml:space="preserve">ثابت</x:t>
        </x:is>
      </x:c>
      <x:c r="J66" s="4" t="inlineStr">
        <x:is>
          <x:t xml:space="preserve">ثابت</x:t>
        </x:is>
      </x:c>
      <x:c r="K66" s="4" t="inlineStr">
        <x:is>
          <x:t xml:space="preserve">ISO-4217</x:t>
        </x:is>
      </x:c>
      <x:c r="L66" s="17" t="inlineStr">
        <x:is>
          <x:t xml:space="preserve">None</x:t>
        </x:is>
      </x:c>
      <x:c r="M66" s="17" t="inlineStr">
        <x:is>
          <x:t xml:space="preserve">No</x:t>
        </x:is>
      </x:c>
      <x:c r="N66" s="4" t="inlineStr">
        <x:is>
          <x:t xml:space="preserve">GA4, CAPI</x:t>
        </x:is>
      </x:c>
      <x:c r="O66" s="4" t="inlineStr">
        <x:is>
          <x:t xml:space="preserve"/>
        </x:is>
      </x:c>
      <x:c r="P66" s="30" t="str">
        <x:v>EVP-065</x:v>
      </x:c>
      <x:c r="Q66" s="30" t="str">
        <x:v>EVT-12</x:v>
      </x:c>
      <x:c r="R66" s="30" t="str">
        <x:v>W2</x:v>
      </x:c>
      <x:c r="S66" s="30" t="str">
        <x:v>Analytics Engineer</x:v>
      </x:c>
      <x:c r="T66" s="30" t="str">
        <x:v>Proposed</x:v>
      </x:c>
    </x:row>
    <x:row r="67">
      <x:c r="A67" s="19" t="inlineStr">
        <x:is>
          <x:t xml:space="preserve">EVT-12</x:t>
        </x:is>
      </x:c>
      <x:c r="B67" s="6" t="inlineStr">
        <x:is>
          <x:t xml:space="preserve">value</x:t>
        </x:is>
      </x:c>
      <x:c r="C67" s="6" t="inlineStr">
        <x:is>
          <x:t xml:space="preserve">ارزش فاکتور</x:t>
        </x:is>
      </x:c>
      <x:c r="D67" s="6" t="inlineStr">
        <x:is>
          <x:t xml:space="preserve">مجموع سبد</x:t>
        </x:is>
      </x:c>
      <x:c r="E67" s="6" t="inlineStr">
        <x:is>
          <x:t xml:space="preserve">Decimal (IRR)</x:t>
        </x:is>
      </x:c>
      <x:c r="F67" s="19" t="inlineStr">
        <x:is>
          <x:t xml:space="preserve">Required</x:t>
        </x:is>
      </x:c>
      <x:c r="G67" s="6" t="inlineStr">
        <x:is>
          <x:t xml:space="preserve">45000000</x:t>
        </x:is>
      </x:c>
      <x:c r="H67" s="6" t="inlineStr">
        <x:is>
          <x:t xml:space="preserve">&gt; 0</x:t>
        </x:is>
      </x:c>
      <x:c r="I67" s="6" t="inlineStr">
        <x:is>
          <x:t xml:space="preserve">cart API</x:t>
        </x:is>
      </x:c>
      <x:c r="J67" s="6" t="inlineStr">
        <x:is>
          <x:t xml:space="preserve">هیچ</x:t>
        </x:is>
      </x:c>
      <x:c r="K67" s="6" t="inlineStr">
        <x:is>
          <x:t xml:space="preserve">&gt; 0</x:t>
        </x:is>
      </x:c>
      <x:c r="L67" s="19" t="inlineStr">
        <x:is>
          <x:t xml:space="preserve">None</x:t>
        </x:is>
      </x:c>
      <x:c r="M67" s="19" t="inlineStr">
        <x:is>
          <x:t xml:space="preserve">No</x:t>
        </x:is>
      </x:c>
      <x:c r="N67" s="6" t="inlineStr">
        <x:is>
          <x:t xml:space="preserve">GA4, CAPI</x:t>
        </x:is>
      </x:c>
      <x:c r="O67" s="6" t="inlineStr">
        <x:is>
          <x:t xml:space="preserve"/>
        </x:is>
      </x:c>
      <x:c r="P67" s="30" t="str">
        <x:v>EVP-066</x:v>
      </x:c>
      <x:c r="Q67" s="30" t="str">
        <x:v>EVT-12</x:v>
      </x:c>
      <x:c r="R67" s="30" t="str">
        <x:v>W2</x:v>
      </x:c>
      <x:c r="S67" s="30" t="str">
        <x:v>Analytics Engineer</x:v>
      </x:c>
      <x:c r="T67" s="30" t="str">
        <x:v>Proposed</x:v>
      </x:c>
    </x:row>
    <x:row r="68">
      <x:c r="A68" s="17" t="inlineStr">
        <x:is>
          <x:t xml:space="preserve">EVT-12</x:t>
        </x:is>
      </x:c>
      <x:c r="B68" s="4" t="inlineStr">
        <x:is>
          <x:t xml:space="preserve">payment_type</x:t>
        </x:is>
      </x:c>
      <x:c r="C68" s="4" t="inlineStr">
        <x:is>
          <x:t xml:space="preserve">روش پرداخت</x:t>
        </x:is>
      </x:c>
      <x:c r="D68" s="4" t="inlineStr">
        <x:is>
          <x:t xml:space="preserve">شیوه تسویه</x:t>
        </x:is>
      </x:c>
      <x:c r="E68" s="4" t="inlineStr">
        <x:is>
          <x:t xml:space="preserve">Enum</x:t>
        </x:is>
      </x:c>
      <x:c r="F68" s="17" t="inlineStr">
        <x:is>
          <x:t xml:space="preserve">Required</x:t>
        </x:is>
      </x:c>
      <x:c r="G68" s="4" t="inlineStr">
        <x:is>
          <x:t xml:space="preserve">درگاه پرداخت اینترنتی سامان</x:t>
        </x:is>
      </x:c>
      <x:c r="H68" s="4" t="inlineStr">
        <x:is>
          <x:t xml:space="preserve">online_gateway/check/vip/direct</x:t>
        </x:is>
      </x:c>
      <x:c r="I68" s="4" t="inlineStr">
        <x:is>
          <x:t xml:space="preserve">فرم پرداخت</x:t>
        </x:is>
      </x:c>
      <x:c r="J68" s="4" t="inlineStr">
        <x:is>
          <x:t xml:space="preserve">استانداردسازی</x:t>
        </x:is>
      </x:c>
      <x:c r="K68" s="4" t="inlineStr">
        <x:is>
          <x:t xml:space="preserve">عضویت در لیست</x:t>
        </x:is>
      </x:c>
      <x:c r="L68" s="17" t="inlineStr">
        <x:is>
          <x:t xml:space="preserve">None</x:t>
        </x:is>
      </x:c>
      <x:c r="M68" s="17" t="inlineStr">
        <x:is>
          <x:t xml:space="preserve">No</x:t>
        </x:is>
      </x:c>
      <x:c r="N68" s="4" t="inlineStr">
        <x:is>
          <x:t xml:space="preserve">GA4, DWH</x:t>
        </x:is>
      </x:c>
      <x:c r="O68" s="4" t="inlineStr">
        <x:is>
          <x:t xml:space="preserve"/>
        </x:is>
      </x:c>
      <x:c r="P68" s="30" t="str">
        <x:v>EVP-067</x:v>
      </x:c>
      <x:c r="Q68" s="30" t="str">
        <x:v>EVT-12</x:v>
      </x:c>
      <x:c r="R68" s="30" t="str">
        <x:v>W2</x:v>
      </x:c>
      <x:c r="S68" s="30" t="str">
        <x:v>Analytics Engineer</x:v>
      </x:c>
      <x:c r="T68" s="30" t="str">
        <x:v>Proposed</x:v>
      </x:c>
    </x:row>
    <x:row r="69">
      <x:c r="A69" s="19" t="inlineStr">
        <x:is>
          <x:t xml:space="preserve">EVT-12</x:t>
        </x:is>
      </x:c>
      <x:c r="B69" s="6" t="inlineStr">
        <x:is>
          <x:t xml:space="preserve">items</x:t>
        </x:is>
      </x:c>
      <x:c r="C69" s="6" t="inlineStr">
        <x:is>
          <x:t xml:space="preserve">آرایه اقلام</x:t>
        </x:is>
      </x:c>
      <x:c r="D69" s="6" t="inlineStr">
        <x:is>
          <x:t xml:space="preserve">اقلام سبد</x:t>
        </x:is>
      </x:c>
      <x:c r="E69" s="6" t="inlineStr">
        <x:is>
          <x:t xml:space="preserve">Array[Object]</x:t>
        </x:is>
      </x:c>
      <x:c r="F69" s="19" t="inlineStr">
        <x:is>
          <x:t xml:space="preserve">Required</x:t>
        </x:is>
      </x:c>
      <x:c r="G69" s="6" t="inlineStr">
        <x:is>
          <x:t xml:space="preserve">[{item_id,quantity}]</x:t>
        </x:is>
      </x:c>
      <x:c r="H69" s="6" t="inlineStr">
        <x:is>
          <x:t xml:space="preserve">—</x:t>
        </x:is>
      </x:c>
      <x:c r="I69" s="6" t="inlineStr">
        <x:is>
          <x:t xml:space="preserve">cart API</x:t>
        </x:is>
      </x:c>
      <x:c r="J69" s="6" t="inlineStr">
        <x:is>
          <x:t xml:space="preserve">هیچ</x:t>
        </x:is>
      </x:c>
      <x:c r="K69" s="6" t="inlineStr">
        <x:is>
          <x:t xml:space="preserve">تطبیق</x:t>
        </x:is>
      </x:c>
      <x:c r="L69" s="19" t="inlineStr">
        <x:is>
          <x:t xml:space="preserve">None</x:t>
        </x:is>
      </x:c>
      <x:c r="M69" s="19" t="inlineStr">
        <x:is>
          <x:t xml:space="preserve">No</x:t>
        </x:is>
      </x:c>
      <x:c r="N69" s="6" t="inlineStr">
        <x:is>
          <x:t xml:space="preserve">GA4, CAPI</x:t>
        </x:is>
      </x:c>
      <x:c r="O69" s="6" t="inlineStr">
        <x:is>
          <x:t xml:space="preserve"/>
        </x:is>
      </x:c>
      <x:c r="P69" s="30" t="str">
        <x:v>EVP-068</x:v>
      </x:c>
      <x:c r="Q69" s="30" t="str">
        <x:v>EVT-12</x:v>
      </x:c>
      <x:c r="R69" s="30" t="str">
        <x:v>W2</x:v>
      </x:c>
      <x:c r="S69" s="30" t="str">
        <x:v>Analytics Engineer</x:v>
      </x:c>
      <x:c r="T69" s="30" t="str">
        <x:v>Proposed</x:v>
      </x:c>
    </x:row>
    <x:row r="70">
      <x:c r="A70" s="17" t="inlineStr">
        <x:is>
          <x:t xml:space="preserve">EVT-12</x:t>
        </x:is>
      </x:c>
      <x:c r="B70" s="4" t="inlineStr">
        <x:is>
          <x:t xml:space="preserve">installment_months</x:t>
        </x:is>
      </x:c>
      <x:c r="C70" s="4" t="inlineStr">
        <x:is>
          <x:t xml:space="preserve">تعداد اقساط</x:t>
        </x:is>
      </x:c>
      <x:c r="D70" s="4" t="inlineStr">
        <x:is>
          <x:t xml:space="preserve">اقساط در صورت انتخاب</x:t>
        </x:is>
      </x:c>
      <x:c r="E70" s="4" t="inlineStr">
        <x:is>
          <x:t xml:space="preserve">Integer</x:t>
        </x:is>
      </x:c>
      <x:c r="F70" s="17" t="inlineStr">
        <x:is>
          <x:t xml:space="preserve">Optional</x:t>
        </x:is>
      </x:c>
      <x:c r="G70" s="4" t="inlineStr">
        <x:is>
          <x:t xml:space="preserve">6</x:t>
        </x:is>
      </x:c>
      <x:c r="H70" s="4" t="inlineStr">
        <x:is>
          <x:t xml:space="preserve">1..12</x:t>
        </x:is>
      </x:c>
      <x:c r="I70" s="4" t="inlineStr">
        <x:is>
          <x:t xml:space="preserve">فرم پرداخت</x:t>
        </x:is>
      </x:c>
      <x:c r="J70" s="4" t="inlineStr">
        <x:is>
          <x:t xml:space="preserve">هیچ</x:t>
        </x:is>
      </x:c>
      <x:c r="K70" s="4" t="inlineStr">
        <x:is>
          <x:t xml:space="preserve">1..12</x:t>
        </x:is>
      </x:c>
      <x:c r="L70" s="17" t="inlineStr">
        <x:is>
          <x:t xml:space="preserve">None</x:t>
        </x:is>
      </x:c>
      <x:c r="M70" s="17" t="inlineStr">
        <x:is>
          <x:t xml:space="preserve">No</x:t>
        </x:is>
      </x:c>
      <x:c r="N70" s="4" t="inlineStr">
        <x:is>
          <x:t xml:space="preserve">DWH</x:t>
        </x:is>
      </x:c>
      <x:c r="O70" s="4" t="inlineStr">
        <x:is>
          <x:t xml:space="preserve"/>
        </x:is>
      </x:c>
      <x:c r="P70" s="30" t="str">
        <x:v>EVP-069</x:v>
      </x:c>
      <x:c r="Q70" s="30" t="str">
        <x:v>EVT-12</x:v>
      </x:c>
      <x:c r="R70" s="30" t="str">
        <x:v>W2</x:v>
      </x:c>
      <x:c r="S70" s="30" t="str">
        <x:v>Analytics Engineer</x:v>
      </x:c>
      <x:c r="T70" s="30" t="str">
        <x:v>Proposed</x:v>
      </x:c>
    </x:row>
    <x:row r="71">
      <x:c r="A71" s="19" t="inlineStr">
        <x:is>
          <x:t xml:space="preserve">EVT-12</x:t>
        </x:is>
      </x:c>
      <x:c r="B71" s="6" t="inlineStr">
        <x:is>
          <x:t xml:space="preserve">initial_downpayment_pct</x:t>
        </x:is>
      </x:c>
      <x:c r="C71" s="6" t="inlineStr">
        <x:is>
          <x:t xml:space="preserve">درصد بیعانه</x:t>
        </x:is>
      </x:c>
      <x:c r="D71" s="6" t="inlineStr">
        <x:is>
          <x:t xml:space="preserve">سهم نقدی اول</x:t>
        </x:is>
      </x:c>
      <x:c r="E71" s="6" t="inlineStr">
        <x:is>
          <x:t xml:space="preserve">Integer</x:t>
        </x:is>
      </x:c>
      <x:c r="F71" s="19" t="inlineStr">
        <x:is>
          <x:t xml:space="preserve">Optional</x:t>
        </x:is>
      </x:c>
      <x:c r="G71" s="6" t="inlineStr">
        <x:is>
          <x:t xml:space="preserve">30</x:t>
        </x:is>
      </x:c>
      <x:c r="H71" s="6" t="inlineStr">
        <x:is>
          <x:t xml:space="preserve">0..100</x:t>
        </x:is>
      </x:c>
      <x:c r="I71" s="6" t="inlineStr">
        <x:is>
          <x:t xml:space="preserve">فرم پرداخت</x:t>
        </x:is>
      </x:c>
      <x:c r="J71" s="6" t="inlineStr">
        <x:is>
          <x:t xml:space="preserve">هیچ</x:t>
        </x:is>
      </x:c>
      <x:c r="K71" s="6" t="inlineStr">
        <x:is>
          <x:t xml:space="preserve">0..100</x:t>
        </x:is>
      </x:c>
      <x:c r="L71" s="19" t="inlineStr">
        <x:is>
          <x:t xml:space="preserve">None</x:t>
        </x:is>
      </x:c>
      <x:c r="M71" s="19" t="inlineStr">
        <x:is>
          <x:t xml:space="preserve">No</x:t>
        </x:is>
      </x:c>
      <x:c r="N71" s="6" t="inlineStr">
        <x:is>
          <x:t xml:space="preserve">DWH</x:t>
        </x:is>
      </x:c>
      <x:c r="O71" s="6" t="inlineStr">
        <x:is>
          <x:t xml:space="preserve"/>
        </x:is>
      </x:c>
      <x:c r="P71" s="30" t="str">
        <x:v>EVP-070</x:v>
      </x:c>
      <x:c r="Q71" s="30" t="str">
        <x:v>EVT-12</x:v>
      </x:c>
      <x:c r="R71" s="30" t="str">
        <x:v>W2</x:v>
      </x:c>
      <x:c r="S71" s="30" t="str">
        <x:v>Analytics Engineer</x:v>
      </x:c>
      <x:c r="T71" s="30" t="str">
        <x:v>Proposed</x:v>
      </x:c>
    </x:row>
    <x:row r="72">
      <x:c r="A72" s="17" t="inlineStr">
        <x:is>
          <x:t xml:space="preserve">EVT-13</x:t>
        </x:is>
      </x:c>
      <x:c r="B72" s="4" t="inlineStr">
        <x:is>
          <x:t xml:space="preserve">transaction_id</x:t>
        </x:is>
      </x:c>
      <x:c r="C72" s="4" t="inlineStr">
        <x:is>
          <x:t xml:space="preserve">شناسه تراکنش</x:t>
        </x:is>
      </x:c>
      <x:c r="D72" s="4" t="inlineStr">
        <x:is>
          <x:t xml:space="preserve">شماره فاکتور یکتا</x:t>
        </x:is>
      </x:c>
      <x:c r="E72" s="4" t="inlineStr">
        <x:is>
          <x:t xml:space="preserve">String</x:t>
        </x:is>
      </x:c>
      <x:c r="F72" s="17" t="inlineStr">
        <x:is>
          <x:t xml:space="preserve">Required</x:t>
        </x:is>
      </x:c>
      <x:c r="G72" s="4" t="inlineStr">
        <x:is>
          <x:t xml:space="preserve">ORD-1405-92041</x:t>
        </x:is>
      </x:c>
      <x:c r="H72" s="4" t="inlineStr">
        <x:is>
          <x:t xml:space="preserve">—</x:t>
        </x:is>
      </x:c>
      <x:c r="I72" s="4" t="inlineStr">
        <x:is>
          <x:t xml:space="preserve">دیتابیس مالی</x:t>
        </x:is>
      </x:c>
      <x:c r="J72" s="4" t="inlineStr">
        <x:is>
          <x:t xml:space="preserve">هیچ</x:t>
        </x:is>
      </x:c>
      <x:c r="K72" s="4" t="inlineStr">
        <x:is>
          <x:t xml:space="preserve">فرمت ORD-*؛ یکتایی مطلق</x:t>
        </x:is>
      </x:c>
      <x:c r="L72" s="17" t="inlineStr">
        <x:is>
          <x:t xml:space="preserve">None</x:t>
        </x:is>
      </x:c>
      <x:c r="M72" s="17" t="inlineStr">
        <x:is>
          <x:t xml:space="preserve">Yes</x:t>
        </x:is>
      </x:c>
      <x:c r="N72" s="4" t="inlineStr">
        <x:is>
          <x:t xml:space="preserve">GA4 MP, CAPI, Google EC, DWH</x:t>
        </x:is>
      </x:c>
      <x:c r="O72" s="4" t="inlineStr">
        <x:is>
          <x:t xml:space="preserve">Joining Key مالی — Dedup Key</x:t>
        </x:is>
      </x:c>
      <x:c r="P72" s="30" t="str">
        <x:v>EVP-071</x:v>
      </x:c>
      <x:c r="Q72" s="30" t="str">
        <x:v>EVT-13</x:v>
      </x:c>
      <x:c r="R72" s="30" t="str">
        <x:v>W2</x:v>
      </x:c>
      <x:c r="S72" s="30" t="str">
        <x:v>Analytics Engineer</x:v>
      </x:c>
      <x:c r="T72" s="30" t="str">
        <x:v>Proposed</x:v>
      </x:c>
    </x:row>
    <x:row r="73">
      <x:c r="A73" s="19" t="inlineStr">
        <x:is>
          <x:t xml:space="preserve">EVT-13</x:t>
        </x:is>
      </x:c>
      <x:c r="B73" s="6" t="inlineStr">
        <x:is>
          <x:t xml:space="preserve">currency</x:t>
        </x:is>
      </x:c>
      <x:c r="C73" s="6" t="inlineStr">
        <x:is>
          <x:t xml:space="preserve">ارز</x:t>
        </x:is>
      </x:c>
      <x:c r="D73" s="6" t="inlineStr">
        <x:is>
          <x:t xml:space="preserve">ارز مبادلاتی</x:t>
        </x:is>
      </x:c>
      <x:c r="E73" s="6" t="inlineStr">
        <x:is>
          <x:t xml:space="preserve">String</x:t>
        </x:is>
      </x:c>
      <x:c r="F73" s="19" t="inlineStr">
        <x:is>
          <x:t xml:space="preserve">Required</x:t>
        </x:is>
      </x:c>
      <x:c r="G73" s="6" t="inlineStr">
        <x:is>
          <x:t xml:space="preserve">IRR</x:t>
        </x:is>
      </x:c>
      <x:c r="H73" s="6" t="inlineStr">
        <x:is>
          <x:t xml:space="preserve">IRR</x:t>
        </x:is>
      </x:c>
      <x:c r="I73" s="6" t="inlineStr">
        <x:is>
          <x:t xml:space="preserve">دیتابیس مالی</x:t>
        </x:is>
      </x:c>
      <x:c r="J73" s="6" t="inlineStr">
        <x:is>
          <x:t xml:space="preserve">ثابت</x:t>
        </x:is>
      </x:c>
      <x:c r="K73" s="6" t="inlineStr">
        <x:is>
          <x:t xml:space="preserve">ISO-4217</x:t>
        </x:is>
      </x:c>
      <x:c r="L73" s="19" t="inlineStr">
        <x:is>
          <x:t xml:space="preserve">None</x:t>
        </x:is>
      </x:c>
      <x:c r="M73" s="19" t="inlineStr">
        <x:is>
          <x:t xml:space="preserve">No</x:t>
        </x:is>
      </x:c>
      <x:c r="N73" s="6" t="inlineStr">
        <x:is>
          <x:t xml:space="preserve">GA4 MP, CAPI, DWH</x:t>
        </x:is>
      </x:c>
      <x:c r="O73" s="6" t="inlineStr">
        <x:is>
          <x:t xml:space="preserve"/>
        </x:is>
      </x:c>
      <x:c r="P73" s="30" t="str">
        <x:v>EVP-072</x:v>
      </x:c>
      <x:c r="Q73" s="30" t="str">
        <x:v>EVT-13</x:v>
      </x:c>
      <x:c r="R73" s="30" t="str">
        <x:v>W2</x:v>
      </x:c>
      <x:c r="S73" s="30" t="str">
        <x:v>Analytics Engineer</x:v>
      </x:c>
      <x:c r="T73" s="30" t="str">
        <x:v>Proposed</x:v>
      </x:c>
    </x:row>
    <x:row r="74">
      <x:c r="A74" s="17" t="inlineStr">
        <x:is>
          <x:t xml:space="preserve">EVT-13</x:t>
        </x:is>
      </x:c>
      <x:c r="B74" s="4" t="inlineStr">
        <x:is>
          <x:t xml:space="preserve">value</x:t>
        </x:is>
      </x:c>
      <x:c r="C74" s="4" t="inlineStr">
        <x:is>
          <x:t xml:space="preserve">ارزش فاکتور</x:t>
        </x:is>
      </x:c>
      <x:c r="D74" s="4" t="inlineStr">
        <x:is>
          <x:t xml:space="preserve">مبلغ نهایی تسویه‌شده</x:t>
        </x:is>
      </x:c>
      <x:c r="E74" s="4" t="inlineStr">
        <x:is>
          <x:t xml:space="preserve">Decimal (IRR)</x:t>
        </x:is>
      </x:c>
      <x:c r="F74" s="17" t="inlineStr">
        <x:is>
          <x:t xml:space="preserve">Required</x:t>
        </x:is>
      </x:c>
      <x:c r="G74" s="4" t="inlineStr">
        <x:is>
          <x:t xml:space="preserve">45000000</x:t>
        </x:is>
      </x:c>
      <x:c r="H74" s="4" t="inlineStr">
        <x:is>
          <x:t xml:space="preserve">&gt; 0</x:t>
        </x:is>
      </x:c>
      <x:c r="I74" s="4" t="inlineStr">
        <x:is>
          <x:t xml:space="preserve">تاییدیه درگاه/خزانه‌داری</x:t>
        </x:is>
      </x:c>
      <x:c r="J74" s="4" t="inlineStr">
        <x:is>
          <x:t xml:space="preserve">تطبیق با رسید شاپرک</x:t>
        </x:is>
      </x:c>
      <x:c r="K74" s="4" t="inlineStr">
        <x:is>
          <x:t xml:space="preserve">تطبیق ریالی ۱۰۰٪</x:t>
        </x:is>
      </x:c>
      <x:c r="L74" s="17" t="inlineStr">
        <x:is>
          <x:t xml:space="preserve">None</x:t>
        </x:is>
      </x:c>
      <x:c r="M74" s="17" t="inlineStr">
        <x:is>
          <x:t xml:space="preserve">No</x:t>
        </x:is>
      </x:c>
      <x:c r="N74" s="4" t="inlineStr">
        <x:is>
          <x:t xml:space="preserve">GA4 MP, CAPI, DWH</x:t>
        </x:is>
      </x:c>
      <x:c r="O74" s="4" t="inlineStr">
        <x:is>
          <x:t xml:space="preserve">مبنای Revenue</x:t>
        </x:is>
      </x:c>
      <x:c r="P74" s="30" t="str">
        <x:v>EVP-073</x:v>
      </x:c>
      <x:c r="Q74" s="30" t="str">
        <x:v>EVT-13</x:v>
      </x:c>
      <x:c r="R74" s="30" t="str">
        <x:v>W2</x:v>
      </x:c>
      <x:c r="S74" s="30" t="str">
        <x:v>Analytics Engineer</x:v>
      </x:c>
      <x:c r="T74" s="30" t="str">
        <x:v>Proposed</x:v>
      </x:c>
    </x:row>
    <x:row r="75">
      <x:c r="A75" s="19" t="inlineStr">
        <x:is>
          <x:t xml:space="preserve">EVT-13</x:t>
        </x:is>
      </x:c>
      <x:c r="B75" s="6" t="inlineStr">
        <x:is>
          <x:t xml:space="preserve">items</x:t>
        </x:is>
      </x:c>
      <x:c r="C75" s="6" t="inlineStr">
        <x:is>
          <x:t xml:space="preserve">آرایه اقلام فاکتور</x:t>
        </x:is>
      </x:c>
      <x:c r="D75" s="6" t="inlineStr">
        <x:is>
          <x:t xml:space="preserve">جزئیات کامل شامل cogs</x:t>
        </x:is>
      </x:c>
      <x:c r="E75" s="6" t="inlineStr">
        <x:is>
          <x:t xml:space="preserve">Array[Object]</x:t>
        </x:is>
      </x:c>
      <x:c r="F75" s="19" t="inlineStr">
        <x:is>
          <x:t xml:space="preserve">Required</x:t>
        </x:is>
      </x:c>
      <x:c r="G75" s="6" t="inlineStr">
        <x:is>
          <x:t xml:space="preserve">[{item_id,item_name,price,quantity,cogs}]</x:t>
        </x:is>
      </x:c>
      <x:c r="H75" s="6" t="inlineStr">
        <x:is>
          <x:t xml:space="preserve">—</x:t>
        </x:is>
      </x:c>
      <x:c r="I75" s="6" t="inlineStr">
        <x:is>
          <x:t xml:space="preserve">فاکتور فروش + کاتالوگ</x:t>
        </x:is>
      </x:c>
      <x:c r="J75" s="6" t="inlineStr">
        <x:is>
          <x:t xml:space="preserve">هیچ</x:t>
        </x:is>
      </x:c>
      <x:c r="K75" s="6" t="inlineStr">
        <x:is>
          <x:t xml:space="preserve">price×quantity = value سطری</x:t>
        </x:is>
      </x:c>
      <x:c r="L75" s="19" t="inlineStr">
        <x:is>
          <x:t xml:space="preserve">None</x:t>
        </x:is>
      </x:c>
      <x:c r="M75" s="19" t="inlineStr">
        <x:is>
          <x:t xml:space="preserve">No</x:t>
        </x:is>
      </x:c>
      <x:c r="N75" s="6" t="inlineStr">
        <x:is>
          <x:t xml:space="preserve">GA4 MP, CAPI, DWH</x:t>
        </x:is>
      </x:c>
      <x:c r="O75" s="6" t="inlineStr">
        <x:is>
          <x:t xml:space="preserve">cogs برای POAS</x:t>
        </x:is>
      </x:c>
      <x:c r="P75" s="30" t="str">
        <x:v>EVP-074</x:v>
      </x:c>
      <x:c r="Q75" s="30" t="str">
        <x:v>EVT-13</x:v>
      </x:c>
      <x:c r="R75" s="30" t="str">
        <x:v>W2</x:v>
      </x:c>
      <x:c r="S75" s="30" t="str">
        <x:v>Analytics Engineer</x:v>
      </x:c>
      <x:c r="T75" s="30" t="str">
        <x:v>Proposed</x:v>
      </x:c>
    </x:row>
    <x:row r="76">
      <x:c r="A76" s="17" t="inlineStr">
        <x:is>
          <x:t xml:space="preserve">EVT-13</x:t>
        </x:is>
      </x:c>
      <x:c r="B76" s="4" t="inlineStr">
        <x:is>
          <x:t xml:space="preserve">tax</x:t>
        </x:is>
      </x:c>
      <x:c r="C76" s="4" t="inlineStr">
        <x:is>
          <x:t xml:space="preserve">مالیات</x:t>
        </x:is>
      </x:c>
      <x:c r="D76" s="4" t="inlineStr">
        <x:is>
          <x:t xml:space="preserve">VAT فاکتور</x:t>
        </x:is>
      </x:c>
      <x:c r="E76" s="4" t="inlineStr">
        <x:is>
          <x:t xml:space="preserve">Decimal (IRR)</x:t>
        </x:is>
      </x:c>
      <x:c r="F76" s="17" t="inlineStr">
        <x:is>
          <x:t xml:space="preserve">Optional</x:t>
        </x:is>
      </x:c>
      <x:c r="G76" s="4" t="inlineStr">
        <x:is>
          <x:t xml:space="preserve">4050000</x:t>
        </x:is>
      </x:c>
      <x:c r="H76" s="4" t="inlineStr">
        <x:is>
          <x:t xml:space="preserve">&gt;= 0</x:t>
        </x:is>
      </x:c>
      <x:c r="I76" s="4" t="inlineStr">
        <x:is>
          <x:t xml:space="preserve">فاکتور</x:t>
        </x:is>
      </x:c>
      <x:c r="J76" s="4" t="inlineStr">
        <x:is>
          <x:t xml:space="preserve">هیچ</x:t>
        </x:is>
      </x:c>
      <x:c r="K76" s="4" t="inlineStr">
        <x:is>
          <x:t xml:space="preserve">&gt;= 0</x:t>
        </x:is>
      </x:c>
      <x:c r="L76" s="17" t="inlineStr">
        <x:is>
          <x:t xml:space="preserve">None</x:t>
        </x:is>
      </x:c>
      <x:c r="M76" s="17" t="inlineStr">
        <x:is>
          <x:t xml:space="preserve">No</x:t>
        </x:is>
      </x:c>
      <x:c r="N76" s="4" t="inlineStr">
        <x:is>
          <x:t xml:space="preserve">GA4 MP, DWH</x:t>
        </x:is>
      </x:c>
      <x:c r="O76" s="4" t="inlineStr">
        <x:is>
          <x:t xml:space="preserve"/>
        </x:is>
      </x:c>
      <x:c r="P76" s="30" t="str">
        <x:v>EVP-075</x:v>
      </x:c>
      <x:c r="Q76" s="30" t="str">
        <x:v>EVT-13</x:v>
      </x:c>
      <x:c r="R76" s="30" t="str">
        <x:v>W2</x:v>
      </x:c>
      <x:c r="S76" s="30" t="str">
        <x:v>Analytics Engineer</x:v>
      </x:c>
      <x:c r="T76" s="30" t="str">
        <x:v>Proposed</x:v>
      </x:c>
    </x:row>
    <x:row r="77">
      <x:c r="A77" s="19" t="inlineStr">
        <x:is>
          <x:t xml:space="preserve">EVT-13</x:t>
        </x:is>
      </x:c>
      <x:c r="B77" s="6" t="inlineStr">
        <x:is>
          <x:t xml:space="preserve">shipping</x:t>
        </x:is>
      </x:c>
      <x:c r="C77" s="6" t="inlineStr">
        <x:is>
          <x:t xml:space="preserve">کرایه</x:t>
        </x:is>
      </x:c>
      <x:c r="D77" s="6" t="inlineStr">
        <x:is>
          <x:t xml:space="preserve">هزینه ارسال فاکتور</x:t>
        </x:is>
      </x:c>
      <x:c r="E77" s="6" t="inlineStr">
        <x:is>
          <x:t xml:space="preserve">Decimal (IRR)</x:t>
        </x:is>
      </x:c>
      <x:c r="F77" s="19" t="inlineStr">
        <x:is>
          <x:t xml:space="preserve">Optional</x:t>
        </x:is>
      </x:c>
      <x:c r="G77" s="6" t="inlineStr">
        <x:is>
          <x:t xml:space="preserve">250000</x:t>
        </x:is>
      </x:c>
      <x:c r="H77" s="6" t="inlineStr">
        <x:is>
          <x:t xml:space="preserve">&gt;= 0</x:t>
        </x:is>
      </x:c>
      <x:c r="I77" s="6" t="inlineStr">
        <x:is>
          <x:t xml:space="preserve">بارنامه</x:t>
        </x:is>
      </x:c>
      <x:c r="J77" s="6" t="inlineStr">
        <x:is>
          <x:t xml:space="preserve">هیچ</x:t>
        </x:is>
      </x:c>
      <x:c r="K77" s="6" t="inlineStr">
        <x:is>
          <x:t xml:space="preserve">&gt;= 0</x:t>
        </x:is>
      </x:c>
      <x:c r="L77" s="19" t="inlineStr">
        <x:is>
          <x:t xml:space="preserve">None</x:t>
        </x:is>
      </x:c>
      <x:c r="M77" s="19" t="inlineStr">
        <x:is>
          <x:t xml:space="preserve">No</x:t>
        </x:is>
      </x:c>
      <x:c r="N77" s="6" t="inlineStr">
        <x:is>
          <x:t xml:space="preserve">GA4 MP, DWH</x:t>
        </x:is>
      </x:c>
      <x:c r="O77" s="6" t="inlineStr">
        <x:is>
          <x:t xml:space="preserve"/>
        </x:is>
      </x:c>
      <x:c r="P77" s="30" t="str">
        <x:v>EVP-076</x:v>
      </x:c>
      <x:c r="Q77" s="30" t="str">
        <x:v>EVT-13</x:v>
      </x:c>
      <x:c r="R77" s="30" t="str">
        <x:v>W2</x:v>
      </x:c>
      <x:c r="S77" s="30" t="str">
        <x:v>Analytics Engineer</x:v>
      </x:c>
      <x:c r="T77" s="30" t="str">
        <x:v>Proposed</x:v>
      </x:c>
    </x:row>
    <x:row r="78">
      <x:c r="A78" s="17" t="inlineStr">
        <x:is>
          <x:t xml:space="preserve">EVT-13</x:t>
        </x:is>
      </x:c>
      <x:c r="B78" s="4" t="inlineStr">
        <x:is>
          <x:t xml:space="preserve">coupon</x:t>
        </x:is>
      </x:c>
      <x:c r="C78" s="4" t="inlineStr">
        <x:is>
          <x:t xml:space="preserve">کد تخفیف</x:t>
        </x:is>
      </x:c>
      <x:c r="D78" s="4" t="inlineStr">
        <x:is>
          <x:t xml:space="preserve">کوپن استفاده‌شده</x:t>
        </x:is>
      </x:c>
      <x:c r="E78" s="4" t="inlineStr">
        <x:is>
          <x:t xml:space="preserve">String</x:t>
        </x:is>
      </x:c>
      <x:c r="F78" s="17" t="inlineStr">
        <x:is>
          <x:t xml:space="preserve">Optional</x:t>
        </x:is>
      </x:c>
      <x:c r="G78" s="4" t="inlineStr">
        <x:is>
          <x:t xml:space="preserve">VIP_DENT_10</x:t>
        </x:is>
      </x:c>
      <x:c r="H78" s="4" t="inlineStr">
        <x:is>
          <x:t xml:space="preserve">—</x:t>
        </x:is>
      </x:c>
      <x:c r="I78" s="4" t="inlineStr">
        <x:is>
          <x:t xml:space="preserve">فرم کوپن</x:t>
        </x:is>
      </x:c>
      <x:c r="J78" s="4" t="inlineStr">
        <x:is>
          <x:t xml:space="preserve">UPPER</x:t>
        </x:is>
      </x:c>
      <x:c r="K78" s="4" t="inlineStr">
        <x:is>
          <x:t xml:space="preserve">مطابقت جدول کوپن</x:t>
        </x:is>
      </x:c>
      <x:c r="L78" s="17" t="inlineStr">
        <x:is>
          <x:t xml:space="preserve">None</x:t>
        </x:is>
      </x:c>
      <x:c r="M78" s="17" t="inlineStr">
        <x:is>
          <x:t xml:space="preserve">No</x:t>
        </x:is>
      </x:c>
      <x:c r="N78" s="4" t="inlineStr">
        <x:is>
          <x:t xml:space="preserve">GA4 MP, DWH</x:t>
        </x:is>
      </x:c>
      <x:c r="O78" s="4" t="inlineStr">
        <x:is>
          <x:t xml:space="preserve"/>
        </x:is>
      </x:c>
      <x:c r="P78" s="30" t="str">
        <x:v>EVP-077</x:v>
      </x:c>
      <x:c r="Q78" s="30" t="str">
        <x:v>EVT-13</x:v>
      </x:c>
      <x:c r="R78" s="30" t="str">
        <x:v>W2</x:v>
      </x:c>
      <x:c r="S78" s="30" t="str">
        <x:v>Analytics Engineer</x:v>
      </x:c>
      <x:c r="T78" s="30" t="str">
        <x:v>Proposed</x:v>
      </x:c>
    </x:row>
    <x:row r="79">
      <x:c r="A79" s="19" t="inlineStr">
        <x:is>
          <x:t xml:space="preserve">EVT-13</x:t>
        </x:is>
      </x:c>
      <x:c r="B79" s="6" t="inlineStr">
        <x:is>
          <x:t xml:space="preserve">user_data</x:t>
        </x:is>
      </x:c>
      <x:c r="C79" s="6" t="inlineStr">
        <x:is>
          <x:t xml:space="preserve">داده‌های کاربری</x:t>
        </x:is>
      </x:c>
      <x:c r="D79" s="6" t="inlineStr">
        <x:is>
          <x:t xml:space="preserve">ph + external_id هش‌شده</x:t>
        </x:is>
      </x:c>
      <x:c r="E79" s="6" t="inlineStr">
        <x:is>
          <x:t xml:space="preserve">Object</x:t>
        </x:is>
      </x:c>
      <x:c r="F79" s="19" t="inlineStr">
        <x:is>
          <x:t xml:space="preserve">Optional</x:t>
        </x:is>
      </x:c>
      <x:c r="G79" s="6" t="inlineStr">
        <x:is>
          <x:t xml:space="preserve">{ph:'a823f9...',external_id:'CUST-107-8841'}</x:t>
        </x:is>
      </x:c>
      <x:c r="H79" s="6" t="inlineStr">
        <x:is>
          <x:t xml:space="preserve">—</x:t>
        </x:is>
      </x:c>
      <x:c r="I79" s="6" t="inlineStr">
        <x:is>
          <x:t xml:space="preserve">Identity Engine</x:t>
        </x:is>
      </x:c>
      <x:c r="J79" s="6" t="inlineStr">
        <x:is>
          <x:t xml:space="preserve">SHA-256 (E.164)؛ ممنوعیت plain text</x:t>
        </x:is>
      </x:c>
      <x:c r="K79" s="6" t="inlineStr">
        <x:is>
          <x:t xml:space="preserve">مطابقت regex hex64</x:t>
        </x:is>
      </x:c>
      <x:c r="L79" s="19" t="inlineStr">
        <x:is>
          <x:t xml:space="preserve">PII-3 (Hashed Only)</x:t>
        </x:is>
      </x:c>
      <x:c r="M79" s="19" t="inlineStr">
        <x:is>
          <x:t xml:space="preserve">Yes</x:t>
        </x:is>
      </x:c>
      <x:c r="N79" s="6" t="inlineStr">
        <x:is>
          <x:t xml:space="preserve">CAPI, Google EC</x:t>
        </x:is>
      </x:c>
      <x:c r="O79" s="6" t="inlineStr">
        <x:is>
          <x:t xml:space="preserve">Send only hashed; Match Quality</x:t>
        </x:is>
      </x:c>
      <x:c r="P79" s="30" t="str">
        <x:v>EVP-078</x:v>
      </x:c>
      <x:c r="Q79" s="30" t="str">
        <x:v>EVT-13</x:v>
      </x:c>
      <x:c r="R79" s="30" t="str">
        <x:v>W2</x:v>
      </x:c>
      <x:c r="S79" s="30" t="str">
        <x:v>Analytics Engineer</x:v>
      </x:c>
      <x:c r="T79" s="30" t="str">
        <x:v>Proposed</x:v>
      </x:c>
    </x:row>
    <x:row r="80">
      <x:c r="A80" s="17" t="inlineStr">
        <x:is>
          <x:t xml:space="preserve">EVT-14</x:t>
        </x:is>
      </x:c>
      <x:c r="B80" s="4" t="inlineStr">
        <x:is>
          <x:t xml:space="preserve">transaction_id</x:t>
        </x:is>
      </x:c>
      <x:c r="C80" s="4" t="inlineStr">
        <x:is>
          <x:t xml:space="preserve">فاکتور مبدأ</x:t>
        </x:is>
      </x:c>
      <x:c r="D80" s="4" t="inlineStr">
        <x:is>
          <x:t xml:space="preserve">شماره فاکتور اصلی</x:t>
        </x:is>
      </x:c>
      <x:c r="E80" s="4" t="inlineStr">
        <x:is>
          <x:t xml:space="preserve">String</x:t>
        </x:is>
      </x:c>
      <x:c r="F80" s="17" t="inlineStr">
        <x:is>
          <x:t xml:space="preserve">Required</x:t>
        </x:is>
      </x:c>
      <x:c r="G80" s="4" t="inlineStr">
        <x:is>
          <x:t xml:space="preserve">ORD-1405-92041</x:t>
        </x:is>
      </x:c>
      <x:c r="H80" s="4" t="inlineStr">
        <x:is>
          <x:t xml:space="preserve">—</x:t>
        </x:is>
      </x:c>
      <x:c r="I80" s="4" t="inlineStr">
        <x:is>
          <x:t xml:space="preserve">سند مرجوعی</x:t>
        </x:is>
      </x:c>
      <x:c r="J80" s="4" t="inlineStr">
        <x:is>
          <x:t xml:space="preserve">هیچ</x:t>
        </x:is>
      </x:c>
      <x:c r="K80" s="4" t="inlineStr">
        <x:is>
          <x:t xml:space="preserve">مطابحت با fct_order</x:t>
        </x:is>
      </x:c>
      <x:c r="L80" s="17" t="inlineStr">
        <x:is>
          <x:t xml:space="preserve">None</x:t>
        </x:is>
      </x:c>
      <x:c r="M80" s="17" t="inlineStr">
        <x:is>
          <x:t xml:space="preserve">Yes</x:t>
        </x:is>
      </x:c>
      <x:c r="N80" s="4" t="inlineStr">
        <x:is>
          <x:t xml:space="preserve">GA4 MP, CAPI, DWH</x:t>
        </x:is>
      </x:c>
      <x:c r="O80" s="4" t="inlineStr">
        <x:is>
          <x:t xml:space="preserve"/>
        </x:is>
      </x:c>
      <x:c r="P80" s="30" t="str">
        <x:v>EVP-079</x:v>
      </x:c>
      <x:c r="Q80" s="30" t="str">
        <x:v>EVT-14</x:v>
      </x:c>
      <x:c r="R80" s="30" t="str">
        <x:v>W2</x:v>
      </x:c>
      <x:c r="S80" s="30" t="str">
        <x:v>Analytics Engineer</x:v>
      </x:c>
      <x:c r="T80" s="30" t="str">
        <x:v>Proposed</x:v>
      </x:c>
    </x:row>
    <x:row r="81">
      <x:c r="A81" s="19" t="inlineStr">
        <x:is>
          <x:t xml:space="preserve">EVT-14</x:t>
        </x:is>
      </x:c>
      <x:c r="B81" s="6" t="inlineStr">
        <x:is>
          <x:t xml:space="preserve">refund_id</x:t>
        </x:is>
      </x:c>
      <x:c r="C81" s="6" t="inlineStr">
        <x:is>
          <x:t xml:space="preserve">شناسه سند عودت</x:t>
        </x:is>
      </x:c>
      <x:c r="D81" s="6" t="inlineStr">
        <x:is>
          <x:t xml:space="preserve">شماره سند مرجوعی</x:t>
        </x:is>
      </x:c>
      <x:c r="E81" s="6" t="inlineStr">
        <x:is>
          <x:t xml:space="preserve">String</x:t>
        </x:is>
      </x:c>
      <x:c r="F81" s="19" t="inlineStr">
        <x:is>
          <x:t xml:space="preserve">Required</x:t>
        </x:is>
      </x:c>
      <x:c r="G81" s="6" t="inlineStr">
        <x:is>
          <x:t xml:space="preserve">REF-1405-0192</x:t>
        </x:is>
      </x:c>
      <x:c r="H81" s="6" t="inlineStr">
        <x:is>
          <x:t xml:space="preserve">—</x:t>
        </x:is>
      </x:c>
      <x:c r="I81" s="6" t="inlineStr">
        <x:is>
          <x:t xml:space="preserve">سیستم خدمات پس از فروش</x:t>
        </x:is>
      </x:c>
      <x:c r="J81" s="6" t="inlineStr">
        <x:is>
          <x:t xml:space="preserve">هیچ</x:t>
        </x:is>
      </x:c>
      <x:c r="K81" s="6" t="inlineStr">
        <x:is>
          <x:t xml:space="preserve">فرمت REF-*؛ یکتا</x:t>
        </x:is>
      </x:c>
      <x:c r="L81" s="19" t="inlineStr">
        <x:is>
          <x:t xml:space="preserve">None</x:t>
        </x:is>
      </x:c>
      <x:c r="M81" s="19" t="inlineStr">
        <x:is>
          <x:t xml:space="preserve">Yes</x:t>
        </x:is>
      </x:c>
      <x:c r="N81" s="6" t="inlineStr">
        <x:is>
          <x:t xml:space="preserve">GA4 MP, CAPI, DWH</x:t>
        </x:is>
      </x:c>
      <x:c r="O81" s="6" t="inlineStr">
        <x:is>
          <x:t xml:space="preserve">Dedup Key</x:t>
        </x:is>
      </x:c>
      <x:c r="P81" s="30" t="str">
        <x:v>EVP-080</x:v>
      </x:c>
      <x:c r="Q81" s="30" t="str">
        <x:v>EVT-14</x:v>
      </x:c>
      <x:c r="R81" s="30" t="str">
        <x:v>W2</x:v>
      </x:c>
      <x:c r="S81" s="30" t="str">
        <x:v>Analytics Engineer</x:v>
      </x:c>
      <x:c r="T81" s="30" t="str">
        <x:v>Proposed</x:v>
      </x:c>
    </x:row>
    <x:row r="82">
      <x:c r="A82" s="17" t="inlineStr">
        <x:is>
          <x:t xml:space="preserve">EVT-14</x:t>
        </x:is>
      </x:c>
      <x:c r="B82" s="4" t="inlineStr">
        <x:is>
          <x:t xml:space="preserve">currency</x:t>
        </x:is>
      </x:c>
      <x:c r="C82" s="4" t="inlineStr">
        <x:is>
          <x:t xml:space="preserve">ارز</x:t>
        </x:is>
      </x:c>
      <x:c r="D82" s="4" t="inlineStr">
        <x:is>
          <x:t xml:space="preserve">ارز مبادلاتی</x:t>
        </x:is>
      </x:c>
      <x:c r="E82" s="4" t="inlineStr">
        <x:is>
          <x:t xml:space="preserve">String</x:t>
        </x:is>
      </x:c>
      <x:c r="F82" s="17" t="inlineStr">
        <x:is>
          <x:t xml:space="preserve">Required</x:t>
        </x:is>
      </x:c>
      <x:c r="G82" s="4" t="inlineStr">
        <x:is>
          <x:t xml:space="preserve">IRR</x:t>
        </x:is>
      </x:c>
      <x:c r="H82" s="4" t="inlineStr">
        <x:is>
          <x:t xml:space="preserve">IRR</x:t>
        </x:is>
      </x:c>
      <x:c r="I82" s="4" t="inlineStr">
        <x:is>
          <x:t xml:space="preserve">سند حسابداری</x:t>
        </x:is>
      </x:c>
      <x:c r="J82" s="4" t="inlineStr">
        <x:is>
          <x:t xml:space="preserve">ثابت</x:t>
        </x:is>
      </x:c>
      <x:c r="K82" s="4" t="inlineStr">
        <x:is>
          <x:t xml:space="preserve">ISO-4217</x:t>
        </x:is>
      </x:c>
      <x:c r="L82" s="17" t="inlineStr">
        <x:is>
          <x:t xml:space="preserve">None</x:t>
        </x:is>
      </x:c>
      <x:c r="M82" s="17" t="inlineStr">
        <x:is>
          <x:t xml:space="preserve">No</x:t>
        </x:is>
      </x:c>
      <x:c r="N82" s="4" t="inlineStr">
        <x:is>
          <x:t xml:space="preserve">GA4 MP, CAPI</x:t>
        </x:is>
      </x:c>
      <x:c r="O82" s="4" t="inlineStr">
        <x:is>
          <x:t xml:space="preserve"/>
        </x:is>
      </x:c>
      <x:c r="P82" s="30" t="str">
        <x:v>EVP-081</x:v>
      </x:c>
      <x:c r="Q82" s="30" t="str">
        <x:v>EVT-14</x:v>
      </x:c>
      <x:c r="R82" s="30" t="str">
        <x:v>W2</x:v>
      </x:c>
      <x:c r="S82" s="30" t="str">
        <x:v>Analytics Engineer</x:v>
      </x:c>
      <x:c r="T82" s="30" t="str">
        <x:v>Proposed</x:v>
      </x:c>
    </x:row>
    <x:row r="83">
      <x:c r="A83" s="19" t="inlineStr">
        <x:is>
          <x:t xml:space="preserve">EVT-14</x:t>
        </x:is>
      </x:c>
      <x:c r="B83" s="6" t="inlineStr">
        <x:is>
          <x:t xml:space="preserve">value</x:t>
        </x:is>
      </x:c>
      <x:c r="C83" s="6" t="inlineStr">
        <x:is>
          <x:t xml:space="preserve">مبلغ عودت</x:t>
        </x:is>
      </x:c>
      <x:c r="D83" s="6" t="inlineStr">
        <x:is>
          <x:t xml:space="preserve">مبلغ مرجوعی</x:t>
        </x:is>
      </x:c>
      <x:c r="E83" s="6" t="inlineStr">
        <x:is>
          <x:t xml:space="preserve">Decimal (IRR)</x:t>
        </x:is>
      </x:c>
      <x:c r="F83" s="19" t="inlineStr">
        <x:is>
          <x:t xml:space="preserve">Required</x:t>
        </x:is>
      </x:c>
      <x:c r="G83" s="6" t="inlineStr">
        <x:is>
          <x:t xml:space="preserve">15000000</x:t>
        </x:is>
      </x:c>
      <x:c r="H83" s="6" t="inlineStr">
        <x:is>
          <x:t xml:space="preserve">0 &lt; value &lt;= order value</x:t>
        </x:is>
      </x:c>
      <x:c r="I83" s="6" t="inlineStr">
        <x:is>
          <x:t xml:space="preserve">حواله بانکی</x:t>
        </x:is>
      </x:c>
      <x:c r="J83" s="6" t="inlineStr">
        <x:is>
          <x:t xml:space="preserve">تطبیق با سند</x:t>
        </x:is>
      </x:c>
      <x:c r="K83" s="6" t="inlineStr">
        <x:is>
          <x:t xml:space="preserve">&lt;= ارزش فاکتور</x:t>
        </x:is>
      </x:c>
      <x:c r="L83" s="19" t="inlineStr">
        <x:is>
          <x:t xml:space="preserve">None</x:t>
        </x:is>
      </x:c>
      <x:c r="M83" s="19" t="inlineStr">
        <x:is>
          <x:t xml:space="preserve">No</x:t>
        </x:is>
      </x:c>
      <x:c r="N83" s="6" t="inlineStr">
        <x:is>
          <x:t xml:space="preserve">GA4 MP, CAPI, DWH</x:t>
        </x:is>
      </x:c>
      <x:c r="O83" s="6" t="inlineStr">
        <x:is>
          <x:t xml:space="preserve"/>
        </x:is>
      </x:c>
      <x:c r="P83" s="30" t="str">
        <x:v>EVP-082</x:v>
      </x:c>
      <x:c r="Q83" s="30" t="str">
        <x:v>EVT-14</x:v>
      </x:c>
      <x:c r="R83" s="30" t="str">
        <x:v>W2</x:v>
      </x:c>
      <x:c r="S83" s="30" t="str">
        <x:v>Analytics Engineer</x:v>
      </x:c>
      <x:c r="T83" s="30" t="str">
        <x:v>Proposed</x:v>
      </x:c>
    </x:row>
    <x:row r="84">
      <x:c r="A84" s="17" t="inlineStr">
        <x:is>
          <x:t xml:space="preserve">EVT-14</x:t>
        </x:is>
      </x:c>
      <x:c r="B84" s="4" t="inlineStr">
        <x:is>
          <x:t xml:space="preserve">items</x:t>
        </x:is>
      </x:c>
      <x:c r="C84" s="4" t="inlineStr">
        <x:is>
          <x:t xml:space="preserve">اقلام مرجوع</x:t>
        </x:is>
      </x:c>
      <x:c r="D84" s="4" t="inlineStr">
        <x:is>
          <x:t xml:space="preserve">جزئیات اقلام با علت</x:t>
        </x:is>
      </x:c>
      <x:c r="E84" s="4" t="inlineStr">
        <x:is>
          <x:t xml:space="preserve">Array[Object]</x:t>
        </x:is>
      </x:c>
      <x:c r="F84" s="17" t="inlineStr">
        <x:is>
          <x:t xml:space="preserve">Optional</x:t>
        </x:is>
      </x:c>
      <x:c r="G84" s="4" t="inlineStr">
        <x:is>
          <x:t xml:space="preserve">[{item_id,quantity,price,return_reason}]</x:t>
        </x:is>
      </x:c>
      <x:c r="H84" s="4" t="inlineStr">
        <x:is>
          <x:t xml:space="preserve">—</x:t>
        </x:is>
      </x:c>
      <x:c r="I84" s="4" t="inlineStr">
        <x:is>
          <x:t xml:space="preserve">سند مرجوعی</x:t>
        </x:is>
      </x:c>
      <x:c r="J84" s="4" t="inlineStr">
        <x:is>
          <x:t xml:space="preserve">هیچ</x:t>
        </x:is>
      </x:c>
      <x:c r="K84" s="4" t="inlineStr">
        <x:is>
          <x:t xml:space="preserve">مطابقت SKU</x:t>
        </x:is>
      </x:c>
      <x:c r="L84" s="17" t="inlineStr">
        <x:is>
          <x:t xml:space="preserve">None</x:t>
        </x:is>
      </x:c>
      <x:c r="M84" s="17" t="inlineStr">
        <x:is>
          <x:t xml:space="preserve">No</x:t>
        </x:is>
      </x:c>
      <x:c r="N84" s="4" t="inlineStr">
        <x:is>
          <x:t xml:space="preserve">DWH</x:t>
        </x:is>
      </x:c>
      <x:c r="O84" s="4" t="inlineStr">
        <x:is>
          <x:t xml:space="preserve"/>
        </x:is>
      </x:c>
      <x:c r="P84" s="30" t="str">
        <x:v>EVP-083</x:v>
      </x:c>
      <x:c r="Q84" s="30" t="str">
        <x:v>EVT-14</x:v>
      </x:c>
      <x:c r="R84" s="30" t="str">
        <x:v>W2</x:v>
      </x:c>
      <x:c r="S84" s="30" t="str">
        <x:v>Analytics Engineer</x:v>
      </x:c>
      <x:c r="T84" s="30" t="str">
        <x:v>Proposed</x:v>
      </x:c>
    </x:row>
    <x:row r="85">
      <x:c r="A85" s="19" t="inlineStr">
        <x:is>
          <x:t xml:space="preserve">EVT-14</x:t>
        </x:is>
      </x:c>
      <x:c r="B85" s="6" t="inlineStr">
        <x:is>
          <x:t xml:space="preserve">refund_type</x:t>
        </x:is>
      </x:c>
      <x:c r="C85" s="6" t="inlineStr">
        <x:is>
          <x:t xml:space="preserve">نوع مرجوعی</x:t>
        </x:is>
      </x:c>
      <x:c r="D85" s="6" t="inlineStr">
        <x:is>
          <x:t xml:space="preserve">کامل/جزئی</x:t>
        </x:is>
      </x:c>
      <x:c r="E85" s="6" t="inlineStr">
        <x:is>
          <x:t xml:space="preserve">Enum</x:t>
        </x:is>
      </x:c>
      <x:c r="F85" s="19" t="inlineStr">
        <x:is>
          <x:t xml:space="preserve">Optional</x:t>
        </x:is>
      </x:c>
      <x:c r="G85" s="6" t="inlineStr">
        <x:is>
          <x:t xml:space="preserve">partial</x:t>
        </x:is>
      </x:c>
      <x:c r="H85" s="6" t="inlineStr">
        <x:is>
          <x:t xml:space="preserve">full/partial</x:t>
        </x:is>
      </x:c>
      <x:c r="I85" s="6" t="inlineStr">
        <x:is>
          <x:t xml:space="preserve">سند حسابداری</x:t>
        </x:is>
      </x:c>
      <x:c r="J85" s="6" t="inlineStr">
        <x:is>
          <x:t xml:space="preserve">استانداردسازی</x:t>
        </x:is>
      </x:c>
      <x:c r="K85" s="6" t="inlineStr">
        <x:is>
          <x:t xml:space="preserve">عضویت در لیست</x:t>
        </x:is>
      </x:c>
      <x:c r="L85" s="19" t="inlineStr">
        <x:is>
          <x:t xml:space="preserve">None</x:t>
        </x:is>
      </x:c>
      <x:c r="M85" s="19" t="inlineStr">
        <x:is>
          <x:t xml:space="preserve">No</x:t>
        </x:is>
      </x:c>
      <x:c r="N85" s="6" t="inlineStr">
        <x:is>
          <x:t xml:space="preserve">GA4 MP, CAPI</x:t>
        </x:is>
      </x:c>
      <x:c r="O85" s="6" t="inlineStr">
        <x:is>
          <x:t xml:space="preserve"/>
        </x:is>
      </x:c>
      <x:c r="P85" s="30" t="str">
        <x:v>EVP-084</x:v>
      </x:c>
      <x:c r="Q85" s="30" t="str">
        <x:v>EVT-14</x:v>
      </x:c>
      <x:c r="R85" s="30" t="str">
        <x:v>W2</x:v>
      </x:c>
      <x:c r="S85" s="30" t="str">
        <x:v>Analytics Engineer</x:v>
      </x:c>
      <x:c r="T85" s="30" t="str">
        <x:v>Proposed</x:v>
      </x:c>
    </x:row>
    <x:row r="86">
      <x:c r="A86" s="17" t="inlineStr">
        <x:is>
          <x:t xml:space="preserve">EVT-15</x:t>
        </x:is>
      </x:c>
      <x:c r="B86" s="4" t="inlineStr">
        <x:is>
          <x:t xml:space="preserve">transaction_id</x:t>
        </x:is>
      </x:c>
      <x:c r="C86" s="4" t="inlineStr">
        <x:is>
          <x:t xml:space="preserve">شناسه تراکنش جاری</x:t>
        </x:is>
      </x:c>
      <x:c r="D86" s="4" t="inlineStr">
        <x:is>
          <x:t xml:space="preserve">فاکتور خرید مجدد</x:t>
        </x:is>
      </x:c>
      <x:c r="E86" s="4" t="inlineStr">
        <x:is>
          <x:t xml:space="preserve">String</x:t>
        </x:is>
      </x:c>
      <x:c r="F86" s="17" t="inlineStr">
        <x:is>
          <x:t xml:space="preserve">Required</x:t>
        </x:is>
      </x:c>
      <x:c r="G86" s="4" t="inlineStr">
        <x:is>
          <x:t xml:space="preserve">ORD-1405-98310</x:t>
        </x:is>
      </x:c>
      <x:c r="H86" s="4" t="inlineStr">
        <x:is>
          <x:t xml:space="preserve">—</x:t>
        </x:is>
      </x:c>
      <x:c r="I86" s="4" t="inlineStr">
        <x:is>
          <x:t xml:space="preserve">دیتابیس مالی</x:t>
        </x:is>
      </x:c>
      <x:c r="J86" s="4" t="inlineStr">
        <x:is>
          <x:t xml:space="preserve">هیچ</x:t>
        </x:is>
      </x:c>
      <x:c r="K86" s="4" t="inlineStr">
        <x:is>
          <x:t xml:space="preserve">فرمت ORD-*</x:t>
        </x:is>
      </x:c>
      <x:c r="L86" s="17" t="inlineStr">
        <x:is>
          <x:t xml:space="preserve">None</x:t>
        </x:is>
      </x:c>
      <x:c r="M86" s="17" t="inlineStr">
        <x:is>
          <x:t xml:space="preserve">Yes</x:t>
        </x:is>
      </x:c>
      <x:c r="N86" s="4" t="inlineStr">
        <x:is>
          <x:t xml:space="preserve">GA4, CAPI, DWH</x:t>
        </x:is>
      </x:c>
      <x:c r="O86" s="4" t="inlineStr">
        <x:is>
          <x:t xml:space="preserve"/>
        </x:is>
      </x:c>
      <x:c r="P86" s="30" t="str">
        <x:v>EVP-085</x:v>
      </x:c>
      <x:c r="Q86" s="30" t="str">
        <x:v>EVT-15</x:v>
      </x:c>
      <x:c r="R86" s="30" t="str">
        <x:v>W2</x:v>
      </x:c>
      <x:c r="S86" s="30" t="str">
        <x:v>Analytics Engineer</x:v>
      </x:c>
      <x:c r="T86" s="30" t="str">
        <x:v>Proposed</x:v>
      </x:c>
    </x:row>
    <x:row r="87">
      <x:c r="A87" s="19" t="inlineStr">
        <x:is>
          <x:t xml:space="preserve">EVT-15</x:t>
        </x:is>
      </x:c>
      <x:c r="B87" s="6" t="inlineStr">
        <x:is>
          <x:t xml:space="preserve">master_customer_id</x:t>
        </x:is>
      </x:c>
      <x:c r="C87" s="6" t="inlineStr">
        <x:is>
          <x:t xml:space="preserve">شناسه یکتای مشتری</x:t>
        </x:is>
      </x:c>
      <x:c r="D87" s="6" t="inlineStr">
        <x:is>
          <x:t xml:space="preserve">Customer ID سازمانی</x:t>
        </x:is>
      </x:c>
      <x:c r="E87" s="6" t="inlineStr">
        <x:is>
          <x:t xml:space="preserve">String (UUID)</x:t>
        </x:is>
      </x:c>
      <x:c r="F87" s="19" t="inlineStr">
        <x:is>
          <x:t xml:space="preserve">Required</x:t>
        </x:is>
      </x:c>
      <x:c r="G87" s="6" t="inlineStr">
        <x:is>
          <x:t xml:space="preserve">CUST-107-8841</x:t>
        </x:is>
      </x:c>
      <x:c r="H87" s="6" t="inlineStr">
        <x:is>
          <x:t xml:space="preserve">—</x:t>
        </x:is>
      </x:c>
      <x:c r="I87" s="6" t="inlineStr">
        <x:is>
          <x:t xml:space="preserve">Identity Engine</x:t>
        </x:is>
      </x:c>
      <x:c r="J87" s="6" t="inlineStr">
        <x:is>
          <x:t xml:space="preserve">هیچ</x:t>
        </x:is>
      </x:c>
      <x:c r="K87" s="6" t="inlineStr">
        <x:is>
          <x:t xml:space="preserve">فرمت CUST-107-*</x:t>
        </x:is>
      </x:c>
      <x:c r="L87" s="19" t="inlineStr">
        <x:is>
          <x:t xml:space="preserve">PII-1</x:t>
        </x:is>
      </x:c>
      <x:c r="M87" s="19" t="inlineStr">
        <x:is>
          <x:t xml:space="preserve">Yes</x:t>
        </x:is>
      </x:c>
      <x:c r="N87" s="6" t="inlineStr">
        <x:is>
          <x:t xml:space="preserve">DWH, GA4 user_id</x:t>
        </x:is>
      </x:c>
      <x:c r="O87" s="6" t="inlineStr">
        <x:is>
          <x:t xml:space="preserve">Joining Key اصلی CLV</x:t>
        </x:is>
      </x:c>
      <x:c r="P87" s="30" t="str">
        <x:v>EVP-086</x:v>
      </x:c>
      <x:c r="Q87" s="30" t="str">
        <x:v>EVT-15</x:v>
      </x:c>
      <x:c r="R87" s="30" t="str">
        <x:v>W2</x:v>
      </x:c>
      <x:c r="S87" s="30" t="str">
        <x:v>Analytics Engineer</x:v>
      </x:c>
      <x:c r="T87" s="30" t="str">
        <x:v>Proposed</x:v>
      </x:c>
    </x:row>
    <x:row r="88">
      <x:c r="A88" s="17" t="inlineStr">
        <x:is>
          <x:t xml:space="preserve">EVT-15</x:t>
        </x:is>
      </x:c>
      <x:c r="B88" s="4" t="inlineStr">
        <x:is>
          <x:t xml:space="preserve">purchase_sequence_number</x:t>
        </x:is>
      </x:c>
      <x:c r="C88" s="4" t="inlineStr">
        <x:is>
          <x:t xml:space="preserve">شماره ترتیب خرید</x:t>
        </x:is>
      </x:c>
      <x:c r="D88" s="4" t="inlineStr">
        <x:is>
          <x:t xml:space="preserve">چندمین خرید مشتری</x:t>
        </x:is>
      </x:c>
      <x:c r="E88" s="4" t="inlineStr">
        <x:is>
          <x:t xml:space="preserve">Integer</x:t>
        </x:is>
      </x:c>
      <x:c r="F88" s="17" t="inlineStr">
        <x:is>
          <x:t xml:space="preserve">Required</x:t>
        </x:is>
      </x:c>
      <x:c r="G88" s="4" t="inlineStr">
        <x:is>
          <x:t xml:space="preserve">3</x:t>
        </x:is>
      </x:c>
      <x:c r="H88" s="4" t="inlineStr">
        <x:is>
          <x:t xml:space="preserve">&gt;= 2</x:t>
        </x:is>
      </x:c>
      <x:c r="I88" s="4" t="inlineStr">
        <x:is>
          <x:t xml:space="preserve">تعداد فاکتورهای مشتری</x:t>
        </x:is>
      </x:c>
      <x:c r="J88" s="4" t="inlineStr">
        <x:is>
          <x:t xml:space="preserve">COUNT(orders)</x:t>
        </x:is>
      </x:c>
      <x:c r="K88" s="4" t="inlineStr">
        <x:is>
          <x:t xml:space="preserve">&gt;= 2 (تعریف repeat)</x:t>
        </x:is>
      </x:c>
      <x:c r="L88" s="17" t="inlineStr">
        <x:is>
          <x:t xml:space="preserve">None</x:t>
        </x:is>
      </x:c>
      <x:c r="M88" s="17" t="inlineStr">
        <x:is>
          <x:t xml:space="preserve">No</x:t>
        </x:is>
      </x:c>
      <x:c r="N88" s="4" t="inlineStr">
        <x:is>
          <x:t xml:space="preserve">DWH</x:t>
        </x:is>
      </x:c>
      <x:c r="O88" s="4" t="inlineStr">
        <x:is>
          <x:t xml:space="preserve"/>
        </x:is>
      </x:c>
      <x:c r="P88" s="30" t="str">
        <x:v>EVP-087</x:v>
      </x:c>
      <x:c r="Q88" s="30" t="str">
        <x:v>EVT-15</x:v>
      </x:c>
      <x:c r="R88" s="30" t="str">
        <x:v>W2</x:v>
      </x:c>
      <x:c r="S88" s="30" t="str">
        <x:v>Analytics Engineer</x:v>
      </x:c>
      <x:c r="T88" s="30" t="str">
        <x:v>Proposed</x:v>
      </x:c>
    </x:row>
    <x:row r="89">
      <x:c r="A89" s="19" t="inlineStr">
        <x:is>
          <x:t xml:space="preserve">EVT-15</x:t>
        </x:is>
      </x:c>
      <x:c r="B89" s="6" t="inlineStr">
        <x:is>
          <x:t xml:space="preserve">days_since_prior_order</x:t>
        </x:is>
      </x:c>
      <x:c r="C89" s="6" t="inlineStr">
        <x:is>
          <x:t xml:space="preserve">فاصله روز از خرید قبل</x:t>
        </x:is>
      </x:c>
      <x:c r="D89" s="6" t="inlineStr">
        <x:is>
          <x:t xml:space="preserve">Order Interval Days</x:t>
        </x:is>
      </x:c>
      <x:c r="E89" s="6" t="inlineStr">
        <x:is>
          <x:t xml:space="preserve">Integer</x:t>
        </x:is>
      </x:c>
      <x:c r="F89" s="19" t="inlineStr">
        <x:is>
          <x:t xml:space="preserve">Optional</x:t>
        </x:is>
      </x:c>
      <x:c r="G89" s="6" t="inlineStr">
        <x:is>
          <x:t xml:space="preserve">28</x:t>
        </x:is>
      </x:c>
      <x:c r="H89" s="6" t="inlineStr">
        <x:is>
          <x:t xml:space="preserve">&gt; 0</x:t>
        </x:is>
      </x:c>
      <x:c r="I89" s="6" t="inlineStr">
        <x:is>
          <x:t xml:space="preserve">تفاوت تاریخ فاکتورها</x:t>
        </x:is>
      </x:c>
      <x:c r="J89" s="6" t="inlineStr">
        <x:is>
          <x:t xml:space="preserve">date diff</x:t>
        </x:is>
      </x:c>
      <x:c r="K89" s="6" t="inlineStr">
        <x:is>
          <x:t xml:space="preserve">&gt; 0</x:t>
        </x:is>
      </x:c>
      <x:c r="L89" s="19" t="inlineStr">
        <x:is>
          <x:t xml:space="preserve">None</x:t>
        </x:is>
      </x:c>
      <x:c r="M89" s="19" t="inlineStr">
        <x:is>
          <x:t xml:space="preserve">No</x:t>
        </x:is>
      </x:c>
      <x:c r="N89" s="6" t="inlineStr">
        <x:is>
          <x:t xml:space="preserve">DWH</x:t>
        </x:is>
      </x:c>
      <x:c r="O89" s="6" t="inlineStr">
        <x:is>
          <x:t xml:space="preserve">ورودی KPI-73</x:t>
        </x:is>
      </x:c>
      <x:c r="P89" s="30" t="str">
        <x:v>EVP-088</x:v>
      </x:c>
      <x:c r="Q89" s="30" t="str">
        <x:v>EVT-15</x:v>
      </x:c>
      <x:c r="R89" s="30" t="str">
        <x:v>W2</x:v>
      </x:c>
      <x:c r="S89" s="30" t="str">
        <x:v>Analytics Engineer</x:v>
      </x:c>
      <x:c r="T89" s="30" t="str">
        <x:v>Proposed</x:v>
      </x:c>
    </x:row>
    <x:row r="90">
      <x:c r="A90" s="17" t="inlineStr">
        <x:is>
          <x:t xml:space="preserve">EVT-15</x:t>
        </x:is>
      </x:c>
      <x:c r="B90" s="4" t="inlineStr">
        <x:is>
          <x:t xml:space="preserve">currency</x:t>
        </x:is>
      </x:c>
      <x:c r="C90" s="4" t="inlineStr">
        <x:is>
          <x:t xml:space="preserve">ارز</x:t>
        </x:is>
      </x:c>
      <x:c r="D90" s="4" t="inlineStr">
        <x:is>
          <x:t xml:space="preserve">ارز مبادلاتی</x:t>
        </x:is>
      </x:c>
      <x:c r="E90" s="4" t="inlineStr">
        <x:is>
          <x:t xml:space="preserve">String</x:t>
        </x:is>
      </x:c>
      <x:c r="F90" s="17" t="inlineStr">
        <x:is>
          <x:t xml:space="preserve">Required</x:t>
        </x:is>
      </x:c>
      <x:c r="G90" s="4" t="inlineStr">
        <x:is>
          <x:t xml:space="preserve">IRR</x:t>
        </x:is>
      </x:c>
      <x:c r="H90" s="4" t="inlineStr">
        <x:is>
          <x:t xml:space="preserve">IRR</x:t>
        </x:is>
      </x:c>
      <x:c r="I90" s="4" t="inlineStr">
        <x:is>
          <x:t xml:space="preserve">دیتابیس مالی</x:t>
        </x:is>
      </x:c>
      <x:c r="J90" s="4" t="inlineStr">
        <x:is>
          <x:t xml:space="preserve">ثابت</x:t>
        </x:is>
      </x:c>
      <x:c r="K90" s="4" t="inlineStr">
        <x:is>
          <x:t xml:space="preserve">ISO-4217</x:t>
        </x:is>
      </x:c>
      <x:c r="L90" s="17" t="inlineStr">
        <x:is>
          <x:t xml:space="preserve">None</x:t>
        </x:is>
      </x:c>
      <x:c r="M90" s="17" t="inlineStr">
        <x:is>
          <x:t xml:space="preserve">No</x:t>
        </x:is>
      </x:c>
      <x:c r="N90" s="4" t="inlineStr">
        <x:is>
          <x:t xml:space="preserve">GA4, CAPI</x:t>
        </x:is>
      </x:c>
      <x:c r="O90" s="4" t="inlineStr">
        <x:is>
          <x:t xml:space="preserve"/>
        </x:is>
      </x:c>
      <x:c r="P90" s="30" t="str">
        <x:v>EVP-089</x:v>
      </x:c>
      <x:c r="Q90" s="30" t="str">
        <x:v>EVT-15</x:v>
      </x:c>
      <x:c r="R90" s="30" t="str">
        <x:v>W2</x:v>
      </x:c>
      <x:c r="S90" s="30" t="str">
        <x:v>Analytics Engineer</x:v>
      </x:c>
      <x:c r="T90" s="30" t="str">
        <x:v>Proposed</x:v>
      </x:c>
    </x:row>
    <x:row r="91">
      <x:c r="A91" s="19" t="inlineStr">
        <x:is>
          <x:t xml:space="preserve">EVT-15</x:t>
        </x:is>
      </x:c>
      <x:c r="B91" s="6" t="inlineStr">
        <x:is>
          <x:t xml:space="preserve">value</x:t>
        </x:is>
      </x:c>
      <x:c r="C91" s="6" t="inlineStr">
        <x:is>
          <x:t xml:space="preserve">ارزش فاکتور</x:t>
        </x:is>
      </x:c>
      <x:c r="D91" s="6" t="inlineStr">
        <x:is>
          <x:t xml:space="preserve">مبلغ تسویه‌شده</x:t>
        </x:is>
      </x:c>
      <x:c r="E91" s="6" t="inlineStr">
        <x:is>
          <x:t xml:space="preserve">Decimal (IRR)</x:t>
        </x:is>
      </x:c>
      <x:c r="F91" s="19" t="inlineStr">
        <x:is>
          <x:t xml:space="preserve">Required</x:t>
        </x:is>
      </x:c>
      <x:c r="G91" s="6" t="inlineStr">
        <x:is>
          <x:t xml:space="preserve">128000000</x:t>
        </x:is>
      </x:c>
      <x:c r="H91" s="6" t="inlineStr">
        <x:is>
          <x:t xml:space="preserve">&gt; 0</x:t>
        </x:is>
      </x:c>
      <x:c r="I91" s="6" t="inlineStr">
        <x:is>
          <x:t xml:space="preserve">تاییدیه مالی</x:t>
        </x:is>
      </x:c>
      <x:c r="J91" s="6" t="inlineStr">
        <x:is>
          <x:t xml:space="preserve">تطبیق</x:t>
        </x:is>
      </x:c>
      <x:c r="K91" s="6" t="inlineStr">
        <x:is>
          <x:t xml:space="preserve">&gt; 0</x:t>
        </x:is>
      </x:c>
      <x:c r="L91" s="19" t="inlineStr">
        <x:is>
          <x:t xml:space="preserve">None</x:t>
        </x:is>
      </x:c>
      <x:c r="M91" s="19" t="inlineStr">
        <x:is>
          <x:t xml:space="preserve">No</x:t>
        </x:is>
      </x:c>
      <x:c r="N91" s="6" t="inlineStr">
        <x:is>
          <x:t xml:space="preserve">GA4, CAPI, DWH</x:t>
        </x:is>
      </x:c>
      <x:c r="O91" s="6" t="inlineStr">
        <x:is>
          <x:t xml:space="preserve"/>
        </x:is>
      </x:c>
      <x:c r="P91" s="30" t="str">
        <x:v>EVP-090</x:v>
      </x:c>
      <x:c r="Q91" s="30" t="str">
        <x:v>EVT-15</x:v>
      </x:c>
      <x:c r="R91" s="30" t="str">
        <x:v>W2</x:v>
      </x:c>
      <x:c r="S91" s="30" t="str">
        <x:v>Analytics Engineer</x:v>
      </x:c>
      <x:c r="T91" s="30" t="str">
        <x:v>Proposed</x:v>
      </x:c>
    </x:row>
    <x:row r="92">
      <x:c r="A92" s="17" t="inlineStr">
        <x:is>
          <x:t xml:space="preserve">EVT-15</x:t>
        </x:is>
      </x:c>
      <x:c r="B92" s="4" t="inlineStr">
        <x:is>
          <x:t xml:space="preserve">items</x:t>
        </x:is>
      </x:c>
      <x:c r="C92" s="4" t="inlineStr">
        <x:is>
          <x:t xml:space="preserve">آرایه اقلام</x:t>
        </x:is>
      </x:c>
      <x:c r="D92" s="4" t="inlineStr">
        <x:is>
          <x:t xml:space="preserve">اقلام فاکتور</x:t>
        </x:is>
      </x:c>
      <x:c r="E92" s="4" t="inlineStr">
        <x:is>
          <x:t xml:space="preserve">Array[Object]</x:t>
        </x:is>
      </x:c>
      <x:c r="F92" s="17" t="inlineStr">
        <x:is>
          <x:t xml:space="preserve">Optional</x:t>
        </x:is>
      </x:c>
      <x:c r="G92" s="4" t="inlineStr">
        <x:is>
          <x:t xml:space="preserve">[{item_id,price,quantity}]</x:t>
        </x:is>
      </x:c>
      <x:c r="H92" s="4" t="inlineStr">
        <x:is>
          <x:t xml:space="preserve">—</x:t>
        </x:is>
      </x:c>
      <x:c r="I92" s="4" t="inlineStr">
        <x:is>
          <x:t xml:space="preserve">فاکتور</x:t>
        </x:is>
      </x:c>
      <x:c r="J92" s="4" t="inlineStr">
        <x:is>
          <x:t xml:space="preserve">هیچ</x:t>
        </x:is>
      </x:c>
      <x:c r="K92" s="4" t="inlineStr">
        <x:is>
          <x:t xml:space="preserve">—</x:t>
        </x:is>
      </x:c>
      <x:c r="L92" s="17" t="inlineStr">
        <x:is>
          <x:t xml:space="preserve">None</x:t>
        </x:is>
      </x:c>
      <x:c r="M92" s="17" t="inlineStr">
        <x:is>
          <x:t xml:space="preserve">No</x:t>
        </x:is>
      </x:c>
      <x:c r="N92" s="4" t="inlineStr">
        <x:is>
          <x:t xml:space="preserve">GA4, CAPI</x:t>
        </x:is>
      </x:c>
      <x:c r="O92" s="4" t="inlineStr">
        <x:is>
          <x:t xml:space="preserve"/>
        </x:is>
      </x:c>
      <x:c r="P92" s="30" t="str">
        <x:v>EVP-091</x:v>
      </x:c>
      <x:c r="Q92" s="30" t="str">
        <x:v>EVT-15</x:v>
      </x:c>
      <x:c r="R92" s="30" t="str">
        <x:v>W2</x:v>
      </x:c>
      <x:c r="S92" s="30" t="str">
        <x:v>Analytics Engineer</x:v>
      </x:c>
      <x:c r="T92" s="30" t="str">
        <x:v>Proposed</x:v>
      </x:c>
    </x:row>
    <x:row r="93">
      <x:c r="A93" s="19" t="inlineStr">
        <x:is>
          <x:t xml:space="preserve">EVT-15</x:t>
        </x:is>
      </x:c>
      <x:c r="B93" s="6" t="inlineStr">
        <x:is>
          <x:t xml:space="preserve">loyalty_tier_level</x:t>
        </x:is>
      </x:c>
      <x:c r="C93" s="6" t="inlineStr">
        <x:is>
          <x:t xml:space="preserve">سطح وفاداری</x:t>
        </x:is>
      </x:c>
      <x:c r="D93" s="6" t="inlineStr">
        <x:is>
          <x:t xml:space="preserve">تیر لایولتی</x:t>
        </x:is>
      </x:c>
      <x:c r="E93" s="6" t="inlineStr">
        <x:is>
          <x:t xml:space="preserve">Enum</x:t>
        </x:is>
      </x:c>
      <x:c r="F93" s="19" t="inlineStr">
        <x:is>
          <x:t xml:space="preserve">Optional</x:t>
        </x:is>
      </x:c>
      <x:c r="G93" s="6" t="inlineStr">
        <x:is>
          <x:t xml:space="preserve">Gold</x:t>
        </x:is>
      </x:c>
      <x:c r="H93" s="6" t="inlineStr">
        <x:is>
          <x:t xml:space="preserve">Bronze/Silver/Gold/VIP</x:t>
        </x:is>
      </x:c>
      <x:c r="I93" s="6" t="inlineStr">
        <x:is>
          <x:t xml:space="preserve">لایولتی</x:t>
        </x:is>
      </x:c>
      <x:c r="J93" s="6" t="inlineStr">
        <x:is>
          <x:t xml:space="preserve">sync ماهانه</x:t>
        </x:is>
      </x:c>
      <x:c r="K93" s="6" t="inlineStr">
        <x:is>
          <x:t xml:space="preserve">عضویت در لیست</x:t>
        </x:is>
      </x:c>
      <x:c r="L93" s="19" t="inlineStr">
        <x:is>
          <x:t xml:space="preserve">None</x:t>
        </x:is>
      </x:c>
      <x:c r="M93" s="19" t="inlineStr">
        <x:is>
          <x:t xml:space="preserve">No</x:t>
        </x:is>
      </x:c>
      <x:c r="N93" s="6" t="inlineStr">
        <x:is>
          <x:t xml:space="preserve">GA4, DWH</x:t>
        </x:is>
      </x:c>
      <x:c r="O93" s="6" t="inlineStr">
        <x:is>
          <x:t xml:space="preserve"/>
        </x:is>
      </x:c>
      <x:c r="P93" s="30" t="str">
        <x:v>EVP-092</x:v>
      </x:c>
      <x:c r="Q93" s="30" t="str">
        <x:v>EVT-15</x:v>
      </x:c>
      <x:c r="R93" s="30" t="str">
        <x:v>W2</x:v>
      </x:c>
      <x:c r="S93" s="30" t="str">
        <x:v>Analytics Engineer</x:v>
      </x:c>
      <x:c r="T93" s="30" t="str">
        <x:v>Proposed</x:v>
      </x:c>
    </x:row>
    <x:row r="94">
      <x:c r="A94" s="17" t="inlineStr">
        <x:is>
          <x:t xml:space="preserve">EVT-16</x:t>
        </x:is>
      </x:c>
      <x:c r="B94" s="4" t="inlineStr">
        <x:is>
          <x:t xml:space="preserve">lead_id</x:t>
        </x:is>
      </x:c>
      <x:c r="C94" s="4" t="inlineStr">
        <x:is>
          <x:t xml:space="preserve">شناسه لید</x:t>
        </x:is>
      </x:c>
      <x:c r="D94" s="4" t="inlineStr">
        <x:is>
          <x:t xml:space="preserve">کد یکتای سرنخ</x:t>
        </x:is>
      </x:c>
      <x:c r="E94" s="4" t="inlineStr">
        <x:is>
          <x:t xml:space="preserve">String</x:t>
        </x:is>
      </x:c>
      <x:c r="F94" s="17" t="inlineStr">
        <x:is>
          <x:t xml:space="preserve">Required</x:t>
        </x:is>
      </x:c>
      <x:c r="G94" s="4" t="inlineStr">
        <x:is>
          <x:t xml:space="preserve">LEAD-1405-7721</x:t>
        </x:is>
      </x:c>
      <x:c r="H94" s="4" t="inlineStr">
        <x:is>
          <x:t xml:space="preserve">—</x:t>
        </x:is>
      </x:c>
      <x:c r="I94" s="4" t="inlineStr">
        <x:is>
          <x:t xml:space="preserve">CRM</x:t>
        </x:is>
      </x:c>
      <x:c r="J94" s="4" t="inlineStr">
        <x:is>
          <x:t xml:space="preserve">هیچ</x:t>
        </x:is>
      </x:c>
      <x:c r="K94" s="4" t="inlineStr">
        <x:is>
          <x:t xml:space="preserve">فرمت LEAD-*؛ یکتا</x:t>
        </x:is>
      </x:c>
      <x:c r="L94" s="17" t="inlineStr">
        <x:is>
          <x:t xml:space="preserve">None</x:t>
        </x:is>
      </x:c>
      <x:c r="M94" s="17" t="inlineStr">
        <x:is>
          <x:t xml:space="preserve">Yes</x:t>
        </x:is>
      </x:c>
      <x:c r="N94" s="4" t="inlineStr">
        <x:is>
          <x:t xml:space="preserve">GA4, CAPI, CRM, DWH</x:t>
        </x:is>
      </x:c>
      <x:c r="O94" s="4" t="inlineStr">
        <x:is>
          <x:t xml:space="preserve"/>
        </x:is>
      </x:c>
      <x:c r="P94" s="30" t="str">
        <x:v>EVP-093</x:v>
      </x:c>
      <x:c r="Q94" s="30" t="str">
        <x:v>EVT-16</x:v>
      </x:c>
      <x:c r="R94" s="30" t="str">
        <x:v>W2</x:v>
      </x:c>
      <x:c r="S94" s="30" t="str">
        <x:v>Analytics Engineer</x:v>
      </x:c>
      <x:c r="T94" s="30" t="str">
        <x:v>Proposed</x:v>
      </x:c>
    </x:row>
    <x:row r="95">
      <x:c r="A95" s="19" t="inlineStr">
        <x:is>
          <x:t xml:space="preserve">EVT-16</x:t>
        </x:is>
      </x:c>
      <x:c r="B95" s="6" t="inlineStr">
        <x:is>
          <x:t xml:space="preserve">lead_type</x:t>
        </x:is>
      </x:c>
      <x:c r="C95" s="6" t="inlineStr">
        <x:is>
          <x:t xml:space="preserve">نوع لید</x:t>
        </x:is>
      </x:c>
      <x:c r="D95" s="6" t="inlineStr">
        <x:is>
          <x:t xml:space="preserve">موضوع درخواست</x:t>
        </x:is>
      </x:c>
      <x:c r="E95" s="6" t="inlineStr">
        <x:is>
          <x:t xml:space="preserve">Enum</x:t>
        </x:is>
      </x:c>
      <x:c r="F95" s="19" t="inlineStr">
        <x:is>
          <x:t xml:space="preserve">Required</x:t>
        </x:is>
      </x:c>
      <x:c r="G95" s="6" t="inlineStr">
        <x:is>
          <x:t xml:space="preserve">consultation_request</x:t>
        </x:is>
      </x:c>
      <x:c r="H95" s="6" t="inlineStr">
        <x:is>
          <x:t xml:space="preserve">consultation_request/demo_request/bulk_inquiry</x:t>
        </x:is>
      </x:c>
      <x:c r="I95" s="6" t="inlineStr">
        <x:is>
          <x:t xml:space="preserve">فرم</x:t>
        </x:is>
      </x:c>
      <x:c r="J95" s="6" t="inlineStr">
        <x:is>
          <x:t xml:space="preserve">استانداردسازی</x:t>
        </x:is>
      </x:c>
      <x:c r="K95" s="6" t="inlineStr">
        <x:is>
          <x:t xml:space="preserve">عضویت در لیست</x:t>
        </x:is>
      </x:c>
      <x:c r="L95" s="19" t="inlineStr">
        <x:is>
          <x:t xml:space="preserve">None</x:t>
        </x:is>
      </x:c>
      <x:c r="M95" s="19" t="inlineStr">
        <x:is>
          <x:t xml:space="preserve">No</x:t>
        </x:is>
      </x:c>
      <x:c r="N95" s="6" t="inlineStr">
        <x:is>
          <x:t xml:space="preserve">GA4, CRM, DWH</x:t>
        </x:is>
      </x:c>
      <x:c r="O95" s="6" t="inlineStr">
        <x:is>
          <x:t xml:space="preserve"/>
        </x:is>
      </x:c>
      <x:c r="P95" s="30" t="str">
        <x:v>EVP-094</x:v>
      </x:c>
      <x:c r="Q95" s="30" t="str">
        <x:v>EVT-16</x:v>
      </x:c>
      <x:c r="R95" s="30" t="str">
        <x:v>W2</x:v>
      </x:c>
      <x:c r="S95" s="30" t="str">
        <x:v>Analytics Engineer</x:v>
      </x:c>
      <x:c r="T95" s="30" t="str">
        <x:v>Proposed</x:v>
      </x:c>
    </x:row>
    <x:row r="96">
      <x:c r="A96" s="17" t="inlineStr">
        <x:is>
          <x:t xml:space="preserve">EVT-16</x:t>
        </x:is>
      </x:c>
      <x:c r="B96" s="4" t="inlineStr">
        <x:is>
          <x:t xml:space="preserve">hashed_phone_number</x:t>
        </x:is>
      </x:c>
      <x:c r="C96" s="4" t="inlineStr">
        <x:is>
          <x:t xml:space="preserve">شماره تماس هش‌شده</x:t>
        </x:is>
      </x:c>
      <x:c r="D96" s="4" t="inlineStr">
        <x:is>
          <x:t xml:space="preserve">SHA-256 شماره E.164</x:t>
        </x:is>
      </x:c>
      <x:c r="E96" s="4" t="inlineStr">
        <x:is>
          <x:t xml:space="preserve">String (Hex 64)</x:t>
        </x:is>
      </x:c>
      <x:c r="F96" s="17" t="inlineStr">
        <x:is>
          <x:t xml:space="preserve">Required</x:t>
        </x:is>
      </x:c>
      <x:c r="G96" s="4" t="inlineStr">
        <x:is>
          <x:t xml:space="preserve">c9284fa091b...</x:t>
        </x:is>
      </x:c>
      <x:c r="H96" s="4" t="inlineStr">
        <x:is>
          <x:t xml:space="preserve">—</x:t>
        </x:is>
      </x:c>
      <x:c r="I96" s="4" t="inlineStr">
        <x:is>
          <x:t xml:space="preserve">فرم لید</x:t>
        </x:is>
      </x:c>
      <x:c r="J96" s="4" t="inlineStr">
        <x:is>
          <x:t xml:space="preserve">E.164 normalization → SHA-256</x:t>
        </x:is>
      </x:c>
      <x:c r="K96" s="4" t="inlineStr">
        <x:is>
          <x:t xml:space="preserve">regex ^[a-f0-9]{64}$</x:t>
        </x:is>
      </x:c>
      <x:c r="L96" s="17" t="inlineStr">
        <x:is>
          <x:t xml:space="preserve">PII-3 (Hashed Only)</x:t>
        </x:is>
      </x:c>
      <x:c r="M96" s="17" t="inlineStr">
        <x:is>
          <x:t xml:space="preserve">Yes</x:t>
        </x:is>
      </x:c>
      <x:c r="N96" s="4" t="inlineStr">
        <x:is>
          <x:t xml:space="preserve">CAPI (ph), CRM, DWH</x:t>
        </x:is>
      </x:c>
      <x:c r="O96" s="4" t="inlineStr">
        <x:is>
          <x:t xml:space="preserve">ممنوعیت ارسال plain text</x:t>
        </x:is>
      </x:c>
      <x:c r="P96" s="30" t="str">
        <x:v>EVP-095</x:v>
      </x:c>
      <x:c r="Q96" s="30" t="str">
        <x:v>EVT-16</x:v>
      </x:c>
      <x:c r="R96" s="30" t="str">
        <x:v>W2</x:v>
      </x:c>
      <x:c r="S96" s="30" t="str">
        <x:v>Analytics Engineer</x:v>
      </x:c>
      <x:c r="T96" s="30" t="str">
        <x:v>Proposed</x:v>
      </x:c>
    </x:row>
    <x:row r="97">
      <x:c r="A97" s="19" t="inlineStr">
        <x:is>
          <x:t xml:space="preserve">EVT-16</x:t>
        </x:is>
      </x:c>
      <x:c r="B97" s="6" t="inlineStr">
        <x:is>
          <x:t xml:space="preserve">clinic_name</x:t>
        </x:is>
      </x:c>
      <x:c r="C97" s="6" t="inlineStr">
        <x:is>
          <x:t xml:space="preserve">نام مطب/کلینیک</x:t>
        </x:is>
      </x:c>
      <x:c r="D97" s="6" t="inlineStr">
        <x:is>
          <x:t xml:space="preserve">نام مرکز</x:t>
        </x:is>
      </x:c>
      <x:c r="E97" s="6" t="inlineStr">
        <x:is>
          <x:t xml:space="preserve">String</x:t>
        </x:is>
      </x:c>
      <x:c r="F97" s="19" t="inlineStr">
        <x:is>
          <x:t xml:space="preserve">Optional</x:t>
        </x:is>
      </x:c>
      <x:c r="G97" s="6" t="inlineStr">
        <x:is>
          <x:t xml:space="preserve">کلینیک لبخند</x:t>
        </x:is>
      </x:c>
      <x:c r="H97" s="6" t="inlineStr">
        <x:is>
          <x:t xml:space="preserve">—</x:t>
        </x:is>
      </x:c>
      <x:c r="I97" s="6" t="inlineStr">
        <x:is>
          <x:t xml:space="preserve">فرم لید</x:t>
        </x:is>
      </x:c>
      <x:c r="J97" s="6" t="inlineStr">
        <x:is>
          <x:t xml:space="preserve">ترمیم کاراکتر</x:t>
        </x:is>
      </x:c>
      <x:c r="K97" s="6" t="inlineStr">
        <x:is>
          <x:t xml:space="preserve">حداکثر ۱۵۰ کاراکتر</x:t>
        </x:is>
      </x:c>
      <x:c r="L97" s="19" t="inlineStr">
        <x:is>
          <x:t xml:space="preserve">PII-2</x:t>
        </x:is>
      </x:c>
      <x:c r="M97" s="19" t="inlineStr">
        <x:is>
          <x:t xml:space="preserve">No</x:t>
        </x:is>
      </x:c>
      <x:c r="N97" s="6" t="inlineStr">
        <x:is>
          <x:t xml:space="preserve">CRM, DWH</x:t>
        </x:is>
      </x:c>
      <x:c r="O97" s="6" t="inlineStr">
        <x:is>
          <x:t xml:space="preserve"/>
        </x:is>
      </x:c>
      <x:c r="P97" s="30" t="str">
        <x:v>EVP-096</x:v>
      </x:c>
      <x:c r="Q97" s="30" t="str">
        <x:v>EVT-16</x:v>
      </x:c>
      <x:c r="R97" s="30" t="str">
        <x:v>W2</x:v>
      </x:c>
      <x:c r="S97" s="30" t="str">
        <x:v>Analytics Engineer</x:v>
      </x:c>
      <x:c r="T97" s="30" t="str">
        <x:v>Proposed</x:v>
      </x:c>
    </x:row>
    <x:row r="98">
      <x:c r="A98" s="17" t="inlineStr">
        <x:is>
          <x:t xml:space="preserve">EVT-16</x:t>
        </x:is>
      </x:c>
      <x:c r="B98" s="4" t="inlineStr">
        <x:is>
          <x:t xml:space="preserve">dental_specialty</x:t>
        </x:is>
      </x:c>
      <x:c r="C98" s="4" t="inlineStr">
        <x:is>
          <x:t xml:space="preserve">تخصص دندان‌پزشکی</x:t>
        </x:is>
      </x:c>
      <x:c r="D98" s="4" t="inlineStr">
        <x:is>
          <x:t xml:space="preserve">بورد تخصصی</x:t>
        </x:is>
      </x:c>
      <x:c r="E98" s="4" t="inlineStr">
        <x:is>
          <x:t xml:space="preserve">Enum</x:t>
        </x:is>
      </x:c>
      <x:c r="F98" s="17" t="inlineStr">
        <x:is>
          <x:t xml:space="preserve">Optional</x:t>
        </x:is>
      </x:c>
      <x:c r="G98" s="4" t="inlineStr">
        <x:is>
          <x:t xml:space="preserve">endodontics</x:t>
        </x:is>
      </x:c>
      <x:c r="H98" s="4" t="inlineStr">
        <x:is>
          <x:t xml:space="preserve">لیست رسمی بورد‌ها</x:t>
        </x:is>
      </x:c>
      <x:c r="I98" s="4" t="inlineStr">
        <x:is>
          <x:t xml:space="preserve">فرم/استعلام</x:t>
        </x:is>
      </x:c>
      <x:c r="J98" s="4" t="inlineStr">
        <x:is>
          <x:t xml:space="preserve">استانداردسازی</x:t>
        </x:is>
      </x:c>
      <x:c r="K98" s="4" t="inlineStr">
        <x:is>
          <x:t xml:space="preserve">عضویت در لیست</x:t>
        </x:is>
      </x:c>
      <x:c r="L98" s="17" t="inlineStr">
        <x:is>
          <x:t xml:space="preserve">PII-2</x:t>
        </x:is>
      </x:c>
      <x:c r="M98" s="17" t="inlineStr">
        <x:is>
          <x:t xml:space="preserve">No</x:t>
        </x:is>
      </x:c>
      <x:c r="N98" s="4" t="inlineStr">
        <x:is>
          <x:t xml:space="preserve">CRM, DWH</x:t>
        </x:is>
      </x:c>
      <x:c r="O98" s="4" t="inlineStr">
        <x:is>
          <x:t xml:space="preserve"/>
        </x:is>
      </x:c>
      <x:c r="P98" s="30" t="str">
        <x:v>EVP-097</x:v>
      </x:c>
      <x:c r="Q98" s="30" t="str">
        <x:v>EVT-16</x:v>
      </x:c>
      <x:c r="R98" s="30" t="str">
        <x:v>W2</x:v>
      </x:c>
      <x:c r="S98" s="30" t="str">
        <x:v>Analytics Engineer</x:v>
      </x:c>
      <x:c r="T98" s="30" t="str">
        <x:v>Proposed</x:v>
      </x:c>
    </x:row>
    <x:row r="99">
      <x:c r="A99" s="19" t="inlineStr">
        <x:is>
          <x:t xml:space="preserve">EVT-16</x:t>
        </x:is>
      </x:c>
      <x:c r="B99" s="6" t="inlineStr">
        <x:is>
          <x:t xml:space="preserve">estimated_budget</x:t>
        </x:is>
      </x:c>
      <x:c r="C99" s="6" t="inlineStr">
        <x:is>
          <x:t xml:space="preserve">برآورد بودجه</x:t>
        </x:is>
      </x:c>
      <x:c r="D99" s="6" t="inlineStr">
        <x:is>
          <x:t xml:space="preserve">سقف بودجه اعلامی</x:t>
        </x:is>
      </x:c>
      <x:c r="E99" s="6" t="inlineStr">
        <x:is>
          <x:t xml:space="preserve">Decimal (IRR)</x:t>
        </x:is>
      </x:c>
      <x:c r="F99" s="19" t="inlineStr">
        <x:is>
          <x:t xml:space="preserve">Optional</x:t>
        </x:is>
      </x:c>
      <x:c r="G99" s="6" t="inlineStr">
        <x:is>
          <x:t xml:space="preserve">1500000000</x:t>
        </x:is>
      </x:c>
      <x:c r="H99" s="6" t="inlineStr">
        <x:is>
          <x:t xml:space="preserve">&gt;= 0</x:t>
        </x:is>
      </x:c>
      <x:c r="I99" s="6" t="inlineStr">
        <x:is>
          <x:t xml:space="preserve">فرم نیازسنجی</x:t>
        </x:is>
      </x:c>
      <x:c r="J99" s="6" t="inlineStr">
        <x:is>
          <x:t xml:space="preserve">هیچ</x:t>
        </x:is>
      </x:c>
      <x:c r="K99" s="6" t="inlineStr">
        <x:is>
          <x:t xml:space="preserve">&gt;= 0</x:t>
        </x:is>
      </x:c>
      <x:c r="L99" s="19" t="inlineStr">
        <x:is>
          <x:t xml:space="preserve">PII-2</x:t>
        </x:is>
      </x:c>
      <x:c r="M99" s="19" t="inlineStr">
        <x:is>
          <x:t xml:space="preserve">No</x:t>
        </x:is>
      </x:c>
      <x:c r="N99" s="6" t="inlineStr">
        <x:is>
          <x:t xml:space="preserve">CRM</x:t>
        </x:is>
      </x:c>
      <x:c r="O99" s="6" t="inlineStr">
        <x:is>
          <x:t xml:space="preserve">ورودی Lead Scoring</x:t>
        </x:is>
      </x:c>
      <x:c r="P99" s="30" t="str">
        <x:v>EVP-098</x:v>
      </x:c>
      <x:c r="Q99" s="30" t="str">
        <x:v>EVT-16</x:v>
      </x:c>
      <x:c r="R99" s="30" t="str">
        <x:v>W2</x:v>
      </x:c>
      <x:c r="S99" s="30" t="str">
        <x:v>Analytics Engineer</x:v>
      </x:c>
      <x:c r="T99" s="30" t="str">
        <x:v>Proposed</x:v>
      </x:c>
    </x:row>
    <x:row r="100">
      <x:c r="A100" s="17" t="inlineStr">
        <x:is>
          <x:t xml:space="preserve">EVT-17</x:t>
        </x:is>
      </x:c>
      <x:c r="B100" s="4" t="inlineStr">
        <x:is>
          <x:t xml:space="preserve">inquiry_id</x:t>
        </x:is>
      </x:c>
      <x:c r="C100" s="4" t="inlineStr">
        <x:is>
          <x:t xml:space="preserve">شناسه استعلام</x:t>
        </x:is>
      </x:c>
      <x:c r="D100" s="4" t="inlineStr">
        <x:is>
          <x:t xml:space="preserve">کد یکتای استعلام</x:t>
        </x:is>
      </x:c>
      <x:c r="E100" s="4" t="inlineStr">
        <x:is>
          <x:t xml:space="preserve">String</x:t>
        </x:is>
      </x:c>
      <x:c r="F100" s="17" t="inlineStr">
        <x:is>
          <x:t xml:space="preserve">Required</x:t>
        </x:is>
      </x:c>
      <x:c r="G100" s="4" t="inlineStr">
        <x:is>
          <x:t xml:space="preserve">INQ-99201</x:t>
        </x:is>
      </x:c>
      <x:c r="H100" s="4" t="inlineStr">
        <x:is>
          <x:t xml:space="preserve">—</x:t>
        </x:is>
      </x:c>
      <x:c r="I100" s="4" t="inlineStr">
        <x:is>
          <x:t xml:space="preserve">CRM</x:t>
        </x:is>
      </x:c>
      <x:c r="J100" s="4" t="inlineStr">
        <x:is>
          <x:t xml:space="preserve">هیچ</x:t>
        </x:is>
      </x:c>
      <x:c r="K100" s="4" t="inlineStr">
        <x:is>
          <x:t xml:space="preserve">فرمت INQ-*؛ یکتا</x:t>
        </x:is>
      </x:c>
      <x:c r="L100" s="17" t="inlineStr">
        <x:is>
          <x:t xml:space="preserve">None</x:t>
        </x:is>
      </x:c>
      <x:c r="M100" s="17" t="inlineStr">
        <x:is>
          <x:t xml:space="preserve">Yes</x:t>
        </x:is>
      </x:c>
      <x:c r="N100" s="4" t="inlineStr">
        <x:is>
          <x:t xml:space="preserve">GA4, CAPI, CRM, DWH</x:t>
        </x:is>
      </x:c>
      <x:c r="O100" s="4" t="inlineStr">
        <x:is>
          <x:t xml:space="preserve"/>
        </x:is>
      </x:c>
      <x:c r="P100" s="30" t="str">
        <x:v>EVP-099</x:v>
      </x:c>
      <x:c r="Q100" s="30" t="str">
        <x:v>EVT-17</x:v>
      </x:c>
      <x:c r="R100" s="30" t="str">
        <x:v>W2</x:v>
      </x:c>
      <x:c r="S100" s="30" t="str">
        <x:v>Analytics Engineer</x:v>
      </x:c>
      <x:c r="T100" s="30" t="str">
        <x:v>Proposed</x:v>
      </x:c>
    </x:row>
    <x:row r="101">
      <x:c r="A101" s="19" t="inlineStr">
        <x:is>
          <x:t xml:space="preserve">EVT-17</x:t>
        </x:is>
      </x:c>
      <x:c r="B101" s="6" t="inlineStr">
        <x:is>
          <x:t xml:space="preserve">clinic_tier</x:t>
        </x:is>
      </x:c>
      <x:c r="C101" s="6" t="inlineStr">
        <x:is>
          <x:t xml:space="preserve">سطح مرکز درمانی</x:t>
        </x:is>
      </x:c>
      <x:c r="D101" s="6" t="inlineStr">
        <x:is>
          <x:t xml:space="preserve">رده کلینیک</x:t>
        </x:is>
      </x:c>
      <x:c r="E101" s="6" t="inlineStr">
        <x:is>
          <x:t xml:space="preserve">Enum</x:t>
        </x:is>
      </x:c>
      <x:c r="F101" s="19" t="inlineStr">
        <x:is>
          <x:t xml:space="preserve">Required</x:t>
        </x:is>
      </x:c>
      <x:c r="G101" s="6" t="inlineStr">
        <x:is>
          <x:t xml:space="preserve">کلینیک تخصصی شبانه‌روزی</x:t>
        </x:is>
      </x:c>
      <x:c r="H101" s="6" t="inlineStr">
        <x:is>
          <x:t xml:space="preserve">Tier1/Tier2/Tier3 + لیست آزاد</x:t>
        </x:is>
      </x:c>
      <x:c r="I101" s="6" t="inlineStr">
        <x:is>
          <x:t xml:space="preserve">فرم استعلام</x:t>
        </x:is>
      </x:c>
      <x:c r="J101" s="6" t="inlineStr">
        <x:is>
          <x:t xml:space="preserve">استانداردسازی</x:t>
        </x:is>
      </x:c>
      <x:c r="K101" s="6" t="inlineStr">
        <x:is>
          <x:t xml:space="preserve">عضویت در لیست</x:t>
        </x:is>
      </x:c>
      <x:c r="L101" s="19" t="inlineStr">
        <x:is>
          <x:t xml:space="preserve">None</x:t>
        </x:is>
      </x:c>
      <x:c r="M101" s="19" t="inlineStr">
        <x:is>
          <x:t xml:space="preserve">No</x:t>
        </x:is>
      </x:c>
      <x:c r="N101" s="6" t="inlineStr">
        <x:is>
          <x:t xml:space="preserve">GA4, CRM</x:t>
        </x:is>
      </x:c>
      <x:c r="O101" s="6" t="inlineStr">
        <x:is>
          <x:t xml:space="preserve"/>
        </x:is>
      </x:c>
      <x:c r="P101" s="30" t="str">
        <x:v>EVP-100</x:v>
      </x:c>
      <x:c r="Q101" s="30" t="str">
        <x:v>EVT-17</x:v>
      </x:c>
      <x:c r="R101" s="30" t="str">
        <x:v>W2</x:v>
      </x:c>
      <x:c r="S101" s="30" t="str">
        <x:v>Analytics Engineer</x:v>
      </x:c>
      <x:c r="T101" s="30" t="str">
        <x:v>Proposed</x:v>
      </x:c>
    </x:row>
    <x:row r="102">
      <x:c r="A102" s="17" t="inlineStr">
        <x:is>
          <x:t xml:space="preserve">EVT-17</x:t>
        </x:is>
      </x:c>
      <x:c r="B102" s="4" t="inlineStr">
        <x:is>
          <x:t xml:space="preserve">total_inquiry_skus_count</x:t>
        </x:is>
      </x:c>
      <x:c r="C102" s="4" t="inlineStr">
        <x:is>
          <x:t xml:space="preserve">تعداد SKU استعلامی</x:t>
        </x:is>
      </x:c>
      <x:c r="D102" s="4" t="inlineStr">
        <x:is>
          <x:t xml:space="preserve">تعداد اقلام لیست</x:t>
        </x:is>
      </x:c>
      <x:c r="E102" s="4" t="inlineStr">
        <x:is>
          <x:t xml:space="preserve">Integer</x:t>
        </x:is>
      </x:c>
      <x:c r="F102" s="17" t="inlineStr">
        <x:is>
          <x:t xml:space="preserve">Required</x:t>
        </x:is>
      </x:c>
      <x:c r="G102" s="4" t="inlineStr">
        <x:is>
          <x:t xml:space="preserve">8</x:t>
        </x:is>
      </x:c>
      <x:c r="H102" s="4" t="inlineStr">
        <x:is>
          <x:t xml:space="preserve">&gt; 0</x:t>
        </x:is>
      </x:c>
      <x:c r="I102" s="4" t="inlineStr">
        <x:is>
          <x:t xml:space="preserve">فرم استعلام</x:t>
        </x:is>
      </x:c>
      <x:c r="J102" s="4" t="inlineStr">
        <x:is>
          <x:t xml:space="preserve">COUNT</x:t>
        </x:is>
      </x:c>
      <x:c r="K102" s="4" t="inlineStr">
        <x:is>
          <x:t xml:space="preserve">&gt;= 1</x:t>
        </x:is>
      </x:c>
      <x:c r="L102" s="17" t="inlineStr">
        <x:is>
          <x:t xml:space="preserve">None</x:t>
        </x:is>
      </x:c>
      <x:c r="M102" s="17" t="inlineStr">
        <x:is>
          <x:t xml:space="preserve">No</x:t>
        </x:is>
      </x:c>
      <x:c r="N102" s="4" t="inlineStr">
        <x:is>
          <x:t xml:space="preserve">GA4, DWH</x:t>
        </x:is>
      </x:c>
      <x:c r="O102" s="4" t="inlineStr">
        <x:is>
          <x:t xml:space="preserve"/>
        </x:is>
      </x:c>
      <x:c r="P102" s="30" t="str">
        <x:v>EVP-101</x:v>
      </x:c>
      <x:c r="Q102" s="30" t="str">
        <x:v>EVT-17</x:v>
      </x:c>
      <x:c r="R102" s="30" t="str">
        <x:v>W2</x:v>
      </x:c>
      <x:c r="S102" s="30" t="str">
        <x:v>Analytics Engineer</x:v>
      </x:c>
      <x:c r="T102" s="30" t="str">
        <x:v>Proposed</x:v>
      </x:c>
    </x:row>
    <x:row r="103">
      <x:c r="A103" s="19" t="inlineStr">
        <x:is>
          <x:t xml:space="preserve">EVT-17</x:t>
        </x:is>
      </x:c>
      <x:c r="B103" s="6" t="inlineStr">
        <x:is>
          <x:t xml:space="preserve">target_procurement_date</x:t>
        </x:is>
      </x:c>
      <x:c r="C103" s="6" t="inlineStr">
        <x:is>
          <x:t xml:space="preserve">تاریخ هدف خرید</x:t>
        </x:is>
      </x:c>
      <x:c r="D103" s="6" t="inlineStr">
        <x:is>
          <x:t xml:space="preserve">زمان موردنظر تدارک</x:t>
        </x:is>
      </x:c>
      <x:c r="E103" s="6" t="inlineStr">
        <x:is>
          <x:t xml:space="preserve">Date</x:t>
        </x:is>
      </x:c>
      <x:c r="F103" s="19" t="inlineStr">
        <x:is>
          <x:t xml:space="preserve">Optional</x:t>
        </x:is>
      </x:c>
      <x:c r="G103" s="6" t="inlineStr">
        <x:is>
          <x:t xml:space="preserve">2026-11-15</x:t>
        </x:is>
      </x:c>
      <x:c r="H103" s="6" t="inlineStr">
        <x:is>
          <x:t xml:space="preserve">—</x:t>
        </x:is>
      </x:c>
      <x:c r="I103" s="6" t="inlineStr">
        <x:is>
          <x:t xml:space="preserve">فرم استعلام</x:t>
        </x:is>
      </x:c>
      <x:c r="J103" s="6" t="inlineStr">
        <x:is>
          <x:t xml:space="preserve">ISO-8601</x:t>
        </x:is>
      </x:c>
      <x:c r="K103" s="6" t="inlineStr">
        <x:is>
          <x:t xml:space="preserve">مستقبل یا حال</x:t>
        </x:is>
      </x:c>
      <x:c r="L103" s="19" t="inlineStr">
        <x:is>
          <x:t xml:space="preserve">PII-1</x:t>
        </x:is>
      </x:c>
      <x:c r="M103" s="19" t="inlineStr">
        <x:is>
          <x:t xml:space="preserve">No</x:t>
        </x:is>
      </x:c>
      <x:c r="N103" s="6" t="inlineStr">
        <x:is>
          <x:t xml:space="preserve">CRM</x:t>
        </x:is>
      </x:c>
      <x:c r="O103" s="6" t="inlineStr">
        <x:is>
          <x:t xml:space="preserve"/>
        </x:is>
      </x:c>
      <x:c r="P103" s="30" t="str">
        <x:v>EVP-102</x:v>
      </x:c>
      <x:c r="Q103" s="30" t="str">
        <x:v>EVT-17</x:v>
      </x:c>
      <x:c r="R103" s="30" t="str">
        <x:v>W2</x:v>
      </x:c>
      <x:c r="S103" s="30" t="str">
        <x:v>Analytics Engineer</x:v>
      </x:c>
      <x:c r="T103" s="30" t="str">
        <x:v>Proposed</x:v>
      </x:c>
    </x:row>
    <x:row r="104">
      <x:c r="A104" s="17" t="inlineStr">
        <x:is>
          <x:t xml:space="preserve">EVT-17</x:t>
        </x:is>
      </x:c>
      <x:c r="B104" s="4" t="inlineStr">
        <x:is>
          <x:t xml:space="preserve">payment_preference</x:t>
        </x:is>
      </x:c>
      <x:c r="C104" s="4" t="inlineStr">
        <x:is>
          <x:t xml:space="preserve">ترجیح پرداخت</x:t>
        </x:is>
      </x:c>
      <x:c r="D104" s="4" t="inlineStr">
        <x:is>
          <x:t xml:space="preserve">شیوه پرداخت دلخواه</x:t>
        </x:is>
      </x:c>
      <x:c r="E104" s="4" t="inlineStr">
        <x:is>
          <x:t xml:space="preserve">Enum</x:t>
        </x:is>
      </x:c>
      <x:c r="F104" s="17" t="inlineStr">
        <x:is>
          <x:t xml:space="preserve">Optional</x:t>
        </x:is>
      </x:c>
      <x:c r="G104" s="4" t="inlineStr">
        <x:is>
          <x:t xml:space="preserve">check_installment</x:t>
        </x:is>
      </x:c>
      <x:c r="H104" s="4" t="inlineStr">
        <x:is>
          <x:t xml:space="preserve">cash/check/online/credit</x:t>
        </x:is>
      </x:c>
      <x:c r="I104" s="4" t="inlineStr">
        <x:is>
          <x:t xml:space="preserve">فرم استعلام</x:t>
        </x:is>
      </x:c>
      <x:c r="J104" s="4" t="inlineStr">
        <x:is>
          <x:t xml:space="preserve">استانداردسازی</x:t>
        </x:is>
      </x:c>
      <x:c r="K104" s="4" t="inlineStr">
        <x:is>
          <x:t xml:space="preserve">عضویت در لیست</x:t>
        </x:is>
      </x:c>
      <x:c r="L104" s="17" t="inlineStr">
        <x:is>
          <x:t xml:space="preserve">None</x:t>
        </x:is>
      </x:c>
      <x:c r="M104" s="17" t="inlineStr">
        <x:is>
          <x:t xml:space="preserve">No</x:t>
        </x:is>
      </x:c>
      <x:c r="N104" s="4" t="inlineStr">
        <x:is>
          <x:t xml:space="preserve">CRM</x:t>
        </x:is>
      </x:c>
      <x:c r="O104" s="4" t="inlineStr">
        <x:is>
          <x:t xml:space="preserve"/>
        </x:is>
      </x:c>
      <x:c r="P104" s="30" t="str">
        <x:v>EVP-103</x:v>
      </x:c>
      <x:c r="Q104" s="30" t="str">
        <x:v>EVT-17</x:v>
      </x:c>
      <x:c r="R104" s="30" t="str">
        <x:v>W2</x:v>
      </x:c>
      <x:c r="S104" s="30" t="str">
        <x:v>Analytics Engineer</x:v>
      </x:c>
      <x:c r="T104" s="30" t="str">
        <x:v>Proposed</x:v>
      </x:c>
    </x:row>
    <x:row r="105">
      <x:c r="A105" s="19" t="inlineStr">
        <x:is>
          <x:t xml:space="preserve">EVT-18</x:t>
        </x:is>
      </x:c>
      <x:c r="B105" s="6" t="inlineStr">
        <x:is>
          <x:t xml:space="preserve">demo_id</x:t>
        </x:is>
      </x:c>
      <x:c r="C105" s="6" t="inlineStr">
        <x:is>
          <x:t xml:space="preserve">شناسه دمو</x:t>
        </x:is>
      </x:c>
      <x:c r="D105" s="6" t="inlineStr">
        <x:is>
          <x:t xml:space="preserve">کد یکتای درخواست دمو</x:t>
        </x:is>
      </x:c>
      <x:c r="E105" s="6" t="inlineStr">
        <x:is>
          <x:t xml:space="preserve">String</x:t>
        </x:is>
      </x:c>
      <x:c r="F105" s="19" t="inlineStr">
        <x:is>
          <x:t xml:space="preserve">Required</x:t>
        </x:is>
      </x:c>
      <x:c r="G105" s="6" t="inlineStr">
        <x:is>
          <x:t xml:space="preserve">DEMO-8819</x:t>
        </x:is>
      </x:c>
      <x:c r="H105" s="6" t="inlineStr">
        <x:is>
          <x:t xml:space="preserve">—</x:t>
        </x:is>
      </x:c>
      <x:c r="I105" s="6" t="inlineStr">
        <x:is>
          <x:t xml:space="preserve">جدول هماهنگی جلسات</x:t>
        </x:is>
      </x:c>
      <x:c r="J105" s="6" t="inlineStr">
        <x:is>
          <x:t xml:space="preserve">هیچ</x:t>
        </x:is>
      </x:c>
      <x:c r="K105" s="6" t="inlineStr">
        <x:is>
          <x:t xml:space="preserve">فرمت DEMO-*؛ یکتا</x:t>
        </x:is>
      </x:c>
      <x:c r="L105" s="19" t="inlineStr">
        <x:is>
          <x:t xml:space="preserve">None</x:t>
        </x:is>
      </x:c>
      <x:c r="M105" s="19" t="inlineStr">
        <x:is>
          <x:t xml:space="preserve">Yes</x:t>
        </x:is>
      </x:c>
      <x:c r="N105" s="6" t="inlineStr">
        <x:is>
          <x:t xml:space="preserve">GA4, CAPI, CRM, DWH</x:t>
        </x:is>
      </x:c>
      <x:c r="O105" s="6" t="inlineStr">
        <x:is>
          <x:t xml:space="preserve"/>
        </x:is>
      </x:c>
      <x:c r="P105" s="30" t="str">
        <x:v>EVP-104</x:v>
      </x:c>
      <x:c r="Q105" s="30" t="str">
        <x:v>EVT-18</x:v>
      </x:c>
      <x:c r="R105" s="30" t="str">
        <x:v>W2</x:v>
      </x:c>
      <x:c r="S105" s="30" t="str">
        <x:v>Analytics Engineer</x:v>
      </x:c>
      <x:c r="T105" s="30" t="str">
        <x:v>Proposed</x:v>
      </x:c>
    </x:row>
    <x:row r="106">
      <x:c r="A106" s="17" t="inlineStr">
        <x:is>
          <x:t xml:space="preserve">EVT-18</x:t>
        </x:is>
      </x:c>
      <x:c r="B106" s="4" t="inlineStr">
        <x:is>
          <x:t xml:space="preserve">equipment_sku</x:t>
        </x:is>
      </x:c>
      <x:c r="C106" s="4" t="inlineStr">
        <x:is>
          <x:t xml:space="preserve">SKU تجهیزات</x:t>
        </x:is>
      </x:c>
      <x:c r="D106" s="4" t="inlineStr">
        <x:is>
          <x:t xml:space="preserve">کد دستگاه دمو</x:t>
        </x:is>
      </x:c>
      <x:c r="E106" s="4" t="inlineStr">
        <x:is>
          <x:t xml:space="preserve">String</x:t>
        </x:is>
      </x:c>
      <x:c r="F106" s="17" t="inlineStr">
        <x:is>
          <x:t xml:space="preserve">Required</x:t>
        </x:is>
      </x:c>
      <x:c r="G106" s="4" t="inlineStr">
        <x:is>
          <x:t xml:space="preserve">SKU-UNIT-01</x:t>
        </x:is>
      </x:c>
      <x:c r="H106" s="4" t="inlineStr">
        <x:is>
          <x:t xml:space="preserve">—</x:t>
        </x:is>
      </x:c>
      <x:c r="I106" s="4" t="inlineStr">
        <x:is>
          <x:t xml:space="preserve">کاتالوگ</x:t>
        </x:is>
      </x:c>
      <x:c r="J106" s="4" t="inlineStr">
        <x:is>
          <x:t xml:space="preserve">مطابحت SKU تجهیزات</x:t>
        </x:is>
      </x:c>
      <x:c r="K106" s="4" t="inlineStr">
        <x:is>
          <x:t xml:space="preserve">فرمت SKU-*</x:t>
        </x:is>
      </x:c>
      <x:c r="L106" s="17" t="inlineStr">
        <x:is>
          <x:t xml:space="preserve">None</x:t>
        </x:is>
      </x:c>
      <x:c r="M106" s="17" t="inlineStr">
        <x:is>
          <x:t xml:space="preserve">No</x:t>
        </x:is>
      </x:c>
      <x:c r="N106" s="4" t="inlineStr">
        <x:is>
          <x:t xml:space="preserve">GA4, CRM</x:t>
        </x:is>
      </x:c>
      <x:c r="O106" s="4" t="inlineStr">
        <x:is>
          <x:t xml:space="preserve"/>
        </x:is>
      </x:c>
      <x:c r="P106" s="30" t="str">
        <x:v>EVP-105</x:v>
      </x:c>
      <x:c r="Q106" s="30" t="str">
        <x:v>EVT-18</x:v>
      </x:c>
      <x:c r="R106" s="30" t="str">
        <x:v>W2</x:v>
      </x:c>
      <x:c r="S106" s="30" t="str">
        <x:v>Analytics Engineer</x:v>
      </x:c>
      <x:c r="T106" s="30" t="str">
        <x:v>Proposed</x:v>
      </x:c>
    </x:row>
    <x:row r="107">
      <x:c r="A107" s="19" t="inlineStr">
        <x:is>
          <x:t xml:space="preserve">EVT-18</x:t>
        </x:is>
      </x:c>
      <x:c r="B107" s="6" t="inlineStr">
        <x:is>
          <x:t xml:space="preserve">equipment_name</x:t>
        </x:is>
      </x:c>
      <x:c r="C107" s="6" t="inlineStr">
        <x:is>
          <x:t xml:space="preserve">نام تجهیزات</x:t>
        </x:is>
      </x:c>
      <x:c r="D107" s="6" t="inlineStr">
        <x:is>
          <x:t xml:space="preserve">نام تجاری دستگاه</x:t>
        </x:is>
      </x:c>
      <x:c r="E107" s="6" t="inlineStr">
        <x:is>
          <x:t xml:space="preserve">String</x:t>
        </x:is>
      </x:c>
      <x:c r="F107" s="19" t="inlineStr">
        <x:is>
          <x:t xml:space="preserve">Optional</x:t>
        </x:is>
      </x:c>
      <x:c r="G107" s="6" t="inlineStr">
        <x:is>
          <x:t xml:space="preserve">یونیت فخرسینا مدل ارتو پلاس</x:t>
        </x:is>
      </x:c>
      <x:c r="H107" s="6" t="inlineStr">
        <x:is>
          <x:t xml:space="preserve">—</x:t>
        </x:is>
      </x:c>
      <x:c r="I107" s="6" t="inlineStr">
        <x:is>
          <x:t xml:space="preserve">کاتالوگ</x:t>
        </x:is>
      </x:c>
      <x:c r="J107" s="6" t="inlineStr">
        <x:is>
          <x:t xml:space="preserve">ترمیم</x:t>
        </x:is>
      </x:c>
      <x:c r="K107" s="6" t="inlineStr">
        <x:is>
          <x:t xml:space="preserve">—</x:t>
        </x:is>
      </x:c>
      <x:c r="L107" s="19" t="inlineStr">
        <x:is>
          <x:t xml:space="preserve">None</x:t>
        </x:is>
      </x:c>
      <x:c r="M107" s="19" t="inlineStr">
        <x:is>
          <x:t xml:space="preserve">No</x:t>
        </x:is>
      </x:c>
      <x:c r="N107" s="6" t="inlineStr">
        <x:is>
          <x:t xml:space="preserve">GA4</x:t>
        </x:is>
      </x:c>
      <x:c r="O107" s="6" t="inlineStr">
        <x:is>
          <x:t xml:space="preserve"/>
        </x:is>
      </x:c>
      <x:c r="P107" s="30" t="str">
        <x:v>EVP-106</x:v>
      </x:c>
      <x:c r="Q107" s="30" t="str">
        <x:v>EVT-18</x:v>
      </x:c>
      <x:c r="R107" s="30" t="str">
        <x:v>W2</x:v>
      </x:c>
      <x:c r="S107" s="30" t="str">
        <x:v>Analytics Engineer</x:v>
      </x:c>
      <x:c r="T107" s="30" t="str">
        <x:v>Proposed</x:v>
      </x:c>
    </x:row>
    <x:row r="108">
      <x:c r="A108" s="17" t="inlineStr">
        <x:is>
          <x:t xml:space="preserve">EVT-18</x:t>
        </x:is>
      </x:c>
      <x:c r="B108" s="4" t="inlineStr">
        <x:is>
          <x:t xml:space="preserve">preferred_demo_city</x:t>
        </x:is>
      </x:c>
      <x:c r="C108" s="4" t="inlineStr">
        <x:is>
          <x:t xml:space="preserve">شهر دمو</x:t>
        </x:is>
      </x:c>
      <x:c r="D108" s="4" t="inlineStr">
        <x:is>
          <x:t xml:space="preserve">محل درخواستی</x:t>
        </x:is>
      </x:c>
      <x:c r="E108" s="4" t="inlineStr">
        <x:is>
          <x:t xml:space="preserve">String</x:t>
        </x:is>
      </x:c>
      <x:c r="F108" s="17" t="inlineStr">
        <x:is>
          <x:t xml:space="preserve">Optional</x:t>
        </x:is>
      </x:c>
      <x:c r="G108" s="4" t="inlineStr">
        <x:is>
          <x:t xml:space="preserve">تهران</x:t>
        </x:is>
      </x:c>
      <x:c r="H108" s="4" t="inlineStr">
        <x:is>
          <x:t xml:space="preserve">—</x:t>
        </x:is>
      </x:c>
      <x:c r="I108" s="4" t="inlineStr">
        <x:is>
          <x:t xml:space="preserve">فرم دمو</x:t>
        </x:is>
      </x:c>
      <x:c r="J108" s="4" t="inlineStr">
        <x:is>
          <x:t xml:space="preserve">استاندارد تقسیمات</x:t>
        </x:is>
      </x:c>
      <x:c r="K108" s="4" t="inlineStr">
        <x:is>
          <x:t xml:space="preserve">مطابحت جدول شهر</x:t>
        </x:is>
      </x:c>
      <x:c r="L108" s="17" t="inlineStr">
        <x:is>
          <x:t xml:space="preserve">PII-2</x:t>
        </x:is>
      </x:c>
      <x:c r="M108" s="17" t="inlineStr">
        <x:is>
          <x:t xml:space="preserve">No</x:t>
        </x:is>
      </x:c>
      <x:c r="N108" s="4" t="inlineStr">
        <x:is>
          <x:t xml:space="preserve">GA4, CRM</x:t>
        </x:is>
      </x:c>
      <x:c r="O108" s="4" t="inlineStr">
        <x:is>
          <x:t xml:space="preserve"/>
        </x:is>
      </x:c>
      <x:c r="P108" s="30" t="str">
        <x:v>EVP-107</x:v>
      </x:c>
      <x:c r="Q108" s="30" t="str">
        <x:v>EVT-18</x:v>
      </x:c>
      <x:c r="R108" s="30" t="str">
        <x:v>W2</x:v>
      </x:c>
      <x:c r="S108" s="30" t="str">
        <x:v>Analytics Engineer</x:v>
      </x:c>
      <x:c r="T108" s="30" t="str">
        <x:v>Proposed</x:v>
      </x:c>
    </x:row>
    <x:row r="109">
      <x:c r="A109" s="19" t="inlineStr">
        <x:is>
          <x:t xml:space="preserve">EVT-18</x:t>
        </x:is>
      </x:c>
      <x:c r="B109" s="6" t="inlineStr">
        <x:is>
          <x:t xml:space="preserve">clinic_address</x:t>
        </x:is>
      </x:c>
      <x:c r="C109" s="6" t="inlineStr">
        <x:is>
          <x:t xml:space="preserve">آدرس کلینیک</x:t>
        </x:is>
      </x:c>
      <x:c r="D109" s="6" t="inlineStr">
        <x:is>
          <x:t xml:space="preserve">آدرس کامل (مخصوص CRM)</x:t>
        </x:is>
      </x:c>
      <x:c r="E109" s="6" t="inlineStr">
        <x:is>
          <x:t xml:space="preserve">String</x:t>
        </x:is>
      </x:c>
      <x:c r="F109" s="19" t="inlineStr">
        <x:is>
          <x:t xml:space="preserve">Optional</x:t>
        </x:is>
      </x:c>
      <x:c r="G109" s="6" t="inlineStr">
        <x:is>
          <x:t xml:space="preserve">—</x:t>
        </x:is>
      </x:c>
      <x:c r="H109" s="6" t="inlineStr">
        <x:is>
          <x:t xml:space="preserve">—</x:t>
        </x:is>
      </x:c>
      <x:c r="I109" s="6" t="inlineStr">
        <x:is>
          <x:t xml:space="preserve">فرم دمو</x:t>
        </x:is>
      </x:c>
      <x:c r="J109" s="6" t="inlineStr">
        <x:is>
          <x:t xml:space="preserve">فقط در CRM؛ عدم ارسال به ادز</x:t>
        </x:is>
      </x:c>
      <x:c r="K109" s="6" t="inlineStr">
        <x:is>
          <x:t xml:space="preserve">—</x:t>
        </x:is>
      </x:c>
      <x:c r="L109" s="19" t="inlineStr">
        <x:is>
          <x:t xml:space="preserve">PII-3</x:t>
        </x:is>
      </x:c>
      <x:c r="M109" s="19" t="inlineStr">
        <x:is>
          <x:t xml:space="preserve">No</x:t>
        </x:is>
      </x:c>
      <x:c r="N109" s="6" t="inlineStr">
        <x:is>
          <x:t xml:space="preserve">CRM Only</x:t>
        </x:is>
      </x:c>
      <x:c r="O109" s="6" t="inlineStr">
        <x:is>
          <x:t xml:space="preserve">عدم ارسال به CAPI</x:t>
        </x:is>
      </x:c>
      <x:c r="P109" s="30" t="str">
        <x:v>EVP-108</x:v>
      </x:c>
      <x:c r="Q109" s="30" t="str">
        <x:v>EVT-18</x:v>
      </x:c>
      <x:c r="R109" s="30" t="str">
        <x:v>W2</x:v>
      </x:c>
      <x:c r="S109" s="30" t="str">
        <x:v>Analytics Engineer</x:v>
      </x:c>
      <x:c r="T109" s="30" t="str">
        <x:v>Proposed</x:v>
      </x:c>
    </x:row>
    <x:row r="110">
      <x:c r="A110" s="17" t="inlineStr">
        <x:is>
          <x:t xml:space="preserve">EVT-18</x:t>
        </x:is>
      </x:c>
      <x:c r="B110" s="4" t="inlineStr">
        <x:is>
          <x:t xml:space="preserve">doctor_specialty</x:t>
        </x:is>
      </x:c>
      <x:c r="C110" s="4" t="inlineStr">
        <x:is>
          <x:t xml:space="preserve">تخصص پزشک</x:t>
        </x:is>
      </x:c>
      <x:c r="D110" s="4" t="inlineStr">
        <x:is>
          <x:t xml:space="preserve">بورد تخصصی</x:t>
        </x:is>
      </x:c>
      <x:c r="E110" s="4" t="inlineStr">
        <x:is>
          <x:t xml:space="preserve">Enum</x:t>
        </x:is>
      </x:c>
      <x:c r="F110" s="17" t="inlineStr">
        <x:is>
          <x:t xml:space="preserve">Optional</x:t>
        </x:is>
      </x:c>
      <x:c r="G110" s="4" t="inlineStr">
        <x:is>
          <x:t xml:space="preserve">surgery</x:t>
        </x:is>
      </x:c>
      <x:c r="H110" s="4" t="inlineStr">
        <x:is>
          <x:t xml:space="preserve">لیست بورد‌ها</x:t>
        </x:is>
      </x:c>
      <x:c r="I110" s="4" t="inlineStr">
        <x:is>
          <x:t xml:space="preserve">فرم دمو</x:t>
        </x:is>
      </x:c>
      <x:c r="J110" s="4" t="inlineStr">
        <x:is>
          <x:t xml:space="preserve">استانداردسازی</x:t>
        </x:is>
      </x:c>
      <x:c r="K110" s="4" t="inlineStr">
        <x:is>
          <x:t xml:space="preserve">عضویت در لیست</x:t>
        </x:is>
      </x:c>
      <x:c r="L110" s="17" t="inlineStr">
        <x:is>
          <x:t xml:space="preserve">PII-2</x:t>
        </x:is>
      </x:c>
      <x:c r="M110" s="17" t="inlineStr">
        <x:is>
          <x:t xml:space="preserve">No</x:t>
        </x:is>
      </x:c>
      <x:c r="N110" s="4" t="inlineStr">
        <x:is>
          <x:t xml:space="preserve">CRM</x:t>
        </x:is>
      </x:c>
      <x:c r="O110" s="4" t="inlineStr">
        <x:is>
          <x:t xml:space="preserve"/>
        </x:is>
      </x:c>
      <x:c r="P110" s="30" t="str">
        <x:v>EVP-109</x:v>
      </x:c>
      <x:c r="Q110" s="30" t="str">
        <x:v>EVT-18</x:v>
      </x:c>
      <x:c r="R110" s="30" t="str">
        <x:v>W2</x:v>
      </x:c>
      <x:c r="S110" s="30" t="str">
        <x:v>Analytics Engineer</x:v>
      </x:c>
      <x:c r="T110" s="30" t="str">
        <x:v>Proposed</x:v>
      </x:c>
    </x:row>
    <x:row r="111">
      <x:c r="A111" s="19" t="inlineStr">
        <x:is>
          <x:t xml:space="preserve">EVT-19</x:t>
        </x:is>
      </x:c>
      <x:c r="B111" s="6" t="inlineStr">
        <x:is>
          <x:t xml:space="preserve">booking_id</x:t>
        </x:is>
      </x:c>
      <x:c r="C111" s="6" t="inlineStr">
        <x:is>
          <x:t xml:space="preserve">شناسه رزرو</x:t>
        </x:is>
      </x:c>
      <x:c r="D111" s="6" t="inlineStr">
        <x:is>
          <x:t xml:space="preserve">کد یکتای رزرو</x:t>
        </x:is>
      </x:c>
      <x:c r="E111" s="6" t="inlineStr">
        <x:is>
          <x:t xml:space="preserve">String</x:t>
        </x:is>
      </x:c>
      <x:c r="F111" s="19" t="inlineStr">
        <x:is>
          <x:t xml:space="preserve">Required</x:t>
        </x:is>
      </x:c>
      <x:c r="G111" s="6" t="inlineStr">
        <x:is>
          <x:t xml:space="preserve">BK-2026-302</x:t>
        </x:is>
      </x:c>
      <x:c r="H111" s="6" t="inlineStr">
        <x:is>
          <x:t xml:space="preserve">—</x:t>
        </x:is>
      </x:c>
      <x:c r="I111" s="6" t="inlineStr">
        <x:is>
          <x:t xml:space="preserve">پنل رزرواسیون</x:t>
        </x:is>
      </x:c>
      <x:c r="J111" s="6" t="inlineStr">
        <x:is>
          <x:t xml:space="preserve">هیچ</x:t>
        </x:is>
      </x:c>
      <x:c r="K111" s="6" t="inlineStr">
        <x:is>
          <x:t xml:space="preserve">فرمت BK-*؛ یکتا</x:t>
        </x:is>
      </x:c>
      <x:c r="L111" s="19" t="inlineStr">
        <x:is>
          <x:t xml:space="preserve">None</x:t>
        </x:is>
      </x:c>
      <x:c r="M111" s="19" t="inlineStr">
        <x:is>
          <x:t xml:space="preserve">Yes</x:t>
        </x:is>
      </x:c>
      <x:c r="N111" s="6" t="inlineStr">
        <x:is>
          <x:t xml:space="preserve">GA4, CAPI, CRM, DWH</x:t>
        </x:is>
      </x:c>
      <x:c r="O111" s="6" t="inlineStr">
        <x:is>
          <x:t xml:space="preserve"/>
        </x:is>
      </x:c>
      <x:c r="P111" s="30" t="str">
        <x:v>EVP-110</x:v>
      </x:c>
      <x:c r="Q111" s="30" t="str">
        <x:v>EVT-19</x:v>
      </x:c>
      <x:c r="R111" s="30" t="str">
        <x:v>W3</x:v>
      </x:c>
      <x:c r="S111" s="30" t="str">
        <x:v>Analytics Engineer</x:v>
      </x:c>
      <x:c r="T111" s="30" t="str">
        <x:v>Proposed</x:v>
      </x:c>
    </x:row>
    <x:row r="112">
      <x:c r="A112" s="17" t="inlineStr">
        <x:is>
          <x:t xml:space="preserve">EVT-19</x:t>
        </x:is>
      </x:c>
      <x:c r="B112" s="4" t="inlineStr">
        <x:is>
          <x:t xml:space="preserve">scheduled_time</x:t>
        </x:is>
      </x:c>
      <x:c r="C112" s="4" t="inlineStr">
        <x:is>
          <x:t xml:space="preserve">زمان رزرو</x:t>
        </x:is>
      </x:c>
      <x:c r="D112" s="4" t="inlineStr">
        <x:is>
          <x:t xml:space="preserve">زمان تماس مصوب</x:t>
        </x:is>
      </x:c>
      <x:c r="E112" s="4" t="inlineStr">
        <x:is>
          <x:t xml:space="preserve">Timestamp (UTC)</x:t>
        </x:is>
      </x:c>
      <x:c r="F112" s="17" t="inlineStr">
        <x:is>
          <x:t xml:space="preserve">Required</x:t>
        </x:is>
      </x:c>
      <x:c r="G112" s="4" t="inlineStr">
        <x:is>
          <x:t xml:space="preserve">2026-09-22T14:00:00Z</x:t>
        </x:is>
      </x:c>
      <x:c r="H112" s="4" t="inlineStr">
        <x:is>
          <x:t xml:space="preserve">—</x:t>
        </x:is>
      </x:c>
      <x:c r="I112" s="4" t="inlineStr">
        <x:is>
          <x:t xml:space="preserve">پنل رزرواسیون</x:t>
        </x:is>
      </x:c>
      <x:c r="J112" s="4" t="inlineStr">
        <x:is>
          <x:t xml:space="preserve">ISO-8601 UTC</x:t>
        </x:is>
      </x:c>
      <x:c r="K112" s="4" t="inlineStr">
        <x:is>
          <x:t xml:space="preserve">مستقبل</x:t>
        </x:is>
      </x:c>
      <x:c r="L112" s="17" t="inlineStr">
        <x:is>
          <x:t xml:space="preserve">PII-1</x:t>
        </x:is>
      </x:c>
      <x:c r="M112" s="17" t="inlineStr">
        <x:is>
          <x:t xml:space="preserve">No</x:t>
        </x:is>
      </x:c>
      <x:c r="N112" s="4" t="inlineStr">
        <x:is>
          <x:t xml:space="preserve">GA4, CRM</x:t>
        </x:is>
      </x:c>
      <x:c r="O112" s="4" t="inlineStr">
        <x:is>
          <x:t xml:space="preserve"/>
        </x:is>
      </x:c>
      <x:c r="P112" s="30" t="str">
        <x:v>EVP-111</x:v>
      </x:c>
      <x:c r="Q112" s="30" t="str">
        <x:v>EVT-19</x:v>
      </x:c>
      <x:c r="R112" s="30" t="str">
        <x:v>W3</x:v>
      </x:c>
      <x:c r="S112" s="30" t="str">
        <x:v>Analytics Engineer</x:v>
      </x:c>
      <x:c r="T112" s="30" t="str">
        <x:v>Proposed</x:v>
      </x:c>
    </x:row>
    <x:row r="113">
      <x:c r="A113" s="19" t="inlineStr">
        <x:is>
          <x:t xml:space="preserve">EVT-19</x:t>
        </x:is>
      </x:c>
      <x:c r="B113" s="6" t="inlineStr">
        <x:is>
          <x:t xml:space="preserve">call_topic</x:t>
        </x:is>
      </x:c>
      <x:c r="C113" s="6" t="inlineStr">
        <x:is>
          <x:t xml:space="preserve">موضوع تماس</x:t>
        </x:is>
      </x:c>
      <x:c r="D113" s="6" t="inlineStr">
        <x:is>
          <x:t xml:space="preserve">سبک مشاوره</x:t>
        </x:is>
      </x:c>
      <x:c r="E113" s="6" t="inlineStr">
        <x:is>
          <x:t xml:space="preserve">Enum</x:t>
        </x:is>
      </x:c>
      <x:c r="F113" s="19" t="inlineStr">
        <x:is>
          <x:t xml:space="preserve">Required</x:t>
        </x:is>
      </x:c>
      <x:c r="G113" s="6" t="inlineStr">
        <x:is>
          <x:t xml:space="preserve">مشاوره خرید اتوکلاو و دستگاه آب مقطرگیر</x:t>
        </x:is>
      </x:c>
      <x:c r="H113" s="6" t="inlineStr">
        <x:is>
          <x:t xml:space="preserve">لیست موضوعات استاندارد</x:t>
        </x:is>
      </x:c>
      <x:c r="I113" s="6" t="inlineStr">
        <x:is>
          <x:t xml:space="preserve">پنل رزرواسیون</x:t>
        </x:is>
      </x:c>
      <x:c r="J113" s="6" t="inlineStr">
        <x:is>
          <x:t xml:space="preserve">استانداردسازی</x:t>
        </x:is>
      </x:c>
      <x:c r="K113" s="6" t="inlineStr">
        <x:is>
          <x:t xml:space="preserve">عضویت در لیست</x:t>
        </x:is>
      </x:c>
      <x:c r="L113" s="19" t="inlineStr">
        <x:is>
          <x:t xml:space="preserve">None</x:t>
        </x:is>
      </x:c>
      <x:c r="M113" s="19" t="inlineStr">
        <x:is>
          <x:t xml:space="preserve">No</x:t>
        </x:is>
      </x:c>
      <x:c r="N113" s="6" t="inlineStr">
        <x:is>
          <x:t xml:space="preserve">GA4, CRM</x:t>
        </x:is>
      </x:c>
      <x:c r="O113" s="6" t="inlineStr">
        <x:is>
          <x:t xml:space="preserve"/>
        </x:is>
      </x:c>
      <x:c r="P113" s="30" t="str">
        <x:v>EVP-112</x:v>
      </x:c>
      <x:c r="Q113" s="30" t="str">
        <x:v>EVT-19</x:v>
      </x:c>
      <x:c r="R113" s="30" t="str">
        <x:v>W3</x:v>
      </x:c>
      <x:c r="S113" s="30" t="str">
        <x:v>Analytics Engineer</x:v>
      </x:c>
      <x:c r="T113" s="30" t="str">
        <x:v>Proposed</x:v>
      </x:c>
    </x:row>
    <x:row r="114">
      <x:c r="A114" s="17" t="inlineStr">
        <x:is>
          <x:t xml:space="preserve">EVT-19</x:t>
        </x:is>
      </x:c>
      <x:c r="B114" s="4" t="inlineStr">
        <x:is>
          <x:t xml:space="preserve">doctor_name</x:t>
        </x:is>
      </x:c>
      <x:c r="C114" s="4" t="inlineStr">
        <x:is>
          <x:t xml:space="preserve">نام دندان‌پزشک</x:t>
        </x:is>
      </x:c>
      <x:c r="D114" s="4" t="inlineStr">
        <x:is>
          <x:t xml:space="preserve">نام مخاطب</x:t>
        </x:is>
      </x:c>
      <x:c r="E114" s="4" t="inlineStr">
        <x:is>
          <x:t xml:space="preserve">String</x:t>
        </x:is>
      </x:c>
      <x:c r="F114" s="17" t="inlineStr">
        <x:is>
          <x:t xml:space="preserve">Optional</x:t>
        </x:is>
      </x:c>
      <x:c r="G114" s="4" t="inlineStr">
        <x:is>
          <x:t xml:space="preserve">—</x:t>
        </x:is>
      </x:c>
      <x:c r="H114" s="4" t="inlineStr">
        <x:is>
          <x:t xml:space="preserve">—</x:t>
        </x:is>
      </x:c>
      <x:c r="I114" s="4" t="inlineStr">
        <x:is>
          <x:t xml:space="preserve">فرم رزرو</x:t>
        </x:is>
      </x:c>
      <x:c r="J114" s="4" t="inlineStr">
        <x:is>
          <x:t xml:space="preserve">فقط CRM؛ عدم ارسال بیرون</x:t>
        </x:is>
      </x:c>
      <x:c r="K114" s="4" t="inlineStr">
        <x:is>
          <x:t xml:space="preserve">—</x:t>
        </x:is>
      </x:c>
      <x:c r="L114" s="17" t="inlineStr">
        <x:is>
          <x:t xml:space="preserve">PII-3</x:t>
        </x:is>
      </x:c>
      <x:c r="M114" s="17" t="inlineStr">
        <x:is>
          <x:t xml:space="preserve">No</x:t>
        </x:is>
      </x:c>
      <x:c r="N114" s="4" t="inlineStr">
        <x:is>
          <x:t xml:space="preserve">CRM Only</x:t>
        </x:is>
      </x:c>
      <x:c r="O114" s="4" t="inlineStr">
        <x:is>
          <x:t xml:space="preserve">عدم ارسال به CAPI</x:t>
        </x:is>
      </x:c>
      <x:c r="P114" s="30" t="str">
        <x:v>EVP-113</x:v>
      </x:c>
      <x:c r="Q114" s="30" t="str">
        <x:v>EVT-19</x:v>
      </x:c>
      <x:c r="R114" s="30" t="str">
        <x:v>W3</x:v>
      </x:c>
      <x:c r="S114" s="30" t="str">
        <x:v>Analytics Engineer</x:v>
      </x:c>
      <x:c r="T114" s="30" t="str">
        <x:v>Proposed</x:v>
      </x:c>
    </x:row>
    <x:row r="115">
      <x:c r="A115" s="19" t="inlineStr">
        <x:is>
          <x:t xml:space="preserve">EVT-19</x:t>
        </x:is>
      </x:c>
      <x:c r="B115" s="6" t="inlineStr">
        <x:is>
          <x:t xml:space="preserve">clinic_type</x:t>
        </x:is>
      </x:c>
      <x:c r="C115" s="6" t="inlineStr">
        <x:is>
          <x:t xml:space="preserve">نوع مرکز</x:t>
        </x:is>
      </x:c>
      <x:c r="D115" s="6" t="inlineStr">
        <x:is>
          <x:t xml:space="preserve">رده مرکز</x:t>
        </x:is>
      </x:c>
      <x:c r="E115" s="6" t="inlineStr">
        <x:is>
          <x:t xml:space="preserve">Enum</x:t>
        </x:is>
      </x:c>
      <x:c r="F115" s="19" t="inlineStr">
        <x:is>
          <x:t xml:space="preserve">Optional</x:t>
        </x:is>
      </x:c>
      <x:c r="G115" s="6" t="inlineStr">
        <x:is>
          <x:t xml:space="preserve">clinic</x:t>
        </x:is>
      </x:c>
      <x:c r="H115" s="6" t="inlineStr">
        <x:is>
          <x:t xml:space="preserve">solo_clinic/clinic/hospital</x:t>
        </x:is>
      </x:c>
      <x:c r="I115" s="6" t="inlineStr">
        <x:is>
          <x:t xml:space="preserve">فرم رزرو</x:t>
        </x:is>
      </x:c>
      <x:c r="J115" s="6" t="inlineStr">
        <x:is>
          <x:t xml:space="preserve">استانداردسازی</x:t>
        </x:is>
      </x:c>
      <x:c r="K115" s="6" t="inlineStr">
        <x:is>
          <x:t xml:space="preserve">عضویت در لیست</x:t>
        </x:is>
      </x:c>
      <x:c r="L115" s="19" t="inlineStr">
        <x:is>
          <x:t xml:space="preserve">None</x:t>
        </x:is>
      </x:c>
      <x:c r="M115" s="19" t="inlineStr">
        <x:is>
          <x:t xml:space="preserve">No</x:t>
        </x:is>
      </x:c>
      <x:c r="N115" s="6" t="inlineStr">
        <x:is>
          <x:t xml:space="preserve">GA4, CRM</x:t>
        </x:is>
      </x:c>
      <x:c r="O115" s="6" t="inlineStr">
        <x:is>
          <x:t xml:space="preserve"/>
        </x:is>
      </x:c>
      <x:c r="P115" s="30" t="str">
        <x:v>EVP-114</x:v>
      </x:c>
      <x:c r="Q115" s="30" t="str">
        <x:v>EVT-19</x:v>
      </x:c>
      <x:c r="R115" s="30" t="str">
        <x:v>W3</x:v>
      </x:c>
      <x:c r="S115" s="30" t="str">
        <x:v>Analytics Engineer</x:v>
      </x:c>
      <x:c r="T115" s="30" t="str">
        <x:v>Proposed</x:v>
      </x:c>
    </x:row>
    <x:row r="116">
      <x:c r="A116" s="17" t="inlineStr">
        <x:is>
          <x:t xml:space="preserve">EVT-20</x:t>
        </x:is>
      </x:c>
      <x:c r="B116" s="4" t="inlineStr">
        <x:is>
          <x:t xml:space="preserve">promotion_id</x:t>
        </x:is>
      </x:c>
      <x:c r="C116" s="4" t="inlineStr">
        <x:is>
          <x:t xml:space="preserve">شناسه پروموشن</x:t>
        </x:is>
      </x:c>
      <x:c r="D116" s="4" t="inlineStr">
        <x:is>
          <x:t xml:space="preserve">کد یکتای کمپین داخلی</x:t>
        </x:is>
      </x:c>
      <x:c r="E116" s="4" t="inlineStr">
        <x:is>
          <x:t xml:space="preserve">String</x:t>
        </x:is>
      </x:c>
      <x:c r="F116" s="17" t="inlineStr">
        <x:is>
          <x:t xml:space="preserve">Required</x:t>
        </x:is>
      </x:c>
      <x:c r="G116" s="4" t="inlineStr">
        <x:is>
          <x:t xml:space="preserve">PROMO-EXIDA-2026</x:t>
        </x:is>
      </x:c>
      <x:c r="H116" s="4" t="inlineStr">
        <x:is>
          <x:t xml:space="preserve">—</x:t>
        </x:is>
      </x:c>
      <x:c r="I116" s="4" t="inlineStr">
        <x:is>
          <x:t xml:space="preserve">سیستم بنر</x:t>
        </x:is>
      </x:c>
      <x:c r="J116" s="4" t="inlineStr">
        <x:is>
          <x:t xml:space="preserve">هیچ</x:t>
        </x:is>
      </x:c>
      <x:c r="K116" s="4" t="inlineStr">
        <x:is>
          <x:t xml:space="preserve">فرمت PROMO-*</x:t>
        </x:is>
      </x:c>
      <x:c r="L116" s="17" t="inlineStr">
        <x:is>
          <x:t xml:space="preserve">None</x:t>
        </x:is>
      </x:c>
      <x:c r="M116" s="17" t="inlineStr">
        <x:is>
          <x:t xml:space="preserve">Yes</x:t>
        </x:is>
      </x:c>
      <x:c r="N116" s="4" t="inlineStr">
        <x:is>
          <x:t xml:space="preserve">GA4, CAPI, DWH</x:t>
        </x:is>
      </x:c>
      <x:c r="O116" s="4" t="inlineStr">
        <x:is>
          <x:t xml:space="preserve"/>
        </x:is>
      </x:c>
      <x:c r="P116" s="30" t="str">
        <x:v>EVP-115</x:v>
      </x:c>
      <x:c r="Q116" s="30" t="str">
        <x:v>EVT-20</x:v>
      </x:c>
      <x:c r="R116" s="30" t="str">
        <x:v>W3</x:v>
      </x:c>
      <x:c r="S116" s="30" t="str">
        <x:v>Analytics Engineer</x:v>
      </x:c>
      <x:c r="T116" s="30" t="str">
        <x:v>Proposed</x:v>
      </x:c>
    </x:row>
    <x:row r="117">
      <x:c r="A117" s="19" t="inlineStr">
        <x:is>
          <x:t xml:space="preserve">EVT-20</x:t>
        </x:is>
      </x:c>
      <x:c r="B117" s="6" t="inlineStr">
        <x:is>
          <x:t xml:space="preserve">promotion_name</x:t>
        </x:is>
      </x:c>
      <x:c r="C117" s="6" t="inlineStr">
        <x:is>
          <x:t xml:space="preserve">نام پروموشن</x:t>
        </x:is>
      </x:c>
      <x:c r="D117" s="6" t="inlineStr">
        <x:is>
          <x:t xml:space="preserve">عنوان کمپین</x:t>
        </x:is>
      </x:c>
      <x:c r="E117" s="6" t="inlineStr">
        <x:is>
          <x:t xml:space="preserve">String</x:t>
        </x:is>
      </x:c>
      <x:c r="F117" s="19" t="inlineStr">
        <x:is>
          <x:t xml:space="preserve">Required</x:t>
        </x:is>
      </x:c>
      <x:c r="G117" s="6" t="inlineStr">
        <x:is>
          <x:t xml:space="preserve">جشنواره ویژه کنگره اکسیدا تیتانا</x:t>
        </x:is>
      </x:c>
      <x:c r="H117" s="6" t="inlineStr">
        <x:is>
          <x:t xml:space="preserve">—</x:t>
        </x:is>
      </x:c>
      <x:c r="I117" s="6" t="inlineStr">
        <x:is>
          <x:t xml:space="preserve">سیستم بنر</x:t>
        </x:is>
      </x:c>
      <x:c r="J117" s="6" t="inlineStr">
        <x:is>
          <x:t xml:space="preserve">ترمیم</x:t>
        </x:is>
      </x:c>
      <x:c r="K117" s="6" t="inlineStr">
        <x:is>
          <x:t xml:space="preserve">—</x:t>
        </x:is>
      </x:c>
      <x:c r="L117" s="19" t="inlineStr">
        <x:is>
          <x:t xml:space="preserve">None</x:t>
        </x:is>
      </x:c>
      <x:c r="M117" s="19" t="inlineStr">
        <x:is>
          <x:t xml:space="preserve">No</x:t>
        </x:is>
      </x:c>
      <x:c r="N117" s="6" t="inlineStr">
        <x:is>
          <x:t xml:space="preserve">GA4, CAPI</x:t>
        </x:is>
      </x:c>
      <x:c r="O117" s="6" t="inlineStr">
        <x:is>
          <x:t xml:space="preserve"/>
        </x:is>
      </x:c>
      <x:c r="P117" s="30" t="str">
        <x:v>EVP-116</x:v>
      </x:c>
      <x:c r="Q117" s="30" t="str">
        <x:v>EVT-20</x:v>
      </x:c>
      <x:c r="R117" s="30" t="str">
        <x:v>W3</x:v>
      </x:c>
      <x:c r="S117" s="30" t="str">
        <x:v>Analytics Engineer</x:v>
      </x:c>
      <x:c r="T117" s="30" t="str">
        <x:v>Proposed</x:v>
      </x:c>
    </x:row>
    <x:row r="118">
      <x:c r="A118" s="17" t="inlineStr">
        <x:is>
          <x:t xml:space="preserve">EVT-20</x:t>
        </x:is>
      </x:c>
      <x:c r="B118" s="4" t="inlineStr">
        <x:is>
          <x:t xml:space="preserve">creative_slot</x:t>
        </x:is>
      </x:c>
      <x:c r="C118" s="4" t="inlineStr">
        <x:is>
          <x:t xml:space="preserve">موقعیت بنر</x:t>
        </x:is>
      </x:c>
      <x:c r="D118" s="4" t="inlineStr">
        <x:is>
          <x:t xml:space="preserve">اسلات نمایش</x:t>
        </x:is>
      </x:c>
      <x:c r="E118" s="4" t="inlineStr">
        <x:is>
          <x:t xml:space="preserve">String</x:t>
        </x:is>
      </x:c>
      <x:c r="F118" s="17" t="inlineStr">
        <x:is>
          <x:t xml:space="preserve">Optional</x:t>
        </x:is>
      </x:c>
      <x:c r="G118" s="4" t="inlineStr">
        <x:is>
          <x:t xml:space="preserve">main_home_hero_banner</x:t>
        </x:is>
      </x:c>
      <x:c r="H118" s="4" t="inlineStr">
        <x:is>
          <x:t xml:space="preserve">لیست اسلات‌های استاندارد</x:t>
        </x:is>
      </x:c>
      <x:c r="I118" s="4" t="inlineStr">
        <x:is>
          <x:t xml:space="preserve">dataLayer</x:t>
        </x:is>
      </x:c>
      <x:c r="J118" s="4" t="inlineStr">
        <x:is>
          <x:t xml:space="preserve">استانداردسازی</x:t>
        </x:is>
      </x:c>
      <x:c r="K118" s="4" t="inlineStr">
        <x:is>
          <x:t xml:space="preserve">عضویت در لیست</x:t>
        </x:is>
      </x:c>
      <x:c r="L118" s="17" t="inlineStr">
        <x:is>
          <x:t xml:space="preserve">None</x:t>
        </x:is>
      </x:c>
      <x:c r="M118" s="17" t="inlineStr">
        <x:is>
          <x:t xml:space="preserve">No</x:t>
        </x:is>
      </x:c>
      <x:c r="N118" s="4" t="inlineStr">
        <x:is>
          <x:t xml:space="preserve">GA4, DWH</x:t>
        </x:is>
      </x:c>
      <x:c r="O118" s="4" t="inlineStr">
        <x:is>
          <x:t xml:space="preserve"/>
        </x:is>
      </x:c>
      <x:c r="P118" s="30" t="str">
        <x:v>EVP-117</x:v>
      </x:c>
      <x:c r="Q118" s="30" t="str">
        <x:v>EVT-20</x:v>
      </x:c>
      <x:c r="R118" s="30" t="str">
        <x:v>W3</x:v>
      </x:c>
      <x:c r="S118" s="30" t="str">
        <x:v>Analytics Engineer</x:v>
      </x:c>
      <x:c r="T118" s="30" t="str">
        <x:v>Proposed</x:v>
      </x:c>
    </x:row>
    <x:row r="119">
      <x:c r="A119" s="19" t="inlineStr">
        <x:is>
          <x:t xml:space="preserve">EVT-20</x:t>
        </x:is>
      </x:c>
      <x:c r="B119" s="6" t="inlineStr">
        <x:is>
          <x:t xml:space="preserve">items</x:t>
        </x:is>
      </x:c>
      <x:c r="C119" s="6" t="inlineStr">
        <x:is>
          <x:t xml:space="preserve">اقلام مرتبط</x:t>
        </x:is>
      </x:c>
      <x:c r="D119" s="6" t="inlineStr">
        <x:is>
          <x:t xml:space="preserve">اقلام پروموشن‌شده</x:t>
        </x:is>
      </x:c>
      <x:c r="E119" s="6" t="inlineStr">
        <x:is>
          <x:t xml:space="preserve">Array[Object]</x:t>
        </x:is>
      </x:c>
      <x:c r="F119" s="19" t="inlineStr">
        <x:is>
          <x:t xml:space="preserve">Optional</x:t>
        </x:is>
      </x:c>
      <x:c r="G119" s="6" t="inlineStr">
        <x:is>
          <x:t xml:space="preserve">[{item_id}]</x:t>
        </x:is>
      </x:c>
      <x:c r="H119" s="6" t="inlineStr">
        <x:is>
          <x:t xml:space="preserve">—</x:t>
        </x:is>
      </x:c>
      <x:c r="I119" s="6" t="inlineStr">
        <x:is>
          <x:t xml:space="preserve">سیستم پروموشن</x:t>
        </x:is>
      </x:c>
      <x:c r="J119" s="6" t="inlineStr">
        <x:is>
          <x:t xml:space="preserve">هیچ</x:t>
        </x:is>
      </x:c>
      <x:c r="K119" s="6" t="inlineStr">
        <x:is>
          <x:t xml:space="preserve">—</x:t>
        </x:is>
      </x:c>
      <x:c r="L119" s="19" t="inlineStr">
        <x:is>
          <x:t xml:space="preserve">None</x:t>
        </x:is>
      </x:c>
      <x:c r="M119" s="19" t="inlineStr">
        <x:is>
          <x:t xml:space="preserve">No</x:t>
        </x:is>
      </x:c>
      <x:c r="N119" s="6" t="inlineStr">
        <x:is>
          <x:t xml:space="preserve">GA4</x:t>
        </x:is>
      </x:c>
      <x:c r="O119" s="6" t="inlineStr">
        <x:is>
          <x:t xml:space="preserve"/>
        </x:is>
      </x:c>
      <x:c r="P119" s="30" t="str">
        <x:v>EVP-118</x:v>
      </x:c>
      <x:c r="Q119" s="30" t="str">
        <x:v>EVT-20</x:v>
      </x:c>
      <x:c r="R119" s="30" t="str">
        <x:v>W3</x:v>
      </x:c>
      <x:c r="S119" s="30" t="str">
        <x:v>Analytics Engineer</x:v>
      </x:c>
      <x:c r="T119" s="30" t="str">
        <x:v>Proposed</x:v>
      </x:c>
    </x:row>
    <x:row r="120">
      <x:c r="A120" s="17" t="inlineStr">
        <x:is>
          <x:t xml:space="preserve">EVT-21</x:t>
        </x:is>
      </x:c>
      <x:c r="B120" s="4" t="inlineStr">
        <x:is>
          <x:t xml:space="preserve">promotion_id</x:t>
        </x:is>
      </x:c>
      <x:c r="C120" s="4" t="inlineStr">
        <x:is>
          <x:t xml:space="preserve">شناسه پروموشن</x:t>
        </x:is>
      </x:c>
      <x:c r="D120" s="4" t="inlineStr">
        <x:is>
          <x:t xml:space="preserve">کد یکتای کمپین</x:t>
        </x:is>
      </x:c>
      <x:c r="E120" s="4" t="inlineStr">
        <x:is>
          <x:t xml:space="preserve">String</x:t>
        </x:is>
      </x:c>
      <x:c r="F120" s="17" t="inlineStr">
        <x:is>
          <x:t xml:space="preserve">Required</x:t>
        </x:is>
      </x:c>
      <x:c r="G120" s="4" t="inlineStr">
        <x:is>
          <x:t xml:space="preserve">PROMO-EXIDA-2026</x:t>
        </x:is>
      </x:c>
      <x:c r="H120" s="4" t="inlineStr">
        <x:is>
          <x:t xml:space="preserve">—</x:t>
        </x:is>
      </x:c>
      <x:c r="I120" s="4" t="inlineStr">
        <x:is>
          <x:t xml:space="preserve">سیستم بنر</x:t>
        </x:is>
      </x:c>
      <x:c r="J120" s="4" t="inlineStr">
        <x:is>
          <x:t xml:space="preserve">هیچ</x:t>
        </x:is>
      </x:c>
      <x:c r="K120" s="4" t="inlineStr">
        <x:is>
          <x:t xml:space="preserve">فرمت PROMO-*</x:t>
        </x:is>
      </x:c>
      <x:c r="L120" s="17" t="inlineStr">
        <x:is>
          <x:t xml:space="preserve">None</x:t>
        </x:is>
      </x:c>
      <x:c r="M120" s="17" t="inlineStr">
        <x:is>
          <x:t xml:space="preserve">Yes</x:t>
        </x:is>
      </x:c>
      <x:c r="N120" s="4" t="inlineStr">
        <x:is>
          <x:t xml:space="preserve">GA4, CAPI, DWH</x:t>
        </x:is>
      </x:c>
      <x:c r="O120" s="4" t="inlineStr">
        <x:is>
          <x:t xml:space="preserve"/>
        </x:is>
      </x:c>
      <x:c r="P120" s="30" t="str">
        <x:v>EVP-119</x:v>
      </x:c>
      <x:c r="Q120" s="30" t="str">
        <x:v>EVT-21</x:v>
      </x:c>
      <x:c r="R120" s="30" t="str">
        <x:v>W3</x:v>
      </x:c>
      <x:c r="S120" s="30" t="str">
        <x:v>Analytics Engineer</x:v>
      </x:c>
      <x:c r="T120" s="30" t="str">
        <x:v>Proposed</x:v>
      </x:c>
    </x:row>
    <x:row r="121">
      <x:c r="A121" s="19" t="inlineStr">
        <x:is>
          <x:t xml:space="preserve">EVT-21</x:t>
        </x:is>
      </x:c>
      <x:c r="B121" s="6" t="inlineStr">
        <x:is>
          <x:t xml:space="preserve">promotion_name</x:t>
        </x:is>
      </x:c>
      <x:c r="C121" s="6" t="inlineStr">
        <x:is>
          <x:t xml:space="preserve">نام پروموشن</x:t>
        </x:is>
      </x:c>
      <x:c r="D121" s="6" t="inlineStr">
        <x:is>
          <x:t xml:space="preserve">عنوان کمپین</x:t>
        </x:is>
      </x:c>
      <x:c r="E121" s="6" t="inlineStr">
        <x:is>
          <x:t xml:space="preserve">String</x:t>
        </x:is>
      </x:c>
      <x:c r="F121" s="19" t="inlineStr">
        <x:is>
          <x:t xml:space="preserve">Required</x:t>
        </x:is>
      </x:c>
      <x:c r="G121" s="6" t="inlineStr">
        <x:is>
          <x:t xml:space="preserve">جشنواره ویژه کنگره اکسیدا تیتانا</x:t>
        </x:is>
      </x:c>
      <x:c r="H121" s="6" t="inlineStr">
        <x:is>
          <x:t xml:space="preserve">—</x:t>
        </x:is>
      </x:c>
      <x:c r="I121" s="6" t="inlineStr">
        <x:is>
          <x:t xml:space="preserve">سیستم بنر</x:t>
        </x:is>
      </x:c>
      <x:c r="J121" s="6" t="inlineStr">
        <x:is>
          <x:t xml:space="preserve">ترمیم</x:t>
        </x:is>
      </x:c>
      <x:c r="K121" s="6" t="inlineStr">
        <x:is>
          <x:t xml:space="preserve">—</x:t>
        </x:is>
      </x:c>
      <x:c r="L121" s="19" t="inlineStr">
        <x:is>
          <x:t xml:space="preserve">None</x:t>
        </x:is>
      </x:c>
      <x:c r="M121" s="19" t="inlineStr">
        <x:is>
          <x:t xml:space="preserve">No</x:t>
        </x:is>
      </x:c>
      <x:c r="N121" s="6" t="inlineStr">
        <x:is>
          <x:t xml:space="preserve">GA4, CAPI</x:t>
        </x:is>
      </x:c>
      <x:c r="O121" s="6" t="inlineStr">
        <x:is>
          <x:t xml:space="preserve"/>
        </x:is>
      </x:c>
      <x:c r="P121" s="30" t="str">
        <x:v>EVP-120</x:v>
      </x:c>
      <x:c r="Q121" s="30" t="str">
        <x:v>EVT-21</x:v>
      </x:c>
      <x:c r="R121" s="30" t="str">
        <x:v>W3</x:v>
      </x:c>
      <x:c r="S121" s="30" t="str">
        <x:v>Analytics Engineer</x:v>
      </x:c>
      <x:c r="T121" s="30" t="str">
        <x:v>Proposed</x:v>
      </x:c>
    </x:row>
    <x:row r="122">
      <x:c r="A122" s="17" t="inlineStr">
        <x:is>
          <x:t xml:space="preserve">EVT-21</x:t>
        </x:is>
      </x:c>
      <x:c r="B122" s="4" t="inlineStr">
        <x:is>
          <x:t xml:space="preserve">creative_slot</x:t>
        </x:is>
      </x:c>
      <x:c r="C122" s="4" t="inlineStr">
        <x:is>
          <x:t xml:space="preserve">موقعیت بنر</x:t>
        </x:is>
      </x:c>
      <x:c r="D122" s="4" t="inlineStr">
        <x:is>
          <x:t xml:space="preserve">اسلات کلیک‌شده</x:t>
        </x:is>
      </x:c>
      <x:c r="E122" s="4" t="inlineStr">
        <x:is>
          <x:t xml:space="preserve">String</x:t>
        </x:is>
      </x:c>
      <x:c r="F122" s="17" t="inlineStr">
        <x:is>
          <x:t xml:space="preserve">Optional</x:t>
        </x:is>
      </x:c>
      <x:c r="G122" s="4" t="inlineStr">
        <x:is>
          <x:t xml:space="preserve">main_home_hero_banner</x:t>
        </x:is>
      </x:c>
      <x:c r="H122" s="4" t="inlineStr">
        <x:is>
          <x:t xml:space="preserve">لیست اسلات‌ها</x:t>
        </x:is>
      </x:c>
      <x:c r="I122" s="4" t="inlineStr">
        <x:is>
          <x:t xml:space="preserve">dataLayer</x:t>
        </x:is>
      </x:c>
      <x:c r="J122" s="4" t="inlineStr">
        <x:is>
          <x:t xml:space="preserve">استانداردسازی</x:t>
        </x:is>
      </x:c>
      <x:c r="K122" s="4" t="inlineStr">
        <x:is>
          <x:t xml:space="preserve">عضویت در لیست</x:t>
        </x:is>
      </x:c>
      <x:c r="L122" s="17" t="inlineStr">
        <x:is>
          <x:t xml:space="preserve">None</x:t>
        </x:is>
      </x:c>
      <x:c r="M122" s="17" t="inlineStr">
        <x:is>
          <x:t xml:space="preserve">No</x:t>
        </x:is>
      </x:c>
      <x:c r="N122" s="4" t="inlineStr">
        <x:is>
          <x:t xml:space="preserve">GA4</x:t>
        </x:is>
      </x:c>
      <x:c r="O122" s="4" t="inlineStr">
        <x:is>
          <x:t xml:space="preserve"/>
        </x:is>
      </x:c>
      <x:c r="P122" s="30" t="str">
        <x:v>EVP-121</x:v>
      </x:c>
      <x:c r="Q122" s="30" t="str">
        <x:v>EVT-21</x:v>
      </x:c>
      <x:c r="R122" s="30" t="str">
        <x:v>W3</x:v>
      </x:c>
      <x:c r="S122" s="30" t="str">
        <x:v>Analytics Engineer</x:v>
      </x:c>
      <x:c r="T122" s="30" t="str">
        <x:v>Proposed</x:v>
      </x:c>
    </x:row>
    <x:row r="123">
      <x:c r="A123" s="19" t="inlineStr">
        <x:is>
          <x:t xml:space="preserve">EVT-21</x:t>
        </x:is>
      </x:c>
      <x:c r="B123" s="6" t="inlineStr">
        <x:is>
          <x:t xml:space="preserve">destination_url</x:t>
        </x:is>
      </x:c>
      <x:c r="C123" s="6" t="inlineStr">
        <x:is>
          <x:t xml:space="preserve">آدرس مقصد</x:t>
        </x:is>
      </x:c>
      <x:c r="D123" s="6" t="inlineStr">
        <x:is>
          <x:t xml:space="preserve">URL هدایت پس از کلیک</x:t>
        </x:is>
      </x:c>
      <x:c r="E123" s="6" t="inlineStr">
        <x:is>
          <x:t xml:space="preserve">String</x:t>
        </x:is>
      </x:c>
      <x:c r="F123" s="19" t="inlineStr">
        <x:is>
          <x:t xml:space="preserve">Optional</x:t>
        </x:is>
      </x:c>
      <x:c r="G123" s="6" t="inlineStr">
        <x:is>
          <x:t xml:space="preserve">/offers/exida2026</x:t>
        </x:is>
      </x:c>
      <x:c r="H123" s="6" t="inlineStr">
        <x:is>
          <x:t xml:space="preserve">—</x:t>
        </x:is>
      </x:c>
      <x:c r="I123" s="6" t="inlineStr">
        <x:is>
          <x:t xml:space="preserve">dataLayer</x:t>
        </x:is>
      </x:c>
      <x:c r="J123" s="6" t="inlineStr">
        <x:is>
          <x:t xml:space="preserve">هیچ</x:t>
        </x:is>
      </x:c>
      <x:c r="K123" s="6" t="inlineStr">
        <x:is>
          <x:t xml:space="preserve">داینه تیتانا</x:t>
        </x:is>
      </x:c>
      <x:c r="L123" s="19" t="inlineStr">
        <x:is>
          <x:t xml:space="preserve">None</x:t>
        </x:is>
      </x:c>
      <x:c r="M123" s="19" t="inlineStr">
        <x:is>
          <x:t xml:space="preserve">No</x:t>
        </x:is>
      </x:c>
      <x:c r="N123" s="6" t="inlineStr">
        <x:is>
          <x:t xml:space="preserve">GA4, DWH</x:t>
        </x:is>
      </x:c>
      <x:c r="O123" s="6" t="inlineStr">
        <x:is>
          <x:t xml:space="preserve"/>
        </x:is>
      </x:c>
      <x:c r="P123" s="30" t="str">
        <x:v>EVP-122</x:v>
      </x:c>
      <x:c r="Q123" s="30" t="str">
        <x:v>EVT-21</x:v>
      </x:c>
      <x:c r="R123" s="30" t="str">
        <x:v>W3</x:v>
      </x:c>
      <x:c r="S123" s="30" t="str">
        <x:v>Analytics Engineer</x:v>
      </x:c>
      <x:c r="T123" s="30" t="str">
        <x:v>Proposed</x:v>
      </x:c>
    </x:row>
    <x:row r="124">
      <x:c r="A124" s="17" t="inlineStr">
        <x:is>
          <x:t xml:space="preserve">EVT-22</x:t>
        </x:is>
      </x:c>
      <x:c r="B124" s="4" t="inlineStr">
        <x:is>
          <x:t xml:space="preserve">search_term</x:t>
        </x:is>
      </x:c>
      <x:c r="C124" s="4" t="inlineStr">
        <x:is>
          <x:t xml:space="preserve">عبارت جستجو</x:t>
        </x:is>
      </x:c>
      <x:c r="D124" s="4" t="inlineStr">
        <x:is>
          <x:t xml:space="preserve">کوئری کاربر</x:t>
        </x:is>
      </x:c>
      <x:c r="E124" s="4" t="inlineStr">
        <x:is>
          <x:t xml:space="preserve">String</x:t>
        </x:is>
      </x:c>
      <x:c r="F124" s="17" t="inlineStr">
        <x:is>
          <x:t xml:space="preserve">Required</x:t>
        </x:is>
      </x:c>
      <x:c r="G124" s="4" t="inlineStr">
        <x:is>
          <x:t xml:space="preserve">آرتیکائین سپتودنت</x:t>
        </x:is>
      </x:c>
      <x:c r="H124" s="4" t="inlineStr">
        <x:is>
          <x:t xml:space="preserve">—</x:t>
        </x:is>
      </x:c>
      <x:c r="I124" s="4" t="inlineStr">
        <x:is>
          <x:t xml:space="preserve">نوار جستجو</x:t>
        </x:is>
      </x:c>
      <x:c r="J124" s="4" t="inlineStr">
        <x:is>
          <x:t xml:space="preserve">ترمیم + بدون اعراب اضافی</x:t>
        </x:is>
      </x:c>
      <x:c r="K124" s="4" t="inlineStr">
        <x:is>
          <x:t xml:space="preserve">حداکثر ۲۰۰ کاراکتر</x:t>
        </x:is>
      </x:c>
      <x:c r="L124" s="17" t="inlineStr">
        <x:is>
          <x:t xml:space="preserve">None</x:t>
        </x:is>
      </x:c>
      <x:c r="M124" s="17" t="inlineStr">
        <x:is>
          <x:t xml:space="preserve">No</x:t>
        </x:is>
      </x:c>
      <x:c r="N124" s="4" t="inlineStr">
        <x:is>
          <x:t xml:space="preserve">GA4, CAPI (Search), DWH</x:t>
        </x:is>
      </x:c>
      <x:c r="O124" s="4" t="inlineStr">
        <x:is>
          <x:t xml:space="preserve">ورودی Zero-Result analysis</x:t>
        </x:is>
      </x:c>
      <x:c r="P124" s="30" t="str">
        <x:v>EVP-123</x:v>
      </x:c>
      <x:c r="Q124" s="30" t="str">
        <x:v>EVT-22</x:v>
      </x:c>
      <x:c r="R124" s="30" t="str">
        <x:v>W3</x:v>
      </x:c>
      <x:c r="S124" s="30" t="str">
        <x:v>Analytics Engineer</x:v>
      </x:c>
      <x:c r="T124" s="30" t="str">
        <x:v>Proposed</x:v>
      </x:c>
    </x:row>
    <x:row r="125">
      <x:c r="A125" s="19" t="inlineStr">
        <x:is>
          <x:t xml:space="preserve">EVT-22</x:t>
        </x:is>
      </x:c>
      <x:c r="B125" s="6" t="inlineStr">
        <x:is>
          <x:t xml:space="preserve">search_results_count</x:t>
        </x:is>
      </x:c>
      <x:c r="C125" s="6" t="inlineStr">
        <x:is>
          <x:t xml:space="preserve">تعداد نتایج</x:t>
        </x:is>
      </x:c>
      <x:c r="D125" s="6" t="inlineStr">
        <x:is>
          <x:t xml:space="preserve">نتیجه جستجو</x:t>
        </x:is>
      </x:c>
      <x:c r="E125" s="6" t="inlineStr">
        <x:is>
          <x:t xml:space="preserve">Integer</x:t>
        </x:is>
      </x:c>
      <x:c r="F125" s="19" t="inlineStr">
        <x:is>
          <x:t xml:space="preserve">Optional</x:t>
        </x:is>
      </x:c>
      <x:c r="G125" s="6" t="inlineStr">
        <x:is>
          <x:t xml:space="preserve">4</x:t>
        </x:is>
      </x:c>
      <x:c r="H125" s="6" t="inlineStr">
        <x:is>
          <x:t xml:space="preserve">&gt;= 0</x:t>
        </x:is>
      </x:c>
      <x:c r="I125" s="6" t="inlineStr">
        <x:is>
          <x:t xml:space="preserve">موتور جستجو</x:t>
        </x:is>
      </x:c>
      <x:c r="J125" s="6" t="inlineStr">
        <x:is>
          <x:t xml:space="preserve">COUNT</x:t>
        </x:is>
      </x:c>
      <x:c r="K125" s="6" t="inlineStr">
        <x:is>
          <x:t xml:space="preserve">&gt;= 0</x:t>
        </x:is>
      </x:c>
      <x:c r="L125" s="19" t="inlineStr">
        <x:is>
          <x:t xml:space="preserve">None</x:t>
        </x:is>
      </x:c>
      <x:c r="M125" s="19" t="inlineStr">
        <x:is>
          <x:t xml:space="preserve">No</x:t>
        </x:is>
      </x:c>
      <x:c r="N125" s="6" t="inlineStr">
        <x:is>
          <x:t xml:space="preserve">GA4, DWH</x:t>
        </x:is>
      </x:c>
      <x:c r="O125" s="6" t="inlineStr">
        <x:is>
          <x:t xml:space="preserve">0 = Zero-Result Search</x:t>
        </x:is>
      </x:c>
      <x:c r="P125" s="30" t="str">
        <x:v>EVP-124</x:v>
      </x:c>
      <x:c r="Q125" s="30" t="str">
        <x:v>EVT-22</x:v>
      </x:c>
      <x:c r="R125" s="30" t="str">
        <x:v>W3</x:v>
      </x:c>
      <x:c r="S125" s="30" t="str">
        <x:v>Analytics Engineer</x:v>
      </x:c>
      <x:c r="T125" s="30" t="str">
        <x:v>Proposed</x:v>
      </x:c>
    </x:row>
    <x:row r="126">
      <x:c r="A126" s="17" t="inlineStr">
        <x:is>
          <x:t xml:space="preserve">EVT-22</x:t>
        </x:is>
      </x:c>
      <x:c r="B126" s="4" t="inlineStr">
        <x:is>
          <x:t xml:space="preserve">applied_filters</x:t>
        </x:is>
      </x:c>
      <x:c r="C126" s="4" t="inlineStr">
        <x:is>
          <x:t xml:space="preserve">فیلترهای اعمالی</x:t>
        </x:is>
      </x:c>
      <x:c r="D126" s="4" t="inlineStr">
        <x:is>
          <x:t xml:space="preserve">فیلترهای فعال</x:t>
        </x:is>
      </x:c>
      <x:c r="E126" s="4" t="inlineStr">
        <x:is>
          <x:t xml:space="preserve">String</x:t>
        </x:is>
      </x:c>
      <x:c r="F126" s="17" t="inlineStr">
        <x:is>
          <x:t xml:space="preserve">Optional</x:t>
        </x:is>
      </x:c>
      <x:c r="G126" s="4" t="inlineStr">
        <x:is>
          <x:t xml:space="preserve">price&lt;100m;brand=3M</x:t>
        </x:is>
      </x:c>
      <x:c r="H126" s="4" t="inlineStr">
        <x:is>
          <x:t xml:space="preserve">—</x:t>
        </x:is>
      </x:c>
      <x:c r="I126" s="4" t="inlineStr">
        <x:is>
          <x:t xml:space="preserve">نوار فیلتر</x:t>
        </x:is>
      </x:c>
      <x:c r="J126" s="4" t="inlineStr">
        <x:is>
          <x:t xml:space="preserve">join با |</x:t>
        </x:is>
      </x:c>
      <x:c r="K126" s="4" t="inlineStr">
        <x:is>
          <x:t xml:space="preserve">—</x:t>
        </x:is>
      </x:c>
      <x:c r="L126" s="17" t="inlineStr">
        <x:is>
          <x:t xml:space="preserve">None</x:t>
        </x:is>
      </x:c>
      <x:c r="M126" s="17" t="inlineStr">
        <x:is>
          <x:t xml:space="preserve">No</x:t>
        </x:is>
      </x:c>
      <x:c r="N126" s="4" t="inlineStr">
        <x:is>
          <x:t xml:space="preserve">GA4, DWH</x:t>
        </x:is>
      </x:c>
      <x:c r="O126" s="4" t="inlineStr">
        <x:is>
          <x:t xml:space="preserve"/>
        </x:is>
      </x:c>
      <x:c r="P126" s="30" t="str">
        <x:v>EVP-125</x:v>
      </x:c>
      <x:c r="Q126" s="30" t="str">
        <x:v>EVT-22</x:v>
      </x:c>
      <x:c r="R126" s="30" t="str">
        <x:v>W3</x:v>
      </x:c>
      <x:c r="S126" s="30" t="str">
        <x:v>Analytics Engineer</x:v>
      </x:c>
      <x:c r="T126" s="30" t="str">
        <x:v>Proposed</x:v>
      </x:c>
    </x:row>
    <x:row r="127">
      <x:c r="A127" s="19" t="inlineStr">
        <x:is>
          <x:t xml:space="preserve">EVT-23</x:t>
        </x:is>
      </x:c>
      <x:c r="B127" s="6" t="inlineStr">
        <x:is>
          <x:t xml:space="preserve">method</x:t>
        </x:is>
      </x:c>
      <x:c r="C127" s="6" t="inlineStr">
        <x:is>
          <x:t xml:space="preserve">روش ورود</x:t>
        </x:is>
      </x:c>
      <x:c r="D127" s="6" t="inlineStr">
        <x:is>
          <x:t xml:space="preserve">OTP/رمز عبور</x:t>
        </x:is>
      </x:c>
      <x:c r="E127" s="6" t="inlineStr">
        <x:is>
          <x:t xml:space="preserve">Enum</x:t>
        </x:is>
      </x:c>
      <x:c r="F127" s="19" t="inlineStr">
        <x:is>
          <x:t xml:space="preserve">Required</x:t>
        </x:is>
      </x:c>
      <x:c r="G127" s="6" t="inlineStr">
        <x:is>
          <x:t xml:space="preserve">otp_sms</x:t>
        </x:is>
      </x:c>
      <x:c r="H127" s="6" t="inlineStr">
        <x:is>
          <x:t xml:space="preserve">otp_sms/password</x:t>
        </x:is>
      </x:c>
      <x:c r="I127" s="6" t="inlineStr">
        <x:is>
          <x:t xml:space="preserve">سیستم احراز</x:t>
        </x:is>
      </x:c>
      <x:c r="J127" s="6" t="inlineStr">
        <x:is>
          <x:t xml:space="preserve">استانداردسازی</x:t>
        </x:is>
      </x:c>
      <x:c r="K127" s="6" t="inlineStr">
        <x:is>
          <x:t xml:space="preserve">عضویت در لیست</x:t>
        </x:is>
      </x:c>
      <x:c r="L127" s="19" t="inlineStr">
        <x:is>
          <x:t xml:space="preserve">None</x:t>
        </x:is>
      </x:c>
      <x:c r="M127" s="19" t="inlineStr">
        <x:is>
          <x:t xml:space="preserve">No</x:t>
        </x:is>
      </x:c>
      <x:c r="N127" s="6" t="inlineStr">
        <x:is>
          <x:t xml:space="preserve">GA4, CAPI (UserLogin)</x:t>
        </x:is>
      </x:c>
      <x:c r="O127" s="6" t="inlineStr">
        <x:is>
          <x:t xml:space="preserve"/>
        </x:is>
      </x:c>
      <x:c r="P127" s="30" t="str">
        <x:v>EVP-126</x:v>
      </x:c>
      <x:c r="Q127" s="30" t="str">
        <x:v>EVT-23</x:v>
      </x:c>
      <x:c r="R127" s="30" t="str">
        <x:v>W3</x:v>
      </x:c>
      <x:c r="S127" s="30" t="str">
        <x:v>Analytics Engineer</x:v>
      </x:c>
      <x:c r="T127" s="30" t="str">
        <x:v>Proposed</x:v>
      </x:c>
    </x:row>
    <x:row r="128">
      <x:c r="A128" s="17" t="inlineStr">
        <x:is>
          <x:t xml:space="preserve">EVT-23</x:t>
        </x:is>
      </x:c>
      <x:c r="B128" s="4" t="inlineStr">
        <x:is>
          <x:t xml:space="preserve">master_customer_id</x:t>
        </x:is>
      </x:c>
      <x:c r="C128" s="4" t="inlineStr">
        <x:is>
          <x:t xml:space="preserve">شناسه مشتری</x:t>
        </x:is>
      </x:c>
      <x:c r="D128" s="4" t="inlineStr">
        <x:is>
          <x:t xml:space="preserve">Customer ID</x:t>
        </x:is>
      </x:c>
      <x:c r="E128" s="4" t="inlineStr">
        <x:is>
          <x:t xml:space="preserve">String (UUID)</x:t>
        </x:is>
      </x:c>
      <x:c r="F128" s="17" t="inlineStr">
        <x:is>
          <x:t xml:space="preserve">Required</x:t>
        </x:is>
      </x:c>
      <x:c r="G128" s="4" t="inlineStr">
        <x:is>
          <x:t xml:space="preserve">CUST-107-8841</x:t>
        </x:is>
      </x:c>
      <x:c r="H128" s="4" t="inlineStr">
        <x:is>
          <x:t xml:space="preserve">—</x:t>
        </x:is>
      </x:c>
      <x:c r="I128" s="4" t="inlineStr">
        <x:is>
          <x:t xml:space="preserve">سیستم احراز هویت</x:t>
        </x:is>
      </x:c>
      <x:c r="J128" s="4" t="inlineStr">
        <x:is>
          <x:t xml:space="preserve">هیچ</x:t>
        </x:is>
      </x:c>
      <x:c r="K128" s="4" t="inlineStr">
        <x:is>
          <x:t xml:space="preserve">فرمت CUST-107-*</x:t>
        </x:is>
      </x:c>
      <x:c r="L128" s="17" t="inlineStr">
        <x:is>
          <x:t xml:space="preserve">PII-1</x:t>
        </x:is>
      </x:c>
      <x:c r="M128" s="17" t="inlineStr">
        <x:is>
          <x:t xml:space="preserve">Yes</x:t>
        </x:is>
      </x:c>
      <x:c r="N128" s="4" t="inlineStr">
        <x:is>
          <x:t xml:space="preserve">GA4 user_id, DWH Identity</x:t>
        </x:is>
      </x:c>
      <x:c r="O128" s="4" t="inlineStr">
        <x:is>
          <x:t xml:space="preserve">Stitching سشن‌های قبلی</x:t>
        </x:is>
      </x:c>
      <x:c r="P128" s="30" t="str">
        <x:v>EVP-127</x:v>
      </x:c>
      <x:c r="Q128" s="30" t="str">
        <x:v>EVT-23</x:v>
      </x:c>
      <x:c r="R128" s="30" t="str">
        <x:v>W3</x:v>
      </x:c>
      <x:c r="S128" s="30" t="str">
        <x:v>Analytics Engineer</x:v>
      </x:c>
      <x:c r="T128" s="30" t="str">
        <x:v>Proposed</x:v>
      </x:c>
    </x:row>
    <x:row r="129">
      <x:c r="A129" s="19" t="inlineStr">
        <x:is>
          <x:t xml:space="preserve">EVT-23</x:t>
        </x:is>
      </x:c>
      <x:c r="B129" s="6" t="inlineStr">
        <x:is>
          <x:t xml:space="preserve">user_role</x:t>
        </x:is>
      </x:c>
      <x:c r="C129" s="6" t="inlineStr">
        <x:is>
          <x:t xml:space="preserve">نقش کاربر</x:t>
        </x:is>
      </x:c>
      <x:c r="D129" s="6" t="inlineStr">
        <x:is>
          <x:t xml:space="preserve">نقش شغلی</x:t>
        </x:is>
      </x:c>
      <x:c r="E129" s="6" t="inlineStr">
        <x:is>
          <x:t xml:space="preserve">Enum</x:t>
        </x:is>
      </x:c>
      <x:c r="F129" s="19" t="inlineStr">
        <x:is>
          <x:t xml:space="preserve">Optional</x:t>
        </x:is>
      </x:c>
      <x:c r="G129" s="6" t="inlineStr">
        <x:is>
          <x:t xml:space="preserve">dentist</x:t>
        </x:is>
      </x:c>
      <x:c r="H129" s="6" t="inlineStr">
        <x:is>
          <x:t xml:space="preserve">dentist/clinic_manager/technician</x:t>
        </x:is>
      </x:c>
      <x:c r="I129" s="6" t="inlineStr">
        <x:is>
          <x:t xml:space="preserve">پروفایل</x:t>
        </x:is>
      </x:c>
      <x:c r="J129" s="6" t="inlineStr">
        <x:is>
          <x:t xml:space="preserve">استانداردسازی</x:t>
        </x:is>
      </x:c>
      <x:c r="K129" s="6" t="inlineStr">
        <x:is>
          <x:t xml:space="preserve">عضویت در لیست</x:t>
        </x:is>
      </x:c>
      <x:c r="L129" s="19" t="inlineStr">
        <x:is>
          <x:t xml:space="preserve">PII-2</x:t>
        </x:is>
      </x:c>
      <x:c r="M129" s="19" t="inlineStr">
        <x:is>
          <x:t xml:space="preserve">No</x:t>
        </x:is>
      </x:c>
      <x:c r="N129" s="6" t="inlineStr">
        <x:is>
          <x:t xml:space="preserve">GA4, DWH</x:t>
        </x:is>
      </x:c>
      <x:c r="O129" s="6" t="inlineStr">
        <x:is>
          <x:t xml:space="preserve"/>
        </x:is>
      </x:c>
      <x:c r="P129" s="30" t="str">
        <x:v>EVP-128</x:v>
      </x:c>
      <x:c r="Q129" s="30" t="str">
        <x:v>EVT-23</x:v>
      </x:c>
      <x:c r="R129" s="30" t="str">
        <x:v>W3</x:v>
      </x:c>
      <x:c r="S129" s="30" t="str">
        <x:v>Analytics Engineer</x:v>
      </x:c>
      <x:c r="T129" s="30" t="str">
        <x:v>Proposed</x:v>
      </x:c>
    </x:row>
    <x:row r="130">
      <x:c r="A130" s="17" t="inlineStr">
        <x:is>
          <x:t xml:space="preserve">EVT-24</x:t>
        </x:is>
      </x:c>
      <x:c r="B130" s="4" t="inlineStr">
        <x:is>
          <x:t xml:space="preserve">method</x:t>
        </x:is>
      </x:c>
      <x:c r="C130" s="4" t="inlineStr">
        <x:is>
          <x:t xml:space="preserve">روش ثبت‌نام</x:t>
        </x:is>
      </x:c>
      <x:c r="D130" s="4" t="inlineStr">
        <x:is>
          <x:t xml:space="preserve">شیوه احراز صنفی</x:t>
        </x:is>
      </x:c>
      <x:c r="E130" s="4" t="inlineStr">
        <x:is>
          <x:t xml:space="preserve">Enum</x:t>
        </x:is>
      </x:c>
      <x:c r="F130" s="17" t="inlineStr">
        <x:is>
          <x:t xml:space="preserve">Required</x:t>
        </x:is>
      </x:c>
      <x:c r="G130" s="4" t="inlineStr">
        <x:is>
          <x:t xml:space="preserve">medical_council_verification</x:t>
        </x:is>
      </x:c>
      <x:c r="H130" s="4" t="inlineStr">
        <x:is>
          <x:t xml:space="preserve">medical_council_verification/manual_review</x:t>
        </x:is>
      </x:c>
      <x:c r="I130" s="4" t="inlineStr">
        <x:is>
          <x:t xml:space="preserve">فرم/سیستم</x:t>
        </x:is>
      </x:c>
      <x:c r="J130" s="4" t="inlineStr">
        <x:is>
          <x:t xml:space="preserve">استانداردسازی</x:t>
        </x:is>
      </x:c>
      <x:c r="K130" s="4" t="inlineStr">
        <x:is>
          <x:t xml:space="preserve">عضویت در لیست</x:t>
        </x:is>
      </x:c>
      <x:c r="L130" s="17" t="inlineStr">
        <x:is>
          <x:t xml:space="preserve">None</x:t>
        </x:is>
      </x:c>
      <x:c r="M130" s="17" t="inlineStr">
        <x:is>
          <x:t xml:space="preserve">No</x:t>
        </x:is>
      </x:c>
      <x:c r="N130" s="4" t="inlineStr">
        <x:is>
          <x:t xml:space="preserve">GA4, CAPI (CompleteRegistration)</x:t>
        </x:is>
      </x:c>
      <x:c r="O130" s="4" t="inlineStr">
        <x:is>
          <x:t xml:space="preserve"/>
        </x:is>
      </x:c>
      <x:c r="P130" s="30" t="str">
        <x:v>EVP-129</x:v>
      </x:c>
      <x:c r="Q130" s="30" t="str">
        <x:v>EVT-24</x:v>
      </x:c>
      <x:c r="R130" s="30" t="str">
        <x:v>W3</x:v>
      </x:c>
      <x:c r="S130" s="30" t="str">
        <x:v>Analytics Engineer</x:v>
      </x:c>
      <x:c r="T130" s="30" t="str">
        <x:v>Proposed</x:v>
      </x:c>
    </x:row>
    <x:row r="131">
      <x:c r="A131" s="19" t="inlineStr">
        <x:is>
          <x:t xml:space="preserve">EVT-24</x:t>
        </x:is>
      </x:c>
      <x:c r="B131" s="6" t="inlineStr">
        <x:is>
          <x:t xml:space="preserve">master_customer_id</x:t>
        </x:is>
      </x:c>
      <x:c r="C131" s="6" t="inlineStr">
        <x:is>
          <x:t xml:space="preserve">شناسه مشتری</x:t>
        </x:is>
      </x:c>
      <x:c r="D131" s="6" t="inlineStr">
        <x:is>
          <x:t xml:space="preserve">Customer ID جدید</x:t>
        </x:is>
      </x:c>
      <x:c r="E131" s="6" t="inlineStr">
        <x:is>
          <x:t xml:space="preserve">String (UUID)</x:t>
        </x:is>
      </x:c>
      <x:c r="F131" s="19" t="inlineStr">
        <x:is>
          <x:t xml:space="preserve">Required</x:t>
        </x:is>
      </x:c>
      <x:c r="G131" s="6" t="inlineStr">
        <x:is>
          <x:t xml:space="preserve">CUST-107-9102</x:t>
        </x:is>
      </x:c>
      <x:c r="H131" s="6" t="inlineStr">
        <x:is>
          <x:t xml:space="preserve">—</x:t>
        </x:is>
      </x:c>
      <x:c r="I131" s="6" t="inlineStr">
        <x:is>
          <x:t xml:space="preserve">Identity Engine</x:t>
        </x:is>
      </x:c>
      <x:c r="J131" s="6" t="inlineStr">
        <x:is>
          <x:t xml:space="preserve">هیچ</x:t>
        </x:is>
      </x:c>
      <x:c r="K131" s="6" t="inlineStr">
        <x:is>
          <x:t xml:space="preserve">فرمت CUST-107-*</x:t>
        </x:is>
      </x:c>
      <x:c r="L131" s="19" t="inlineStr">
        <x:is>
          <x:t xml:space="preserve">PII-1</x:t>
        </x:is>
      </x:c>
      <x:c r="M131" s="19" t="inlineStr">
        <x:is>
          <x:t xml:space="preserve">Yes</x:t>
        </x:is>
      </x:c>
      <x:c r="N131" s="6" t="inlineStr">
        <x:is>
          <x:t xml:space="preserve">GA4 user_id, DWH Identity</x:t>
        </x:is>
      </x:c>
      <x:c r="O131" s="6" t="inlineStr">
        <x:is>
          <x:t xml:space="preserve"/>
        </x:is>
      </x:c>
      <x:c r="P131" s="30" t="str">
        <x:v>EVP-130</x:v>
      </x:c>
      <x:c r="Q131" s="30" t="str">
        <x:v>EVT-24</x:v>
      </x:c>
      <x:c r="R131" s="30" t="str">
        <x:v>W3</x:v>
      </x:c>
      <x:c r="S131" s="30" t="str">
        <x:v>Analytics Engineer</x:v>
      </x:c>
      <x:c r="T131" s="30" t="str">
        <x:v>Proposed</x:v>
      </x:c>
    </x:row>
    <x:row r="132">
      <x:c r="A132" s="17" t="inlineStr">
        <x:is>
          <x:t xml:space="preserve">EVT-24</x:t>
        </x:is>
      </x:c>
      <x:c r="B132" s="4" t="inlineStr">
        <x:is>
          <x:t xml:space="preserve">medical_council_id</x:t>
        </x:is>
      </x:c>
      <x:c r="C132" s="4" t="inlineStr">
        <x:is>
          <x:t xml:space="preserve">شماره نظام پزشکی</x:t>
        </x:is>
      </x:c>
      <x:c r="D132" s="4" t="inlineStr">
        <x:is>
          <x:t xml:space="preserve">شماره صنفی رسمی</x:t>
        </x:is>
      </x:c>
      <x:c r="E132" s="4" t="inlineStr">
        <x:is>
          <x:t xml:space="preserve">String (Numeric)</x:t>
        </x:is>
      </x:c>
      <x:c r="F132" s="17" t="inlineStr">
        <x:is>
          <x:t xml:space="preserve">Required</x:t>
        </x:is>
      </x:c>
      <x:c r="G132" s="4" t="inlineStr">
        <x:is>
          <x:t xml:space="preserve">184920</x:t>
        </x:is>
      </x:c>
      <x:c r="H132" s="4" t="inlineStr">
        <x:is>
          <x:t xml:space="preserve">—</x:t>
        </x:is>
      </x:c>
      <x:c r="I132" s="4" t="inlineStr">
        <x:is>
          <x:t xml:space="preserve">فرم + وب‌سرویس نظام</x:t>
        </x:is>
      </x:c>
      <x:c r="J132" s="4" t="inlineStr">
        <x:is>
          <x:t xml:space="preserve">SHA-256 برای ارسال بیرونی</x:t>
        </x:is>
      </x:c>
      <x:c r="K132" s="4" t="inlineStr">
        <x:is>
          <x:t xml:space="preserve">اعتبارسنجی وب‌سرویس</x:t>
        </x:is>
      </x:c>
      <x:c r="L132" s="17" t="inlineStr">
        <x:is>
          <x:t xml:space="preserve">PII-2</x:t>
        </x:is>
      </x:c>
      <x:c r="M132" s="17" t="inlineStr">
        <x:is>
          <x:t xml:space="preserve">Yes</x:t>
        </x:is>
      </x:c>
      <x:c r="N132" s="4" t="inlineStr">
        <x:is>
          <x:t xml:space="preserve">DWH, CRM, CAPI (external_id)</x:t>
        </x:is>
      </x:c>
      <x:c r="O132" s="4" t="inlineStr">
        <x:is>
          <x:t xml:space="preserve">Dedup Key با master_customer_id</x:t>
        </x:is>
      </x:c>
      <x:c r="P132" s="30" t="str">
        <x:v>EVP-131</x:v>
      </x:c>
      <x:c r="Q132" s="30" t="str">
        <x:v>EVT-24</x:v>
      </x:c>
      <x:c r="R132" s="30" t="str">
        <x:v>W3</x:v>
      </x:c>
      <x:c r="S132" s="30" t="str">
        <x:v>Analytics Engineer</x:v>
      </x:c>
      <x:c r="T132" s="30" t="str">
        <x:v>Proposed</x:v>
      </x:c>
    </x:row>
    <x:row r="133">
      <x:c r="A133" s="19" t="inlineStr">
        <x:is>
          <x:t xml:space="preserve">EVT-24</x:t>
        </x:is>
      </x:c>
      <x:c r="B133" s="6" t="inlineStr">
        <x:is>
          <x:t xml:space="preserve">specialty</x:t>
        </x:is>
      </x:c>
      <x:c r="C133" s="6" t="inlineStr">
        <x:is>
          <x:t xml:space="preserve">تخصص</x:t>
        </x:is>
      </x:c>
      <x:c r="D133" s="6" t="inlineStr">
        <x:is>
          <x:t xml:space="preserve">بورد تخصصی</x:t>
        </x:is>
      </x:c>
      <x:c r="E133" s="6" t="inlineStr">
        <x:is>
          <x:t xml:space="preserve">Enum</x:t>
        </x:is>
      </x:c>
      <x:c r="F133" s="19" t="inlineStr">
        <x:is>
          <x:t xml:space="preserve">Optional</x:t>
        </x:is>
      </x:c>
      <x:c r="G133" s="6" t="inlineStr">
        <x:is>
          <x:t xml:space="preserve">جراحی دهان، فک و صورت</x:t>
        </x:is>
      </x:c>
      <x:c r="H133" s="6" t="inlineStr">
        <x:is>
          <x:t xml:space="preserve">لیست بورد‌ها</x:t>
        </x:is>
      </x:c>
      <x:c r="I133" s="6" t="inlineStr">
        <x:is>
          <x:t xml:space="preserve">استعلام/فرم</x:t>
        </x:is>
      </x:c>
      <x:c r="J133" s="6" t="inlineStr">
        <x:is>
          <x:t xml:space="preserve">استانداردسازی</x:t>
        </x:is>
      </x:c>
      <x:c r="K133" s="6" t="inlineStr">
        <x:is>
          <x:t xml:space="preserve">عضویت در لیست</x:t>
        </x:is>
      </x:c>
      <x:c r="L133" s="19" t="inlineStr">
        <x:is>
          <x:t xml:space="preserve">PII-2</x:t>
        </x:is>
      </x:c>
      <x:c r="M133" s="19" t="inlineStr">
        <x:is>
          <x:t xml:space="preserve">No</x:t>
        </x:is>
      </x:c>
      <x:c r="N133" s="6" t="inlineStr">
        <x:is>
          <x:t xml:space="preserve">GA4, DWH</x:t>
        </x:is>
      </x:c>
      <x:c r="O133" s="6" t="inlineStr">
        <x:is>
          <x:t xml:space="preserve"/>
        </x:is>
      </x:c>
      <x:c r="P133" s="30" t="str">
        <x:v>EVP-132</x:v>
      </x:c>
      <x:c r="Q133" s="30" t="str">
        <x:v>EVT-24</x:v>
      </x:c>
      <x:c r="R133" s="30" t="str">
        <x:v>W3</x:v>
      </x:c>
      <x:c r="S133" s="30" t="str">
        <x:v>Analytics Engineer</x:v>
      </x:c>
      <x:c r="T133" s="30" t="str">
        <x:v>Proposed</x:v>
      </x:c>
    </x:row>
    <x:row r="134">
      <x:c r="A134" s="17" t="inlineStr">
        <x:is>
          <x:t xml:space="preserve">EVT-24</x:t>
        </x:is>
      </x:c>
      <x:c r="B134" s="4" t="inlineStr">
        <x:is>
          <x:t xml:space="preserve">clinic_city</x:t>
        </x:is>
      </x:c>
      <x:c r="C134" s="4" t="inlineStr">
        <x:is>
          <x:t xml:space="preserve">شهر کلینیک</x:t>
        </x:is>
      </x:c>
      <x:c r="D134" s="4" t="inlineStr">
        <x:is>
          <x:t xml:space="preserve">شهر فعالیت</x:t>
        </x:is>
      </x:c>
      <x:c r="E134" s="4" t="inlineStr">
        <x:is>
          <x:t xml:space="preserve">String</x:t>
        </x:is>
      </x:c>
      <x:c r="F134" s="17" t="inlineStr">
        <x:is>
          <x:t xml:space="preserve">Optional</x:t>
        </x:is>
      </x:c>
      <x:c r="G134" s="4" t="inlineStr">
        <x:is>
          <x:t xml:space="preserve">اصفهان</x:t>
        </x:is>
      </x:c>
      <x:c r="H134" s="4" t="inlineStr">
        <x:is>
          <x:t xml:space="preserve">—</x:t>
        </x:is>
      </x:c>
      <x:c r="I134" s="4" t="inlineStr">
        <x:is>
          <x:t xml:space="preserve">فرم ثبت‌نام</x:t>
        </x:is>
      </x:c>
      <x:c r="J134" s="4" t="inlineStr">
        <x:is>
          <x:t xml:space="preserve">استاندارد تقسیمات</x:t>
        </x:is>
      </x:c>
      <x:c r="K134" s="4" t="inlineStr">
        <x:is>
          <x:t xml:space="preserve">مطابحت جدول</x:t>
        </x:is>
      </x:c>
      <x:c r="L134" s="17" t="inlineStr">
        <x:is>
          <x:t xml:space="preserve">PII-2</x:t>
        </x:is>
      </x:c>
      <x:c r="M134" s="17" t="inlineStr">
        <x:is>
          <x:t xml:space="preserve">No</x:t>
        </x:is>
      </x:c>
      <x:c r="N134" s="4" t="inlineStr">
        <x:is>
          <x:t xml:space="preserve">GA4, DWH</x:t>
        </x:is>
      </x:c>
      <x:c r="O134" s="4" t="inlineStr">
        <x:is>
          <x:t xml:space="preserve"/>
        </x:is>
      </x:c>
      <x:c r="P134" s="30" t="str">
        <x:v>EVP-133</x:v>
      </x:c>
      <x:c r="Q134" s="30" t="str">
        <x:v>EVT-24</x:v>
      </x:c>
      <x:c r="R134" s="30" t="str">
        <x:v>W3</x:v>
      </x:c>
      <x:c r="S134" s="30" t="str">
        <x:v>Analytics Engineer</x:v>
      </x:c>
      <x:c r="T134" s="30" t="str">
        <x:v>Proposed</x:v>
      </x:c>
    </x:row>
    <x:row r="135">
      <x:c r="A135" s="19" t="inlineStr">
        <x:is>
          <x:t xml:space="preserve">EVT-24</x:t>
        </x:is>
      </x:c>
      <x:c r="B135" s="6" t="inlineStr">
        <x:is>
          <x:t xml:space="preserve">registration_source</x:t>
        </x:is>
      </x:c>
      <x:c r="C135" s="6" t="inlineStr">
        <x:is>
          <x:t xml:space="preserve">منبع ثبت‌نام</x:t>
        </x:is>
      </x:c>
      <x:c r="D135" s="6" t="inlineStr">
        <x:is>
          <x:t xml:space="preserve">کانال جذب عضو</x:t>
        </x:is>
      </x:c>
      <x:c r="E135" s="6" t="inlineStr">
        <x:is>
          <x:t xml:space="preserve">Enum</x:t>
        </x:is>
      </x:c>
      <x:c r="F135" s="19" t="inlineStr">
        <x:is>
          <x:t xml:space="preserve">Optional</x:t>
        </x:is>
      </x:c>
      <x:c r="G135" s="6" t="inlineStr">
        <x:is>
          <x:t xml:space="preserve">landing</x:t>
        </x:is>
      </x:c>
      <x:c r="H135" s="6" t="inlineStr">
        <x:is>
          <x:t xml:space="preserve">landing/congress/referral/organic</x:t>
        </x:is>
      </x:c>
      <x:c r="I135" s="6" t="inlineStr">
        <x:is>
          <x:t xml:space="preserve">فرم/UTM</x:t>
        </x:is>
      </x:c>
      <x:c r="J135" s="6" t="inlineStr">
        <x:is>
          <x:t xml:space="preserve">استانداردسازی</x:t>
        </x:is>
      </x:c>
      <x:c r="K135" s="6" t="inlineStr">
        <x:is>
          <x:t xml:space="preserve">عضویت در لیست</x:t>
        </x:is>
      </x:c>
      <x:c r="L135" s="19" t="inlineStr">
        <x:is>
          <x:t xml:space="preserve">None</x:t>
        </x:is>
      </x:c>
      <x:c r="M135" s="19" t="inlineStr">
        <x:is>
          <x:t xml:space="preserve">No</x:t>
        </x:is>
      </x:c>
      <x:c r="N135" s="6" t="inlineStr">
        <x:is>
          <x:t xml:space="preserve">DWH, CAPI</x:t>
        </x:is>
      </x:c>
      <x:c r="O135" s="6" t="inlineStr">
        <x:is>
          <x:t xml:space="preserve">EXIDA_2026 برای غرفه</x:t>
        </x:is>
      </x:c>
      <x:c r="P135" s="30" t="str">
        <x:v>EVP-134</x:v>
      </x:c>
      <x:c r="Q135" s="30" t="str">
        <x:v>EVT-24</x:v>
      </x:c>
      <x:c r="R135" s="30" t="str">
        <x:v>W3</x:v>
      </x:c>
      <x:c r="S135" s="30" t="str">
        <x:v>Analytics Engineer</x:v>
      </x:c>
      <x:c r="T135" s="30" t="str">
        <x:v>Proposed</x:v>
      </x:c>
    </x:row>
  </x:sheetData>
  <x:dataValidations count="2">
    <x:dataValidation type="list" allowBlank="1" showDropDown="0" showInputMessage="0" showErrorMessage="1" errorTitle="مقدار نامعتبر" error="مقدار از لیست مجاز انتخاب شود" promptTitle="فهرست" prompt="از فهرست کشویی انتخاب کنید" sqref="F2:F135">
      <x:formula1>=_LISTS!$H$2:$H$4</x:formula1>
    </x:dataValidation>
    <x:dataValidation type="list" sqref="T2:T135">
      <x:formula1>"Proposed,Ready,In Progress,Implemented,Tested,Blocked"</x:formula1>
    </x:dataValidation>
  </x:dataValidations>
  <x:pageMargins left="0.7" right="0.7" top="0.75" bottom="0.75" header="0.3" footer="0.3"/>
  <x:tableParts count="2">
    <x:tablePart xmlns:r="http://schemas.openxmlformats.org/officeDocument/2006/relationships" r:id="R0ab6836a28dd4e2f"/>
    <x:tablePart xmlns:r="http://schemas.openxmlformats.org/officeDocument/2006/relationships" r:id="R9f576196b420413c"/>
  </x:tableParts>
</x:worksheet>
</file>

<file path=xl/worksheets/sheet5.xml><?xml version="1.0" encoding="utf-8"?>
<x:worksheet xmlns:x="http://schemas.openxmlformats.org/spreadsheetml/2006/main">
  <x:sheetPr>
    <x:tabColor rgb="FF1F4E78"/>
  </x:sheetPr>
  <x:sheetViews>
    <x:sheetView workbookViewId="0">
      <x:pane xSplit="2" ySplit="1" topLeftCell="C2" activePane="bottomRight" state="frozen"/>
    </x:sheetView>
  </x:sheetViews>
  <x:sheetFormatPr baseColWidth="8" defaultRowHeight="15"/>
  <x:cols>
    <x:col min="1" max="1" width="9" customWidth="1"/>
    <x:col min="2" max="2" width="10" customWidth="1"/>
    <x:col min="3" max="3" width="24" customWidth="1"/>
    <x:col min="4" max="4" width="34" customWidth="1"/>
    <x:col min="5" max="5" width="16" customWidth="1"/>
    <x:col min="6" max="6" width="22" customWidth="1"/>
    <x:col min="7" max="7" width="16" customWidth="1"/>
    <x:col min="8" max="8" width="16" customWidth="1"/>
    <x:col min="9" max="9" width="12" customWidth="1"/>
    <x:col min="10" max="10" width="24" customWidth="1"/>
    <x:col min="11" max="11" width="24" customWidth="1"/>
    <x:col min="12" max="12" width="20" customWidth="1"/>
    <x:col min="13" max="13" width="8" customWidth="1"/>
    <x:col min="14" max="14" width="18" customWidth="1"/>
    <x:col min="15" max="15" width="11" customWidth="1"/>
  </x:cols>
  <x:sheetData>
    <x:row r="1" ht="30" customHeight="1">
      <x:c r="A1" s="5" t="inlineStr">
        <x:is>
          <x:t xml:space="preserve">Prop_ID</x:t>
        </x:is>
      </x:c>
      <x:c r="B1" s="5" t="inlineStr">
        <x:is>
          <x:t xml:space="preserve">Scope</x:t>
        </x:is>
      </x:c>
      <x:c r="C1" s="5" t="inlineStr">
        <x:is>
          <x:t xml:space="preserve">Property_Name</x:t>
        </x:is>
      </x:c>
      <x:c r="D1" s="5" t="inlineStr">
        <x:is>
          <x:t xml:space="preserve">Definition</x:t>
        </x:is>
      </x:c>
      <x:c r="E1" s="5" t="inlineStr">
        <x:is>
          <x:t xml:space="preserve">Data_Type</x:t>
        </x:is>
      </x:c>
      <x:c r="F1" s="5" t="inlineStr">
        <x:is>
          <x:t xml:space="preserve">Source</x:t>
        </x:is>
      </x:c>
      <x:c r="G1" s="5" t="inlineStr">
        <x:is>
          <x:t xml:space="preserve">Update_Frequency</x:t>
        </x:is>
      </x:c>
      <x:c r="H1" s="5" t="inlineStr">
        <x:is>
          <x:t xml:space="preserve">Persistence</x:t>
        </x:is>
      </x:c>
      <x:c r="I1" s="5" t="inlineStr">
        <x:is>
          <x:t xml:space="preserve">PII</x:t>
        </x:is>
      </x:c>
      <x:c r="J1" s="5" t="inlineStr">
        <x:is>
          <x:t xml:space="preserve">Allowed_Values</x:t>
        </x:is>
      </x:c>
      <x:c r="K1" s="5" t="inlineStr">
        <x:is>
          <x:t xml:space="preserve">Used_By_Events</x:t>
        </x:is>
      </x:c>
      <x:c r="L1" s="5" t="inlineStr">
        <x:is>
          <x:t xml:space="preserve">Used_By_KPIs</x:t>
        </x:is>
      </x:c>
      <x:c r="M1" s="5" t="inlineStr">
        <x:is>
          <x:t xml:space="preserve">Phase</x:t>
        </x:is>
      </x:c>
      <x:c r="N1" s="5" t="inlineStr">
        <x:is>
          <x:t xml:space="preserve">Owner</x:t>
        </x:is>
      </x:c>
      <x:c r="O1" s="5" t="inlineStr">
        <x:is>
          <x:t xml:space="preserve">Status</x:t>
        </x:is>
      </x:c>
    </x:row>
    <x:row r="2">
      <x:c r="A2" s="17" t="inlineStr">
        <x:is>
          <x:t xml:space="preserve">UPR-01</x:t>
        </x:is>
      </x:c>
      <x:c r="B2" s="17" t="inlineStr">
        <x:is>
          <x:t xml:space="preserve">User</x:t>
        </x:is>
      </x:c>
      <x:c r="C2" s="4" t="inlineStr">
        <x:is>
          <x:t xml:space="preserve">master_customer_id</x:t>
        </x:is>
      </x:c>
      <x:c r="D2" s="4" t="inlineStr">
        <x:is>
          <x:t xml:space="preserve">شناسه یکتا و پایدار دندان‌پزشک در کل سازمان</x:t>
        </x:is>
      </x:c>
      <x:c r="E2" s="4" t="inlineStr">
        <x:is>
          <x:t xml:space="preserve">String (UUID)</x:t>
        </x:is>
      </x:c>
      <x:c r="F2" s="4" t="inlineStr">
        <x:is>
          <x:t xml:space="preserve">DWH Identity Engine</x:t>
        </x:is>
      </x:c>
      <x:c r="G2" s="4" t="inlineStr">
        <x:is>
          <x:t xml:space="preserve">هر ورودی/خرید</x:t>
        </x:is>
      </x:c>
      <x:c r="H2" s="4" t="inlineStr">
        <x:is>
          <x:t xml:space="preserve">دائمی (Persistent)</x:t>
        </x:is>
      </x:c>
      <x:c r="I2" s="4" t="inlineStr">
        <x:is>
          <x:t xml:space="preserve">PII-1 (pseudo)</x:t>
        </x:is>
      </x:c>
      <x:c r="J2" s="4" t="inlineStr">
        <x:is>
          <x:t xml:space="preserve">CUST-107-*</x:t>
        </x:is>
      </x:c>
      <x:c r="K2" s="4" t="inlineStr">
        <x:is>
          <x:t xml:space="preserve">EVT-13,EVT-15,EVT-23,EVT-24</x:t>
        </x:is>
      </x:c>
      <x:c r="L2" s="4" t="inlineStr">
        <x:is>
          <x:t xml:space="preserve">KPI-20,KPI-37,KPI-38,KPI-53,KPI-54,KPI-55,KPI-57</x:t>
        </x:is>
      </x:c>
      <x:c r="M2" s="17" t="inlineStr">
        <x:is>
          <x:t xml:space="preserve">W1</x:t>
        </x:is>
      </x:c>
      <x:c r="N2" s="4" t="inlineStr">
        <x:is>
          <x:t xml:space="preserve">مهندس داده</x:t>
        </x:is>
      </x:c>
      <x:c r="O2" s="17" t="inlineStr">
        <x:is>
          <x:t xml:space="preserve">Proposed</x:t>
        </x:is>
      </x:c>
    </x:row>
    <x:row r="3">
      <x:c r="A3" s="19" t="inlineStr">
        <x:is>
          <x:t xml:space="preserve">UPR-02</x:t>
        </x:is>
      </x:c>
      <x:c r="B3" s="19" t="inlineStr">
        <x:is>
          <x:t xml:space="preserve">User</x:t>
        </x:is>
      </x:c>
      <x:c r="C3" s="6" t="inlineStr">
        <x:is>
          <x:t xml:space="preserve">medical_council_id</x:t>
        </x:is>
      </x:c>
      <x:c r="D3" s="6" t="inlineStr">
        <x:is>
          <x:t xml:space="preserve">شماره نظام پزشکی رسمی (احراز صنفی)</x:t>
        </x:is>
      </x:c>
      <x:c r="E3" s="6" t="inlineStr">
        <x:is>
          <x:t xml:space="preserve">String (Numeric)</x:t>
        </x:is>
      </x:c>
      <x:c r="F3" s="6" t="inlineStr">
        <x:is>
          <x:t xml:space="preserve">فرم ثبت‌نام / وب‌سرویس نظام پزشکی</x:t>
        </x:is>
      </x:c>
      <x:c r="G3" s="6" t="inlineStr">
        <x:is>
          <x:t xml:space="preserve">یک‌بار + بازبینی فصلی</x:t>
        </x:is>
      </x:c>
      <x:c r="H3" s="6" t="inlineStr">
        <x:is>
          <x:t xml:space="preserve">دائمی</x:t>
        </x:is>
      </x:c>
      <x:c r="I3" s="6" t="inlineStr">
        <x:is>
          <x:t xml:space="preserve">PII-2 (رمزنگاری در سکون)</x:t>
        </x:is>
      </x:c>
      <x:c r="J3" s="6" t="inlineStr">
        <x:is>
          <x:t xml:space="preserve">—</x:t>
        </x:is>
      </x:c>
      <x:c r="K3" s="6" t="inlineStr">
        <x:is>
          <x:t xml:space="preserve">EVT-05,EVT-24</x:t>
        </x:is>
      </x:c>
      <x:c r="L3" s="6" t="inlineStr">
        <x:is>
          <x:t xml:space="preserve">KPI-17,KPI-28</x:t>
        </x:is>
      </x:c>
      <x:c r="M3" s="19" t="inlineStr">
        <x:is>
          <x:t xml:space="preserve">W1</x:t>
        </x:is>
      </x:c>
      <x:c r="N3" s="6" t="inlineStr">
        <x:is>
          <x:t xml:space="preserve">مهندس داده</x:t>
        </x:is>
      </x:c>
      <x:c r="O3" s="19" t="inlineStr">
        <x:is>
          <x:t xml:space="preserve">Proposed</x:t>
        </x:is>
      </x:c>
    </x:row>
    <x:row r="4">
      <x:c r="A4" s="17" t="inlineStr">
        <x:is>
          <x:t xml:space="preserve">UPR-03</x:t>
        </x:is>
      </x:c>
      <x:c r="B4" s="17" t="inlineStr">
        <x:is>
          <x:t xml:space="preserve">User</x:t>
        </x:is>
      </x:c>
      <x:c r="C4" s="4" t="inlineStr">
        <x:is>
          <x:t xml:space="preserve">customer_specialty_board</x:t>
        </x:is>
      </x:c>
      <x:c r="D4" s="4" t="inlineStr">
        <x:is>
          <x:t xml:space="preserve">بورد تخصصی دندان‌پزشک</x:t>
        </x:is>
      </x:c>
      <x:c r="E4" s="4" t="inlineStr">
        <x:is>
          <x:t xml:space="preserve">Enum</x:t>
        </x:is>
      </x:c>
      <x:c r="F4" s="4" t="inlineStr">
        <x:is>
          <x:t xml:space="preserve">استعلام نظام پزشکی / فرم ثبت‌نام</x:t>
        </x:is>
      </x:c>
      <x:c r="G4" s="4" t="inlineStr">
        <x:is>
          <x:t xml:space="preserve">ماهانه</x:t>
        </x:is>
      </x:c>
      <x:c r="H4" s="4" t="inlineStr">
        <x:is>
          <x:t xml:space="preserve">دائمی</x:t>
        </x:is>
      </x:c>
      <x:c r="I4" s="4" t="inlineStr">
        <x:is>
          <x:t xml:space="preserve">PII-2</x:t>
        </x:is>
      </x:c>
      <x:c r="J4" s="4" t="inlineStr">
        <x:is>
          <x:t xml:space="preserve">jail/ortho/resto/endodontics/pediatrics/surgery</x:t>
        </x:is>
      </x:c>
      <x:c r="K4" s="4" t="inlineStr">
        <x:is>
          <x:t xml:space="preserve">EVT-16,EVT-24</x:t>
        </x:is>
      </x:c>
      <x:c r="L4" s="4" t="inlineStr">
        <x:is>
          <x:t xml:space="preserve">KPI-17,KPI-18,KPI-19</x:t>
        </x:is>
      </x:c>
      <x:c r="M4" s="17" t="inlineStr">
        <x:is>
          <x:t xml:space="preserve">W1</x:t>
        </x:is>
      </x:c>
      <x:c r="N4" s="4" t="inlineStr">
        <x:is>
          <x:t xml:space="preserve">مهندس داده</x:t>
        </x:is>
      </x:c>
      <x:c r="O4" s="17" t="inlineStr">
        <x:is>
          <x:t xml:space="preserve">Proposed</x:t>
        </x:is>
      </x:c>
    </x:row>
    <x:row r="5">
      <x:c r="A5" s="19" t="inlineStr">
        <x:is>
          <x:t xml:space="preserve">UPR-04</x:t>
        </x:is>
      </x:c>
      <x:c r="B5" s="19" t="inlineStr">
        <x:is>
          <x:t xml:space="preserve">User</x:t>
        </x:is>
      </x:c>
      <x:c r="C5" s="6" t="inlineStr">
        <x:is>
          <x:t xml:space="preserve">customer_tier_type</x:t>
        </x:is>
      </x:c>
      <x:c r="D5" s="6" t="inlineStr">
        <x:is>
          <x:t xml:space="preserve">سطح مرکز درمانی (Tier1/2/3)</x:t>
        </x:is>
      </x:c>
      <x:c r="E5" s="6" t="inlineStr">
        <x:is>
          <x:t xml:space="preserve">Enum</x:t>
        </x:is>
      </x:c>
      <x:c r="F5" s="6" t="inlineStr">
        <x:is>
          <x:t xml:space="preserve">کارشناس CRM / استعلام میدانی</x:t>
        </x:is>
      </x:c>
      <x:c r="G5" s="6" t="inlineStr">
        <x:is>
          <x:t xml:space="preserve">فصلی</x:t>
        </x:is>
      </x:c>
      <x:c r="H5" s="6" t="inlineStr">
        <x:is>
          <x:t xml:space="preserve">دائمی</x:t>
        </x:is>
      </x:c>
      <x:c r="I5" s="6" t="inlineStr">
        <x:is>
          <x:t xml:space="preserve">PII-1</x:t>
        </x:is>
      </x:c>
      <x:c r="J5" s="6" t="inlineStr">
        <x:is>
          <x:t xml:space="preserve">Tier1/Tier2/Tier3</x:t>
        </x:is>
      </x:c>
      <x:c r="K5" s="6" t="inlineStr">
        <x:is>
          <x:t xml:space="preserve">EVT-13,EVT-15</x:t>
        </x:is>
      </x:c>
      <x:c r="L5" s="6" t="inlineStr">
        <x:is>
          <x:t xml:space="preserve">KPI-35,KPI-43,KPI-74</x:t>
        </x:is>
      </x:c>
      <x:c r="M5" s="19" t="inlineStr">
        <x:is>
          <x:t xml:space="preserve">W1</x:t>
        </x:is>
      </x:c>
      <x:c r="N5" s="6" t="inlineStr">
        <x:is>
          <x:t xml:space="preserve">مدیر CRM</x:t>
        </x:is>
      </x:c>
      <x:c r="O5" s="19" t="inlineStr">
        <x:is>
          <x:t xml:space="preserve">Proposed</x:t>
        </x:is>
      </x:c>
    </x:row>
    <x:row r="6">
      <x:c r="A6" s="17" t="inlineStr">
        <x:is>
          <x:t xml:space="preserve">UPR-05</x:t>
        </x:is>
      </x:c>
      <x:c r="B6" s="17" t="inlineStr">
        <x:is>
          <x:t xml:space="preserve">User</x:t>
        </x:is>
      </x:c>
      <x:c r="C6" s="4" t="inlineStr">
        <x:is>
          <x:t xml:space="preserve">loyalty_tier_level</x:t>
        </x:is>
      </x:c>
      <x:c r="D6" s="4" t="inlineStr">
        <x:is>
          <x:t xml:space="preserve">سطح باشگاه مشتریان</x:t>
        </x:is>
      </x:c>
      <x:c r="E6" s="4" t="inlineStr">
        <x:is>
          <x:t xml:space="preserve">Enum</x:t>
        </x:is>
      </x:c>
      <x:c r="F6" s="4" t="inlineStr">
        <x:is>
          <x:t xml:space="preserve">موتور لایولتی</x:t>
        </x:is>
      </x:c>
      <x:c r="G6" s="4" t="inlineStr">
        <x:is>
          <x:t xml:space="preserve">ماهانه</x:t>
        </x:is>
      </x:c>
      <x:c r="H6" s="4" t="inlineStr">
        <x:is>
          <x:t xml:space="preserve">دائمی</x:t>
        </x:is>
      </x:c>
      <x:c r="I6" s="4" t="inlineStr">
        <x:is>
          <x:t xml:space="preserve">PII-1</x:t>
        </x:is>
      </x:c>
      <x:c r="J6" s="4" t="inlineStr">
        <x:is>
          <x:t xml:space="preserve">Bronze/Silver/Gold/VIP</x:t>
        </x:is>
      </x:c>
      <x:c r="K6" s="4" t="inlineStr">
        <x:is>
          <x:t xml:space="preserve">EVT-15</x:t>
        </x:is>
      </x:c>
      <x:c r="L6" s="4" t="inlineStr">
        <x:is>
          <x:t xml:space="preserve">KPI-53,KPI-54</x:t>
        </x:is>
      </x:c>
      <x:c r="M6" s="17" t="inlineStr">
        <x:is>
          <x:t xml:space="preserve">W5</x:t>
        </x:is>
      </x:c>
      <x:c r="N6" s="4" t="inlineStr">
        <x:is>
          <x:t xml:space="preserve">مدیر CRM</x:t>
        </x:is>
      </x:c>
      <x:c r="O6" s="17" t="inlineStr">
        <x:is>
          <x:t xml:space="preserve">Proposed</x:t>
        </x:is>
      </x:c>
    </x:row>
    <x:row r="7">
      <x:c r="A7" s="19" t="inlineStr">
        <x:is>
          <x:t xml:space="preserve">UPR-06</x:t>
        </x:is>
      </x:c>
      <x:c r="B7" s="19" t="inlineStr">
        <x:is>
          <x:t xml:space="preserve">User</x:t>
        </x:is>
      </x:c>
      <x:c r="C7" s="6" t="inlineStr">
        <x:is>
          <x:t xml:space="preserve">user_role</x:t>
        </x:is>
      </x:c>
      <x:c r="D7" s="6" t="inlineStr">
        <x:is>
          <x:t xml:space="preserve">نقش شغلی کاربر</x:t>
        </x:is>
      </x:c>
      <x:c r="E7" s="6" t="inlineStr">
        <x:is>
          <x:t xml:space="preserve">Enum</x:t>
        </x:is>
      </x:c>
      <x:c r="F7" s="6" t="inlineStr">
        <x:is>
          <x:t xml:space="preserve">پروفایل کاربر</x:t>
        </x:is>
      </x:c>
      <x:c r="G7" s="6" t="inlineStr">
        <x:is>
          <x:t xml:space="preserve">در تغییر</x:t>
        </x:is>
      </x:c>
      <x:c r="H7" s="6" t="inlineStr">
        <x:is>
          <x:t xml:space="preserve">دائمی</x:t>
        </x:is>
      </x:c>
      <x:c r="I7" s="6" t="inlineStr">
        <x:is>
          <x:t xml:space="preserve">PII-2</x:t>
        </x:is>
      </x:c>
      <x:c r="J7" s="6" t="inlineStr">
        <x:is>
          <x:t xml:space="preserve">dentist/clinic_manager/technician</x:t>
        </x:is>
      </x:c>
      <x:c r="K7" s="6" t="inlineStr">
        <x:is>
          <x:t xml:space="preserve">EVT-23</x:t>
        </x:is>
      </x:c>
      <x:c r="L7" s="6" t="inlineStr">
        <x:is>
          <x:t xml:space="preserve">KPI-31</x:t>
        </x:is>
      </x:c>
      <x:c r="M7" s="19" t="inlineStr">
        <x:is>
          <x:t xml:space="preserve">W2</x:t>
        </x:is>
      </x:c>
      <x:c r="N7" s="6" t="inlineStr">
        <x:is>
          <x:t xml:space="preserve">مهندس وب</x:t>
        </x:is>
      </x:c>
      <x:c r="O7" s="19" t="inlineStr">
        <x:is>
          <x:t xml:space="preserve">Proposed</x:t>
        </x:is>
      </x:c>
    </x:row>
    <x:row r="8">
      <x:c r="A8" s="17" t="inlineStr">
        <x:is>
          <x:t xml:space="preserve">UPR-07</x:t>
        </x:is>
      </x:c>
      <x:c r="B8" s="17" t="inlineStr">
        <x:is>
          <x:t xml:space="preserve">User</x:t>
        </x:is>
      </x:c>
      <x:c r="C8" s="4" t="inlineStr">
        <x:is>
          <x:t xml:space="preserve">registration_source</x:t>
        </x:is>
      </x:c>
      <x:c r="D8" s="4" t="inlineStr">
        <x:is>
          <x:t xml:space="preserve">منبع جذب عضو</x:t>
        </x:is>
      </x:c>
      <x:c r="E8" s="4" t="inlineStr">
        <x:is>
          <x:t xml:space="preserve">Enum</x:t>
        </x:is>
      </x:c>
      <x:c r="F8" s="4" t="inlineStr">
        <x:is>
          <x:t xml:space="preserve">UTM / فرم ثبت‌نام</x:t>
        </x:is>
      </x:c>
      <x:c r="G8" s="4" t="inlineStr">
        <x:is>
          <x:t xml:space="preserve">یک‌بار</x:t>
        </x:is>
      </x:c>
      <x:c r="H8" s="4" t="inlineStr">
        <x:is>
          <x:t xml:space="preserve">دائمی</x:t>
        </x:is>
      </x:c>
      <x:c r="I8" s="4" t="inlineStr">
        <x:is>
          <x:t xml:space="preserve">None</x:t>
        </x:is>
      </x:c>
      <x:c r="J8" s="4" t="inlineStr">
        <x:is>
          <x:t xml:space="preserve">landing/congress/referral/organic</x:t>
        </x:is>
      </x:c>
      <x:c r="K8" s="4" t="inlineStr">
        <x:is>
          <x:t xml:space="preserve">EVT-24</x:t>
        </x:is>
      </x:c>
      <x:c r="L8" s="4" t="inlineStr">
        <x:is>
          <x:t xml:space="preserve">KPI-20,KPI-37</x:t>
        </x:is>
      </x:c>
      <x:c r="M8" s="17" t="inlineStr">
        <x:is>
          <x:t xml:space="preserve">W1</x:t>
        </x:is>
      </x:c>
      <x:c r="N8" s="4" t="inlineStr">
        <x:is>
          <x:t xml:space="preserve">مهندس داده</x:t>
        </x:is>
      </x:c>
      <x:c r="O8" s="17" t="inlineStr">
        <x:is>
          <x:t xml:space="preserve">Proposed</x:t>
        </x:is>
      </x:c>
    </x:row>
    <x:row r="9">
      <x:c r="A9" s="19" t="inlineStr">
        <x:is>
          <x:t xml:space="preserve">UPR-08</x:t>
        </x:is>
      </x:c>
      <x:c r="B9" s="19" t="inlineStr">
        <x:is>
          <x:t xml:space="preserve">User</x:t>
        </x:is>
      </x:c>
      <x:c r="C9" s="6" t="inlineStr">
        <x:is>
          <x:t xml:space="preserve">hashed_phone_number</x:t>
        </x:is>
      </x:c>
      <x:c r="D9" s="6" t="inlineStr">
        <x:is>
          <x:t xml:space="preserve">شماره تماس هش‌شده SHA-256 (E.164)</x:t>
        </x:is>
      </x:c>
      <x:c r="E9" s="6" t="inlineStr">
        <x:is>
          <x:t xml:space="preserve">String (Hex 64)</x:t>
        </x:is>
      </x:c>
      <x:c r="F9" s="6" t="inlineStr">
        <x:is>
          <x:t xml:space="preserve">Identity Engine</x:t>
        </x:is>
      </x:c>
      <x:c r="G9" s="6" t="inlineStr">
        <x:is>
          <x:t xml:space="preserve">در تغییر شماره</x:t>
        </x:is>
      </x:c>
      <x:c r="H9" s="6" t="inlineStr">
        <x:is>
          <x:t xml:space="preserve">دائمی</x:t>
        </x:is>
      </x:c>
      <x:c r="I9" s="6" t="inlineStr">
        <x:is>
          <x:t xml:space="preserve">PII-3 (Hashed Only)</x:t>
        </x:is>
      </x:c>
      <x:c r="J9" s="6" t="inlineStr">
        <x:is>
          <x:t xml:space="preserve">^[a-f0-9]{64}$</x:t>
        </x:is>
      </x:c>
      <x:c r="K9" s="6" t="inlineStr">
        <x:is>
          <x:t xml:space="preserve">EVT-13,EVT-16,EVT-24</x:t>
        </x:is>
      </x:c>
      <x:c r="L9" s="6" t="inlineStr">
        <x:is>
          <x:t xml:space="preserve">KPI-15,KPI-65</x:t>
        </x:is>
      </x:c>
      <x:c r="M9" s="19" t="inlineStr">
        <x:is>
          <x:t xml:space="preserve">W1</x:t>
        </x:is>
      </x:c>
      <x:c r="N9" s="6" t="inlineStr">
        <x:is>
          <x:t xml:space="preserve">مهندس داده</x:t>
        </x:is>
      </x:c>
      <x:c r="O9" s="19" t="inlineStr">
        <x:is>
          <x:t xml:space="preserve">Proposed</x:t>
        </x:is>
      </x:c>
    </x:row>
    <x:row r="10">
      <x:c r="A10" s="17" t="inlineStr">
        <x:is>
          <x:t xml:space="preserve">SPR-01</x:t>
        </x:is>
      </x:c>
      <x:c r="B10" s="17" t="inlineStr">
        <x:is>
          <x:t xml:space="preserve">Session</x:t>
        </x:is>
      </x:c>
      <x:c r="C10" s="4" t="inlineStr">
        <x:is>
          <x:t xml:space="preserve">session_id</x:t>
        </x:is>
      </x:c>
      <x:c r="D10" s="4" t="inlineStr">
        <x:is>
          <x:t xml:space="preserve">شناسه یکتای نشست (بازه ۳۰ دقیقه)</x:t>
        </x:is>
      </x:c>
      <x:c r="E10" s="4" t="inlineStr">
        <x:is>
          <x:t xml:space="preserve">String (UUID)</x:t>
        </x:is>
      </x:c>
      <x:c r="F10" s="4" t="inlineStr">
        <x:is>
          <x:t xml:space="preserve">GA4 / PostHog</x:t>
        </x:is>
      </x:c>
      <x:c r="G10" s="4" t="inlineStr">
        <x:is>
          <x:t xml:space="preserve">لحظه‌ای</x:t>
        </x:is>
      </x:c>
      <x:c r="H10" s="4" t="inlineStr">
        <x:is>
          <x:t xml:space="preserve">تا پایان سشن</x:t>
        </x:is>
      </x:c>
      <x:c r="I10" s="4" t="inlineStr">
        <x:is>
          <x:t xml:space="preserve">None</x:t>
        </x:is>
      </x:c>
      <x:c r="J10" s="4" t="inlineStr">
        <x:is>
          <x:t xml:space="preserve">UUID</x:t>
        </x:is>
      </x:c>
      <x:c r="K10" s="4" t="inlineStr">
        <x:is>
          <x:t xml:space="preserve">EVT-01..EVT-24 (همه)</x:t>
        </x:is>
      </x:c>
      <x:c r="L10" s="4" t="inlineStr">
        <x:is>
          <x:t xml:space="preserve">KPI-21,KPI-24,KPI-25,KPI-26,KPI-39</x:t>
        </x:is>
      </x:c>
      <x:c r="M10" s="17" t="inlineStr">
        <x:is>
          <x:t xml:space="preserve">W1</x:t>
        </x:is>
      </x:c>
      <x:c r="N10" s="4" t="inlineStr">
        <x:is>
          <x:t xml:space="preserve">مهندس داده</x:t>
        </x:is>
      </x:c>
      <x:c r="O10" s="17" t="inlineStr">
        <x:is>
          <x:t xml:space="preserve">Proposed</x:t>
        </x:is>
      </x:c>
    </x:row>
    <x:row r="11">
      <x:c r="A11" s="19" t="inlineStr">
        <x:is>
          <x:t xml:space="preserve">SPR-02</x:t>
        </x:is>
      </x:c>
      <x:c r="B11" s="19" t="inlineStr">
        <x:is>
          <x:t xml:space="preserve">Session</x:t>
        </x:is>
      </x:c>
      <x:c r="C11" s="6" t="inlineStr">
        <x:is>
          <x:t xml:space="preserve">session_user_pseudo_id</x:t>
        </x:is>
      </x:c>
      <x:c r="D11" s="6" t="inlineStr">
        <x:is>
          <x:t xml:space="preserve">Client ID / Anonymous ID مرورگر</x:t>
        </x:is>
      </x:c>
      <x:c r="E11" s="6" t="inlineStr">
        <x:is>
          <x:t xml:space="preserve">String</x:t>
        </x:is>
      </x:c>
      <x:c r="F11" s="6" t="inlineStr">
        <x:is>
          <x:t xml:space="preserve">GA4 _ga cookie</x:t>
        </x:is>
      </x:c>
      <x:c r="G11" s="6" t="inlineStr">
        <x:is>
          <x:t xml:space="preserve">لحظه‌ای</x:t>
        </x:is>
      </x:c>
      <x:c r="H11" s="6" t="inlineStr">
        <x:is>
          <x:t xml:space="preserve">سشن + کوکی</x:t>
        </x:is>
      </x:c>
      <x:c r="I11" s="6" t="inlineStr">
        <x:is>
          <x:t xml:space="preserve">None</x:t>
        </x:is>
      </x:c>
      <x:c r="J11" s="6" t="inlineStr">
        <x:is>
          <x:t xml:space="preserve">GA1.x.*</x:t>
        </x:is>
      </x:c>
      <x:c r="K11" s="6" t="inlineStr">
        <x:is>
          <x:t xml:space="preserve">EVT-01</x:t>
        </x:is>
      </x:c>
      <x:c r="L11" s="6" t="inlineStr">
        <x:is>
          <x:t xml:space="preserve">KPI-21,KPI-22</x:t>
        </x:is>
      </x:c>
      <x:c r="M11" s="19" t="inlineStr">
        <x:is>
          <x:t xml:space="preserve">W2</x:t>
        </x:is>
      </x:c>
      <x:c r="N11" s="6" t="inlineStr">
        <x:is>
          <x:t xml:space="preserve">مهندس وب</x:t>
        </x:is>
      </x:c>
      <x:c r="O11" s="19" t="inlineStr">
        <x:is>
          <x:t xml:space="preserve">Proposed</x:t>
        </x:is>
      </x:c>
    </x:row>
    <x:row r="12">
      <x:c r="A12" s="17" t="inlineStr">
        <x:is>
          <x:t xml:space="preserve">SPR-03</x:t>
        </x:is>
      </x:c>
      <x:c r="B12" s="17" t="inlineStr">
        <x:is>
          <x:t xml:space="preserve">Session</x:t>
        </x:is>
      </x:c>
      <x:c r="C12" s="4" t="inlineStr">
        <x:is>
          <x:t xml:space="preserve">session_utm_source_medium</x:t>
        </x:is>
      </x:c>
      <x:c r="D12" s="4" t="inlineStr">
        <x:is>
          <x:t xml:space="preserve">Source/Medium ورودی طبق تاکسونومی</x:t>
        </x:is>
      </x:c>
      <x:c r="E12" s="4" t="inlineStr">
        <x:is>
          <x:t xml:space="preserve">String</x:t>
        </x:is>
      </x:c>
      <x:c r="F12" s="4" t="inlineStr">
        <x:is>
          <x:t xml:space="preserve">پارامترهای URL</x:t>
        </x:is>
      </x:c>
      <x:c r="G12" s="4" t="inlineStr">
        <x:is>
          <x:t xml:space="preserve">لحظه‌ای</x:t>
        </x:is>
      </x:c>
      <x:c r="H12" s="4" t="inlineStr">
        <x:is>
          <x:t xml:space="preserve">سشن</x:t>
        </x:is>
      </x:c>
      <x:c r="I12" s="4" t="inlineStr">
        <x:is>
          <x:t xml:space="preserve">None</x:t>
        </x:is>
      </x:c>
      <x:c r="J12" s="4" t="inlineStr">
        <x:is>
          <x:t xml:space="preserve">لیست تاکسونومی مصوب</x:t>
        </x:is>
      </x:c>
      <x:c r="K12" s="4" t="inlineStr">
        <x:is>
          <x:t xml:space="preserve">EVT-01</x:t>
        </x:is>
      </x:c>
      <x:c r="L12" s="4" t="inlineStr">
        <x:is>
          <x:t xml:space="preserve">KPI-06,KPI-08,KPI-16</x:t>
        </x:is>
      </x:c>
      <x:c r="M12" s="17" t="inlineStr">
        <x:is>
          <x:t xml:space="preserve">W0→W2</x:t>
        </x:is>
      </x:c>
      <x:c r="N12" s="4" t="inlineStr">
        <x:is>
          <x:t xml:space="preserve">لید پرفورمنس</x:t>
        </x:is>
      </x:c>
      <x:c r="O12" s="17" t="inlineStr">
        <x:is>
          <x:t xml:space="preserve">Proposed</x:t>
        </x:is>
      </x:c>
    </x:row>
    <x:row r="13">
      <x:c r="A13" s="19" t="inlineStr">
        <x:is>
          <x:t xml:space="preserve">SPR-04</x:t>
        </x:is>
      </x:c>
      <x:c r="B13" s="19" t="inlineStr">
        <x:is>
          <x:t xml:space="preserve">Session</x:t>
        </x:is>
      </x:c>
      <x:c r="C13" s="6" t="inlineStr">
        <x:is>
          <x:t xml:space="preserve">session_landing_page_path</x:t>
        </x:is>
      </x:c>
      <x:c r="D13" s="6" t="inlineStr">
        <x:is>
          <x:t xml:space="preserve">آدرس اولین صفحه سشن</x:t>
        </x:is>
      </x:c>
      <x:c r="E13" s="6" t="inlineStr">
        <x:is>
          <x:t xml:space="preserve">String (URL Path)</x:t>
        </x:is>
      </x:c>
      <x:c r="F13" s="6" t="inlineStr">
        <x:is>
          <x:t xml:space="preserve">وب‌سرور</x:t>
        </x:is>
      </x:c>
      <x:c r="G13" s="6" t="inlineStr">
        <x:is>
          <x:t xml:space="preserve">لحظه‌ای</x:t>
        </x:is>
      </x:c>
      <x:c r="H13" s="6" t="inlineStr">
        <x:is>
          <x:t xml:space="preserve">سشن</x:t>
        </x:is>
      </x:c>
      <x:c r="I13" s="6" t="inlineStr">
        <x:is>
          <x:t xml:space="preserve">None</x:t>
        </x:is>
      </x:c>
      <x:c r="J13" s="6" t="inlineStr">
        <x:is>
          <x:t xml:space="preserve">path تمیز</x:t>
        </x:is>
      </x:c>
      <x:c r="K13" s="6" t="inlineStr">
        <x:is>
          <x:t xml:space="preserve">EVT-01</x:t>
        </x:is>
      </x:c>
      <x:c r="L13" s="6" t="inlineStr">
        <x:is>
          <x:t xml:space="preserve">KPI-21,KPI-22,KPI-23</x:t>
        </x:is>
      </x:c>
      <x:c r="M13" s="19" t="inlineStr">
        <x:is>
          <x:t xml:space="preserve">W2</x:t>
        </x:is>
      </x:c>
      <x:c r="N13" s="6" t="inlineStr">
        <x:is>
          <x:t xml:space="preserve">مهندس وب</x:t>
        </x:is>
      </x:c>
      <x:c r="O13" s="19" t="inlineStr">
        <x:is>
          <x:t xml:space="preserve">Proposed</x:t>
        </x:is>
      </x:c>
    </x:row>
    <x:row r="14">
      <x:c r="A14" s="17" t="inlineStr">
        <x:is>
          <x:t xml:space="preserve">SPR-05</x:t>
        </x:is>
      </x:c>
      <x:c r="B14" s="17" t="inlineStr">
        <x:is>
          <x:t xml:space="preserve">Session</x:t>
        </x:is>
      </x:c>
      <x:c r="C14" s="4" t="inlineStr">
        <x:is>
          <x:t xml:space="preserve">session_device_type</x:t>
        </x:is>
      </x:c>
      <x:c r="D14" s="4" t="inlineStr">
        <x:is>
          <x:t xml:space="preserve">رده سخت‌افزاری دستگاه</x:t>
        </x:is>
      </x:c>
      <x:c r="E14" s="4" t="inlineStr">
        <x:is>
          <x:t xml:space="preserve">Enum</x:t>
        </x:is>
      </x:c>
      <x:c r="F14" s="4" t="inlineStr">
        <x:is>
          <x:t xml:space="preserve">User-Agent parsing</x:t>
        </x:is>
      </x:c>
      <x:c r="G14" s="4" t="inlineStr">
        <x:is>
          <x:t xml:space="preserve">لحظه‌ای</x:t>
        </x:is>
      </x:c>
      <x:c r="H14" s="4" t="inlineStr">
        <x:is>
          <x:t xml:space="preserve">سشن</x:t>
        </x:is>
      </x:c>
      <x:c r="I14" s="4" t="inlineStr">
        <x:is>
          <x:t xml:space="preserve">None</x:t>
        </x:is>
      </x:c>
      <x:c r="J14" s="4" t="inlineStr">
        <x:is>
          <x:t xml:space="preserve">mobile/desktop/tablet</x:t>
        </x:is>
      </x:c>
      <x:c r="K14" s="4" t="inlineStr">
        <x:is>
          <x:t xml:space="preserve">EVT-01</x:t>
        </x:is>
      </x:c>
      <x:c r="L14" s="4" t="inlineStr">
        <x:is>
          <x:t xml:space="preserve">KPI-31,KPI-40</x:t>
        </x:is>
      </x:c>
      <x:c r="M14" s="17" t="inlineStr">
        <x:is>
          <x:t xml:space="preserve">W2</x:t>
        </x:is>
      </x:c>
      <x:c r="N14" s="4" t="inlineStr">
        <x:is>
          <x:t xml:space="preserve">مهندس وب</x:t>
        </x:is>
      </x:c>
      <x:c r="O14" s="17" t="inlineStr">
        <x:is>
          <x:t xml:space="preserve">Proposed</x:t>
        </x:is>
      </x:c>
    </x:row>
    <x:row r="15">
      <x:c r="A15" s="19" t="inlineStr">
        <x:is>
          <x:t xml:space="preserve">SPR-06</x:t>
        </x:is>
      </x:c>
      <x:c r="B15" s="19" t="inlineStr">
        <x:is>
          <x:t xml:space="preserve">Session</x:t>
        </x:is>
      </x:c>
      <x:c r="C15" s="6" t="inlineStr">
        <x:is>
          <x:t xml:space="preserve">session_ip_asn_organization</x:t>
        </x:is>
      </x:c>
      <x:c r="D15" s="6" t="inlineStr">
        <x:is>
          <x:t xml:space="preserve">سازمان ارائه‌دهنده اینترنت IP</x:t>
        </x:is>
      </x:c>
      <x:c r="E15" s="6" t="inlineStr">
        <x:is>
          <x:t xml:space="preserve">String</x:t>
        </x:is>
      </x:c>
      <x:c r="F15" s="6" t="inlineStr">
        <x:is>
          <x:t xml:space="preserve">IP-to-Org service</x:t>
        </x:is>
      </x:c>
      <x:c r="G15" s="6" t="inlineStr">
        <x:is>
          <x:t xml:space="preserve">لحظه‌ای</x:t>
        </x:is>
      </x:c>
      <x:c r="H15" s="6" t="inlineStr">
        <x:is>
          <x:t xml:space="preserve">سشن (بدون ذخیره IP خام)</x:t>
        </x:is>
      </x:c>
      <x:c r="I15" s="6" t="inlineStr">
        <x:is>
          <x:t xml:space="preserve">None</x:t>
        </x:is>
      </x:c>
      <x:c r="J15" s="6" t="inlineStr">
        <x:is>
          <x:t xml:space="preserve">—</x:t>
        </x:is>
      </x:c>
      <x:c r="K15" s="6" t="inlineStr">
        <x:is>
          <x:t xml:space="preserve">EVT-01</x:t>
        </x:is>
      </x:c>
      <x:c r="L15" s="6" t="inlineStr">
        <x:is>
          <x:t xml:space="preserve">KPI-22,KPI-76</x:t>
        </x:is>
      </x:c>
      <x:c r="M15" s="19" t="inlineStr">
        <x:is>
          <x:t xml:space="preserve">W2</x:t>
        </x:is>
      </x:c>
      <x:c r="N15" s="6" t="inlineStr">
        <x:is>
          <x:t xml:space="preserve">مهندس داده</x:t>
        </x:is>
      </x:c>
      <x:c r="O15" s="19" t="inlineStr">
        <x:is>
          <x:t xml:space="preserve">Proposed</x:t>
        </x:is>
      </x:c>
    </x:row>
    <x:row r="16">
      <x:c r="A16" s="17" t="inlineStr">
        <x:is>
          <x:t xml:space="preserve">SPR-07</x:t>
        </x:is>
      </x:c>
      <x:c r="B16" s="17" t="inlineStr">
        <x:is>
          <x:t xml:space="preserve">Session</x:t>
        </x:is>
      </x:c>
      <x:c r="C16" s="4" t="inlineStr">
        <x:is>
          <x:t xml:space="preserve">session_currency</x:t>
        </x:is>
      </x:c>
      <x:c r="D16" s="4" t="inlineStr">
        <x:is>
          <x:t xml:space="preserve">ارز سشن</x:t>
        </x:is>
      </x:c>
      <x:c r="E16" s="4" t="inlineStr">
        <x:is>
          <x:t xml:space="preserve">String</x:t>
        </x:is>
      </x:c>
      <x:c r="F16" s="4" t="inlineStr">
        <x:is>
          <x:t xml:space="preserve">سیستم قیمت‌گذاری</x:t>
        </x:is>
      </x:c>
      <x:c r="G16" s="4" t="inlineStr">
        <x:is>
          <x:t xml:space="preserve">لحظه‌ای</x:t>
        </x:is>
      </x:c>
      <x:c r="H16" s="4" t="inlineStr">
        <x:is>
          <x:t xml:space="preserve">سشن</x:t>
        </x:is>
      </x:c>
      <x:c r="I16" s="4" t="inlineStr">
        <x:is>
          <x:t xml:space="preserve">None</x:t>
        </x:is>
      </x:c>
      <x:c r="J16" s="4" t="inlineStr">
        <x:is>
          <x:t xml:space="preserve">IRR</x:t>
        </x:is>
      </x:c>
      <x:c r="K16" s="4" t="inlineStr">
        <x:is>
          <x:t xml:space="preserve">EVT-13</x:t>
        </x:is>
      </x:c>
      <x:c r="L16" s="4" t="inlineStr">
        <x:is>
          <x:t xml:space="preserve">KPI-33,KPI-34</x:t>
        </x:is>
      </x:c>
      <x:c r="M16" s="17" t="inlineStr">
        <x:is>
          <x:t xml:space="preserve">W2</x:t>
        </x:is>
      </x:c>
      <x:c r="N16" s="4" t="inlineStr">
        <x:is>
          <x:t xml:space="preserve">مهندس وب</x:t>
        </x:is>
      </x:c>
      <x:c r="O16" s="17" t="inlineStr">
        <x:is>
          <x:t xml:space="preserve">Proposed</x:t>
        </x:is>
      </x:c>
    </x:row>
  </x:sheetData>
  <x:conditionalFormatting sqref="O2:O16">
    <x:cfRule type="cellIs" dxfId="0" priority="1" operator="equal">
      <x:formula>"Blocked"</x:formula>
    </x:cfRule>
    <x:cfRule type="cellIs" dxfId="4" priority="2" operator="equal">
      <x:formula>"In Progress"</x:formula>
    </x:cfRule>
    <x:cfRule type="cellIs" dxfId="3" priority="3" operator="equal">
      <x:formula>"Tested"</x:formula>
    </x:cfRule>
    <x:cfRule type="cellIs" dxfId="5" priority="4" operator="equal">
      <x:formula>"Ready"</x:formula>
    </x:cfRule>
    <x:cfRule type="cellIs" dxfId="6" priority="5" operator="equal">
      <x:formula>"Proposed"</x:formula>
    </x:cfRule>
  </x:conditionalFormatting>
  <x:dataValidations count="1">
    <x:dataValidation type="list" allowBlank="1" showDropDown="0" showInputMessage="0" showErrorMessage="1" errorTitle="مقدار نامعتبر" error="مقدار از لیست مجاز انتخاب شود" promptTitle="فهرست" prompt="از فهرست کشویی انتخاب کنید" sqref="O2:O16">
      <x:formula1>=_LISTS!$C$2:$C$6</x:formula1>
    </x:dataValidation>
  </x:dataValidations>
  <x:pageMargins left="0.7" right="0.7" top="0.75" bottom="0.75" header="0.3" footer="0.3"/>
  <x:tableParts count="1">
    <x:tablePart xmlns:r="http://schemas.openxmlformats.org/officeDocument/2006/relationships" r:id="R49ed5696f5254684"/>
  </x:tableParts>
</x:worksheet>
</file>

<file path=xl/worksheets/sheet6.xml><?xml version="1.0" encoding="utf-8"?>
<x:worksheet xmlns:x="http://schemas.openxmlformats.org/spreadsheetml/2006/main">
  <x:sheetPr>
    <x:tabColor rgb="FF1F4E78"/>
  </x:sheetPr>
  <x:sheetViews>
    <x:sheetView workbookViewId="0">
      <x:pane xSplit="2" ySplit="1" topLeftCell="C2" activePane="bottomRight" state="frozen"/>
    </x:sheetView>
  </x:sheetViews>
  <x:sheetFormatPr baseColWidth="8" defaultRowHeight="15"/>
  <x:cols>
    <x:col min="1" max="1" width="9" customWidth="1"/>
    <x:col min="2" max="2" width="24" customWidth="1"/>
    <x:col min="3" max="3" width="24" customWidth="1"/>
    <x:col min="4" max="4" width="34" customWidth="1"/>
    <x:col min="5" max="5" width="16" customWidth="1"/>
    <x:col min="6" max="6" width="14" customWidth="1"/>
    <x:col min="7" max="7" width="16" customWidth="1"/>
    <x:col min="8" max="8" width="20" customWidth="1"/>
    <x:col min="9" max="9" width="22" customWidth="1"/>
    <x:col min="10" max="10" width="14" customWidth="1"/>
    <x:col min="11" max="11" width="22" customWidth="1"/>
    <x:col min="12" max="12" width="22" customWidth="1"/>
    <x:col min="13" max="13" width="20" customWidth="1"/>
    <x:col min="14" max="14" width="9" customWidth="1"/>
    <x:col min="15" max="15" width="24" customWidth="1"/>
    <x:col min="16" max="16" width="22" customWidth="1"/>
    <x:col min="17" max="17" width="8" customWidth="1"/>
    <x:col min="18" max="18" width="18" customWidth="1"/>
    <x:col min="19" max="19" width="26" customWidth="1"/>
    <x:col min="20" max="20" width="18" hidden="0" customWidth="1"/>
    <x:col min="21" max="21" width="18" hidden="0" customWidth="1"/>
  </x:cols>
  <x:sheetData>
    <x:row r="1" ht="30" customHeight="1">
      <x:c r="A1" s="5" t="inlineStr">
        <x:is>
          <x:t xml:space="preserve">Dim_ID</x:t>
        </x:is>
      </x:c>
      <x:c r="B1" s="5" t="inlineStr">
        <x:is>
          <x:t xml:space="preserve">Name_EN</x:t>
        </x:is>
      </x:c>
      <x:c r="C1" s="5" t="inlineStr">
        <x:is>
          <x:t xml:space="preserve">Name_FA</x:t>
        </x:is>
      </x:c>
      <x:c r="D1" s="5" t="inlineStr">
        <x:is>
          <x:t xml:space="preserve">Definition</x:t>
        </x:is>
      </x:c>
      <x:c r="E1" s="5" t="inlineStr">
        <x:is>
          <x:t xml:space="preserve">Domain</x:t>
        </x:is>
      </x:c>
      <x:c r="F1" s="5" t="inlineStr">
        <x:is>
          <x:t xml:space="preserve">Entity_Level</x:t>
        </x:is>
      </x:c>
      <x:c r="G1" s="5" t="inlineStr">
        <x:is>
          <x:t xml:space="preserve">Data_Type</x:t>
        </x:is>
      </x:c>
      <x:c r="H1" s="5" t="inlineStr">
        <x:is>
          <x:t xml:space="preserve">Source_System</x:t>
        </x:is>
      </x:c>
      <x:c r="I1" s="5" t="inlineStr">
        <x:is>
          <x:t xml:space="preserve">Source_Field</x:t>
        </x:is>
      </x:c>
      <x:c r="J1" s="5" t="inlineStr">
        <x:is>
          <x:t xml:space="preserve">Grain</x:t>
        </x:is>
      </x:c>
      <x:c r="K1" s="5" t="inlineStr">
        <x:is>
          <x:t xml:space="preserve">Hierarchy</x:t>
        </x:is>
      </x:c>
      <x:c r="L1" s="5" t="inlineStr">
        <x:is>
          <x:t xml:space="preserve">Allowed_Values</x:t>
        </x:is>
      </x:c>
      <x:c r="M1" s="5" t="inlineStr">
        <x:is>
          <x:t xml:space="preserve">Join_Key</x:t>
        </x:is>
      </x:c>
      <x:c r="N1" s="5" t="inlineStr">
        <x:is>
          <x:t xml:space="preserve">SCD_Type</x:t>
        </x:is>
      </x:c>
      <x:c r="O1" s="5" t="inlineStr">
        <x:is>
          <x:t xml:space="preserve">Required_Reports</x:t>
        </x:is>
      </x:c>
      <x:c r="P1" s="5" t="inlineStr">
        <x:is>
          <x:t xml:space="preserve">Related_KPIs</x:t>
        </x:is>
      </x:c>
      <x:c r="Q1" s="5" t="inlineStr">
        <x:is>
          <x:t xml:space="preserve">Phase</x:t>
        </x:is>
      </x:c>
      <x:c r="R1" s="5" t="inlineStr">
        <x:is>
          <x:t xml:space="preserve">Data_Owner</x:t>
        </x:is>
      </x:c>
      <x:c r="S1" s="5" t="inlineStr">
        <x:is>
          <x:t xml:space="preserve">DQ_Rule</x:t>
        </x:is>
      </x:c>
      <x:c r="T1" s="27" t="str">
        <x:v>Dimension_ID_Link</x:v>
      </x:c>
      <x:c r="U1" s="27" t="str">
        <x:v>Status</x:v>
      </x:c>
    </x:row>
    <x:row r="2">
      <x:c r="A2" s="17" t="inlineStr">
        <x:is>
          <x:t xml:space="preserve">DIM-01</x:t>
        </x:is>
      </x:c>
      <x:c r="B2" s="4" t="inlineStr">
        <x:is>
          <x:t xml:space="preserve">channel_group</x:t>
        </x:is>
      </x:c>
      <x:c r="C2" s="4" t="inlineStr">
        <x:is>
          <x:t xml:space="preserve">کانال (رده پیش‌فرض)</x:t>
        </x:is>
      </x:c>
      <x:c r="D2" s="4" t="inlineStr">
        <x:is>
          <x:t xml:space="preserve">رده‌بندی استاندارد کانال‌های ورودی ترافیک</x:t>
        </x:is>
      </x:c>
      <x:c r="E2" s="4" t="inlineStr">
        <x:is>
          <x:t xml:space="preserve">Traffic</x:t>
        </x:is>
      </x:c>
      <x:c r="F2" s="4" t="inlineStr">
        <x:is>
          <x:t xml:space="preserve">Campaign</x:t>
        </x:is>
      </x:c>
      <x:c r="G2" s="4" t="inlineStr">
        <x:is>
          <x:t xml:space="preserve">Enum</x:t>
        </x:is>
      </x:c>
      <x:c r="H2" s="4" t="inlineStr">
        <x:is>
          <x:t xml:space="preserve">GA4</x:t>
        </x:is>
      </x:c>
      <x:c r="I2" s="4" t="inlineStr">
        <x:is>
          <x:t xml:space="preserve">default_channel</x:t>
        </x:is>
      </x:c>
      <x:c r="J2" s="4" t="inlineStr">
        <x:is>
          <x:t xml:space="preserve">سشن</x:t>
        </x:is>
      </x:c>
      <x:c r="K2" s="4" t="inlineStr">
        <x:is>
          <x:t xml:space="preserve">(paid/organic/direct/email/referral)</x:t>
        </x:is>
      </x:c>
      <x:c r="L2" s="4" t="inlineStr">
        <x:is>
          <x:t xml:space="preserve">paid_search/organic_search/paid_social/direct/email/sms/referral/affiliate/congress</x:t>
        </x:is>
      </x:c>
      <x:c r="M2" s="4" t="inlineStr">
        <x:is>
          <x:t xml:space="preserve">session_utm_source_medium</x:t>
        </x:is>
      </x:c>
      <x:c r="N2" s="4" t="inlineStr">
        <x:is>
          <x:t xml:space="preserve">SCD-1</x:t>
        </x:is>
      </x:c>
      <x:c r="O2" s="4" t="inlineStr">
        <x:is>
          <x:t xml:space="preserve">REP-01,REP-02,REP-33</x:t>
        </x:is>
      </x:c>
      <x:c r="P2" s="4" t="inlineStr">
        <x:is>
          <x:t xml:space="preserve">KPI-01,KPI-16,KPI-31,KPI-47</x:t>
        </x:is>
      </x:c>
      <x:c r="Q2" s="17" t="inlineStr">
        <x:is>
          <x:t xml:space="preserve">W4</x:t>
        </x:is>
      </x:c>
      <x:c r="R2" s="17" t="inlineStr">
        <x:is>
          <x:t xml:space="preserve">Data Engineer</x:t>
        </x:is>
      </x:c>
      <x:c r="S2" s="4" t="inlineStr">
        <x:is>
          <x:t xml:space="preserve">مطابقت ۱۰۰٪ با تاکسونومی؛ بدون Unassigned</x:t>
        </x:is>
      </x:c>
      <x:c r="T2" s="30" t="str">
        <x:v>DIM-01</x:v>
      </x:c>
      <x:c r="U2" s="30" t="str">
        <x:v>Proposed</x:v>
      </x:c>
    </x:row>
    <x:row r="3">
      <x:c r="A3" s="19" t="inlineStr">
        <x:is>
          <x:t xml:space="preserve">DIM-02</x:t>
        </x:is>
      </x:c>
      <x:c r="B3" s="6" t="inlineStr">
        <x:is>
          <x:t xml:space="preserve">traffic_source</x:t>
        </x:is>
      </x:c>
      <x:c r="C3" s="6" t="inlineStr">
        <x:is>
          <x:t xml:space="preserve">منبع ترافیک (Source)</x:t>
        </x:is>
      </x:c>
      <x:c r="D3" s="6" t="inlineStr">
        <x:is>
          <x:t xml:space="preserve">منبع دقیق ورودی</x:t>
        </x:is>
      </x:c>
      <x:c r="E3" s="6" t="inlineStr">
        <x:is>
          <x:t xml:space="preserve">Traffic</x:t>
        </x:is>
      </x:c>
      <x:c r="F3" s="6" t="inlineStr">
        <x:is>
          <x:t xml:space="preserve">Session</x:t>
        </x:is>
      </x:c>
      <x:c r="G3" s="6" t="inlineStr">
        <x:is>
          <x:t xml:space="preserve">String</x:t>
        </x:is>
      </x:c>
      <x:c r="H3" s="6" t="inlineStr">
        <x:is>
          <x:t xml:space="preserve">GA4</x:t>
        </x:is>
      </x:c>
      <x:c r="I3" s="6" t="inlineStr">
        <x:is>
          <x:t xml:space="preserve">session_source</x:t>
        </x:is>
      </x:c>
      <x:c r="J3" s="6" t="inlineStr">
        <x:is>
          <x:t xml:space="preserve">سشن</x:t>
        </x:is>
      </x:c>
      <x:c r="K3" s="6" t="inlineStr">
        <x:is>
          <x:t xml:space="preserve">—</x:t>
        </x:is>
      </x:c>
      <x:c r="L3" s="6" t="inlineStr">
        <x:is>
          <x:t xml:space="preserve">لیست تاکسونومی مصوب</x:t>
        </x:is>
      </x:c>
      <x:c r="M3" s="6" t="inlineStr">
        <x:is>
          <x:t xml:space="preserve">session_utm_source_medium</x:t>
        </x:is>
      </x:c>
      <x:c r="N3" s="6" t="inlineStr">
        <x:is>
          <x:t xml:space="preserve">SCD-1</x:t>
        </x:is>
      </x:c>
      <x:c r="O3" s="6" t="inlineStr">
        <x:is>
          <x:t xml:space="preserve">REP-02</x:t>
        </x:is>
      </x:c>
      <x:c r="P3" s="6" t="inlineStr">
        <x:is>
          <x:t xml:space="preserve">KPI-06,KPI-08</x:t>
        </x:is>
      </x:c>
      <x:c r="Q3" s="19" t="inlineStr">
        <x:is>
          <x:t xml:space="preserve">W4</x:t>
        </x:is>
      </x:c>
      <x:c r="R3" s="19" t="inlineStr">
        <x:is>
          <x:t xml:space="preserve">Data Engineer</x:t>
        </x:is>
      </x:c>
      <x:c r="S3" s="6" t="inlineStr">
        <x:is>
          <x:t xml:space="preserve">lowercase؛ عضو تاکسونومی</x:t>
        </x:is>
      </x:c>
      <x:c r="T3" s="30" t="str">
        <x:v>DIM-02</x:v>
      </x:c>
      <x:c r="U3" s="30" t="str">
        <x:v>Proposed</x:v>
      </x:c>
    </x:row>
    <x:row r="4">
      <x:c r="A4" s="17" t="inlineStr">
        <x:is>
          <x:t xml:space="preserve">DIM-03</x:t>
        </x:is>
      </x:c>
      <x:c r="B4" s="4" t="inlineStr">
        <x:is>
          <x:t xml:space="preserve">traffic_medium</x:t>
        </x:is>
      </x:c>
      <x:c r="C4" s="4" t="inlineStr">
        <x:is>
          <x:t xml:space="preserve">مدیوم ترافیک</x:t>
        </x:is>
      </x:c>
      <x:c r="D4" s="4" t="inlineStr">
        <x:is>
          <x:t xml:space="preserve">مدیوم دقیق ورودی</x:t>
        </x:is>
      </x:c>
      <x:c r="E4" s="4" t="inlineStr">
        <x:is>
          <x:t xml:space="preserve">Traffic</x:t>
        </x:is>
      </x:c>
      <x:c r="F4" s="4" t="inlineStr">
        <x:is>
          <x:t xml:space="preserve">Session</x:t>
        </x:is>
      </x:c>
      <x:c r="G4" s="4" t="inlineStr">
        <x:is>
          <x:t xml:space="preserve">String</x:t>
        </x:is>
      </x:c>
      <x:c r="H4" s="4" t="inlineStr">
        <x:is>
          <x:t xml:space="preserve">GA4</x:t>
        </x:is>
      </x:c>
      <x:c r="I4" s="4" t="inlineStr">
        <x:is>
          <x:t xml:space="preserve">session_medium</x:t>
        </x:is>
      </x:c>
      <x:c r="J4" s="4" t="inlineStr">
        <x:is>
          <x:t xml:space="preserve">سشن</x:t>
        </x:is>
      </x:c>
      <x:c r="K4" s="4" t="inlineStr">
        <x:is>
          <x:t xml:space="preserve">—</x:t>
        </x:is>
      </x:c>
      <x:c r="L4" s="4" t="inlineStr">
        <x:is>
          <x:t xml:space="preserve">cpc/organic/cpm/organic_social/email/sms/referal/direct</x:t>
        </x:is>
      </x:c>
      <x:c r="M4" s="4" t="inlineStr">
        <x:is>
          <x:t xml:space="preserve">session_utm_source_medium</x:t>
        </x:is>
      </x:c>
      <x:c r="N4" s="4" t="inlineStr">
        <x:is>
          <x:t xml:space="preserve">SCD-1</x:t>
        </x:is>
      </x:c>
      <x:c r="O4" s="4" t="inlineStr">
        <x:is>
          <x:t xml:space="preserve">REP-02</x:t>
        </x:is>
      </x:c>
      <x:c r="P4" s="4" t="inlineStr">
        <x:is>
          <x:t xml:space="preserve">KPI-06</x:t>
        </x:is>
      </x:c>
      <x:c r="Q4" s="17" t="inlineStr">
        <x:is>
          <x:t xml:space="preserve">W4</x:t>
        </x:is>
      </x:c>
      <x:c r="R4" s="17" t="inlineStr">
        <x:is>
          <x:t xml:space="preserve">Data Engineer</x:t>
        </x:is>
      </x:c>
      <x:c r="S4" s="4" t="inlineStr">
        <x:is>
          <x:t xml:space="preserve">lowercase؛ عضو تاکسونومی</x:t>
        </x:is>
      </x:c>
      <x:c r="T4" s="30" t="str">
        <x:v>DIM-03</x:v>
      </x:c>
      <x:c r="U4" s="30" t="str">
        <x:v>Proposed</x:v>
      </x:c>
    </x:row>
    <x:row r="5">
      <x:c r="A5" s="19" t="inlineStr">
        <x:is>
          <x:t xml:space="preserve">DIM-04</x:t>
        </x:is>
      </x:c>
      <x:c r="B5" s="6" t="inlineStr">
        <x:is>
          <x:t xml:space="preserve">campaign</x:t>
        </x:is>
      </x:c>
      <x:c r="C5" s="6" t="inlineStr">
        <x:is>
          <x:t xml:space="preserve">کمپین</x:t>
        </x:is>
      </x:c>
      <x:c r="D5" s="6" t="inlineStr">
        <x:is>
          <x:t xml:space="preserve">نام کمپین تبلیغاتی</x:t>
        </x:is>
      </x:c>
      <x:c r="E5" s="6" t="inlineStr">
        <x:is>
          <x:t xml:space="preserve">Marketing</x:t>
        </x:is>
      </x:c>
      <x:c r="F5" s="6" t="inlineStr">
        <x:is>
          <x:t xml:space="preserve">Campaign</x:t>
        </x:is>
      </x:c>
      <x:c r="G5" s="6" t="inlineStr">
        <x:is>
          <x:t xml:space="preserve">String</x:t>
        </x:is>
      </x:c>
      <x:c r="H5" s="6" t="inlineStr">
        <x:is>
          <x:t xml:space="preserve">Google/Meta API</x:t>
        </x:is>
      </x:c>
      <x:c r="I5" s="6" t="inlineStr">
        <x:is>
          <x:t xml:space="preserve">campaign_name</x:t>
        </x:is>
      </x:c>
      <x:c r="J5" s="6" t="inlineStr">
        <x:is>
          <x:t xml:space="preserve">کمپین</x:t>
        </x:is>
      </x:c>
      <x:c r="K5" s="6" t="inlineStr">
        <x:is>
          <x:t xml:space="preserve">platform → campaign → adset → ad</x:t>
        </x:is>
      </x:c>
      <x:c r="L5" s="6" t="inlineStr">
        <x:is>
          <x:t xml:space="preserve">UTM + metadata پلتفرم</x:t>
        </x:is>
      </x:c>
      <x:c r="M5" s="6" t="inlineStr">
        <x:is>
          <x:t xml:space="preserve">campaign_id</x:t>
        </x:is>
      </x:c>
      <x:c r="N5" s="6" t="inlineStr">
        <x:is>
          <x:t xml:space="preserve">SCD-2</x:t>
        </x:is>
      </x:c>
      <x:c r="O5" s="6" t="inlineStr">
        <x:is>
          <x:t xml:space="preserve">REP-03,REP-06,REP-32</x:t>
        </x:is>
      </x:c>
      <x:c r="P5" s="6" t="inlineStr">
        <x:is>
          <x:t xml:space="preserve">KPI-06,KPI-08,KPI-16,KPI-47</x:t>
        </x:is>
      </x:c>
      <x:c r="Q5" s="19" t="inlineStr">
        <x:is>
          <x:t xml:space="preserve">W4</x:t>
        </x:is>
      </x:c>
      <x:c r="R5" s="19" t="inlineStr">
        <x:is>
          <x:t xml:space="preserve">Data Engineer</x:t>
        </x:is>
      </x:c>
      <x:c r="S5" s="6" t="inlineStr">
        <x:is>
          <x:t xml:space="preserve">تطبیق ID پلتفرم با DWH</x:t>
        </x:is>
      </x:c>
      <x:c r="T5" s="30" t="str">
        <x:v>DIM-04</x:v>
      </x:c>
      <x:c r="U5" s="30" t="str">
        <x:v>Proposed</x:v>
      </x:c>
    </x:row>
    <x:row r="6">
      <x:c r="A6" s="17" t="inlineStr">
        <x:is>
          <x:t xml:space="preserve">DIM-05</x:t>
        </x:is>
      </x:c>
      <x:c r="B6" s="4" t="inlineStr">
        <x:is>
          <x:t xml:space="preserve">campaign_objective</x:t>
        </x:is>
      </x:c>
      <x:c r="C6" s="4" t="inlineStr">
        <x:is>
          <x:t xml:space="preserve">هدف کمپین</x:t>
        </x:is>
      </x:c>
      <x:c r="D6" s="4" t="inlineStr">
        <x:is>
          <x:t xml:space="preserve">هدف ساختاری کمپین در پلتفرم</x:t>
        </x:is>
      </x:c>
      <x:c r="E6" s="4" t="inlineStr">
        <x:is>
          <x:t xml:space="preserve">Marketing</x:t>
        </x:is>
      </x:c>
      <x:c r="F6" s="4" t="inlineStr">
        <x:is>
          <x:t xml:space="preserve">Campaign</x:t>
        </x:is>
      </x:c>
      <x:c r="G6" s="4" t="inlineStr">
        <x:is>
          <x:t xml:space="preserve">Enum</x:t>
        </x:is>
      </x:c>
      <x:c r="H6" s="4" t="inlineStr">
        <x:is>
          <x:t xml:space="preserve">Metadata پلتفرم</x:t>
        </x:is>
      </x:c>
      <x:c r="I6" s="4" t="inlineStr">
        <x:is>
          <x:t xml:space="preserve">marketing_objective</x:t>
        </x:is>
      </x:c>
      <x:c r="J6" s="4" t="inlineStr">
        <x:is>
          <x:t xml:space="preserve">کمپین</x:t>
        </x:is>
      </x:c>
      <x:c r="K6" s="4" t="inlineStr">
        <x:is>
          <x:t xml:space="preserve">—</x:t>
        </x:is>
      </x:c>
      <x:c r="L6" s="4" t="inlineStr">
        <x:is>
          <x:t xml:space="preserve">leads/sales/traffic/awareness/retargeting</x:t>
        </x:is>
      </x:c>
      <x:c r="M6" s="4" t="inlineStr">
        <x:is>
          <x:t xml:space="preserve">campaign_id</x:t>
        </x:is>
      </x:c>
      <x:c r="N6" s="4" t="inlineStr">
        <x:is>
          <x:t xml:space="preserve">SCD-1</x:t>
        </x:is>
      </x:c>
      <x:c r="O6" s="4" t="inlineStr">
        <x:is>
          <x:t xml:space="preserve">REP-06</x:t>
        </x:is>
      </x:c>
      <x:c r="P6" s="4" t="inlineStr">
        <x:is>
          <x:t xml:space="preserve">KPI-16</x:t>
        </x:is>
      </x:c>
      <x:c r="Q6" s="17" t="inlineStr">
        <x:is>
          <x:t xml:space="preserve">W4</x:t>
        </x:is>
      </x:c>
      <x:c r="R6" s="17" t="inlineStr">
        <x:is>
          <x:t xml:space="preserve">Data Engineer</x:t>
        </x:is>
      </x:c>
      <x:c r="S6" s="4" t="inlineStr">
        <x:is>
          <x:t xml:space="preserve">استانداردسازی ترمینولوژی</x:t>
        </x:is>
      </x:c>
      <x:c r="T6" s="30" t="str">
        <x:v>DIM-05</x:v>
      </x:c>
      <x:c r="U6" s="30" t="str">
        <x:v>Proposed</x:v>
      </x:c>
    </x:row>
    <x:row r="7">
      <x:c r="A7" s="19" t="inlineStr">
        <x:is>
          <x:t xml:space="preserve">DIM-06</x:t>
        </x:is>
      </x:c>
      <x:c r="B7" s="6" t="inlineStr">
        <x:is>
          <x:t xml:space="preserve">ad_set_adgroup</x:t>
        </x:is>
      </x:c>
      <x:c r="C7" s="6" t="inlineStr">
        <x:is>
          <x:t xml:space="preserve">گروه تبلیغاتی (Ad Group/Ad Set)</x:t>
        </x:is>
      </x:c>
      <x:c r="D7" s="6" t="inlineStr">
        <x:is>
          <x:t xml:space="preserve">گروه هدف‌گیری زیر کمپین</x:t>
        </x:is>
      </x:c>
      <x:c r="E7" s="6" t="inlineStr">
        <x:is>
          <x:t xml:space="preserve">Marketing</x:t>
        </x:is>
      </x:c>
      <x:c r="F7" s="6" t="inlineStr">
        <x:is>
          <x:t xml:space="preserve">Ad Set</x:t>
        </x:is>
      </x:c>
      <x:c r="G7" s="6" t="inlineStr">
        <x:is>
          <x:t xml:space="preserve">String</x:t>
        </x:is>
      </x:c>
      <x:c r="H7" s="6" t="inlineStr">
        <x:is>
          <x:t xml:space="preserve">Google/Meta API</x:t>
        </x:is>
      </x:c>
      <x:c r="I7" s="6" t="inlineStr">
        <x:is>
          <x:t xml:space="preserve">adset_id</x:t>
        </x:is>
      </x:c>
      <x:c r="J7" s="6" t="inlineStr">
        <x:is>
          <x:t xml:space="preserve">ادست</x:t>
        </x:is>
      </x:c>
      <x:c r="K7" s="6" t="inlineStr">
        <x:is>
          <x:t xml:space="preserve">campaign → adset → ad</x:t>
        </x:is>
      </x:c>
      <x:c r="L7" s="6" t="inlineStr">
        <x:is>
          <x:t xml:space="preserve">—</x:t>
        </x:is>
      </x:c>
      <x:c r="M7" s="6" t="inlineStr">
        <x:is>
          <x:t xml:space="preserve">adset_adgroup_id</x:t>
        </x:is>
      </x:c>
      <x:c r="N7" s="6" t="inlineStr">
        <x:is>
          <x:t xml:space="preserve">SCD-2</x:t>
        </x:is>
      </x:c>
      <x:c r="O7" s="6" t="inlineStr">
        <x:is>
          <x:t xml:space="preserve">REP-03,REP-09</x:t>
        </x:is>
      </x:c>
      <x:c r="P7" s="6" t="inlineStr">
        <x:is>
          <x:t xml:space="preserve">KPI-03,KPI-08,KPI-62</x:t>
        </x:is>
      </x:c>
      <x:c r="Q7" s="19" t="inlineStr">
        <x:is>
          <x:t xml:space="preserve">W4</x:t>
        </x:is>
      </x:c>
      <x:c r="R7" s="19" t="inlineStr">
        <x:is>
          <x:t xml:space="preserve">Data Engineer</x:t>
        </x:is>
      </x:c>
      <x:c r="S7" s="6" t="inlineStr">
        <x:is>
          <x:t xml:space="preserve">عدم وجود ادست یتیم (Orphan)</x:t>
        </x:is>
      </x:c>
      <x:c r="T7" s="30" t="str">
        <x:v>DIM-06</x:v>
      </x:c>
      <x:c r="U7" s="30" t="str">
        <x:v>Proposed</x:v>
      </x:c>
    </x:row>
    <x:row r="8">
      <x:c r="A8" s="17" t="inlineStr">
        <x:is>
          <x:t xml:space="preserve">DIM-07</x:t>
        </x:is>
      </x:c>
      <x:c r="B8" s="4" t="inlineStr">
        <x:is>
          <x:t xml:space="preserve">ad</x:t>
        </x:is>
      </x:c>
      <x:c r="C8" s="4" t="inlineStr">
        <x:is>
          <x:t xml:space="preserve">آگهی</x:t>
        </x:is>
      </x:c>
      <x:c r="D8" s="4" t="inlineStr">
        <x:is>
          <x:t xml:space="preserve">آگهی مشخص نمایش‌داده‌شده</x:t>
        </x:is>
      </x:c>
      <x:c r="E8" s="4" t="inlineStr">
        <x:is>
          <x:t xml:space="preserve">Marketing</x:t>
        </x:is>
      </x:c>
      <x:c r="F8" s="4" t="inlineStr">
        <x:is>
          <x:t xml:space="preserve">Ad</x:t>
        </x:is>
      </x:c>
      <x:c r="G8" s="4" t="inlineStr">
        <x:is>
          <x:t xml:space="preserve">String</x:t>
        </x:is>
      </x:c>
      <x:c r="H8" s="4" t="inlineStr">
        <x:is>
          <x:t xml:space="preserve">Google/Meta API</x:t>
        </x:is>
      </x:c>
      <x:c r="I8" s="4" t="inlineStr">
        <x:is>
          <x:t xml:space="preserve">ad_id</x:t>
        </x:is>
      </x:c>
      <x:c r="J8" s="4" t="inlineStr">
        <x:is>
          <x:t xml:space="preserve">اد</x:t>
        </x:is>
      </x:c>
      <x:c r="K8" s="4" t="inlineStr">
        <x:is>
          <x:t xml:space="preserve">adset → ad</x:t>
        </x:is>
      </x:c>
      <x:c r="L8" s="4" t="inlineStr">
        <x:is>
          <x:t xml:space="preserve">—</x:t>
        </x:is>
      </x:c>
      <x:c r="M8" s="4" t="inlineStr">
        <x:is>
          <x:t xml:space="preserve">ad_id</x:t>
        </x:is>
      </x:c>
      <x:c r="N8" s="4" t="inlineStr">
        <x:is>
          <x:t xml:space="preserve">SCD-2</x:t>
        </x:is>
      </x:c>
      <x:c r="O8" s="4" t="inlineStr">
        <x:is>
          <x:t xml:space="preserve">REP-05</x:t>
        </x:is>
      </x:c>
      <x:c r="P8" s="4" t="inlineStr">
        <x:is>
          <x:t xml:space="preserve">KPI-06,KPI-70</x:t>
        </x:is>
      </x:c>
      <x:c r="Q8" s="17" t="inlineStr">
        <x:is>
          <x:t xml:space="preserve">W4</x:t>
        </x:is>
      </x:c>
      <x:c r="R8" s="17" t="inlineStr">
        <x:is>
          <x:t xml:space="preserve">Data Engineer</x:t>
        </x:is>
      </x:c>
      <x:c r="S8" s="4" t="inlineStr">
        <x:is>
          <x:t xml:space="preserve">یکتایی در اکانت</x:t>
        </x:is>
      </x:c>
      <x:c r="T8" s="30" t="str">
        <x:v>DIM-07</x:v>
      </x:c>
      <x:c r="U8" s="30" t="str">
        <x:v>Proposed</x:v>
      </x:c>
    </x:row>
    <x:row r="9">
      <x:c r="A9" s="19" t="inlineStr">
        <x:is>
          <x:t xml:space="preserve">DIM-08</x:t>
        </x:is>
      </x:c>
      <x:c r="B9" s="6" t="inlineStr">
        <x:is>
          <x:t xml:space="preserve">creative</x:t>
        </x:is>
      </x:c>
      <x:c r="C9" s="6" t="inlineStr">
        <x:is>
          <x:t xml:space="preserve">کریتیو (دارایی خلاقه)</x:t>
        </x:is>
      </x:c>
      <x:c r="D9" s="6" t="inlineStr">
        <x:is>
          <x:t xml:space="preserve">فایل ویدیو/بنر/کروسل</x:t>
        </x:is>
      </x:c>
      <x:c r="E9" s="6" t="inlineStr">
        <x:is>
          <x:t xml:space="preserve">Marketing</x:t>
        </x:is>
      </x:c>
      <x:c r="F9" s="6" t="inlineStr">
        <x:is>
          <x:t xml:space="preserve">Creative</x:t>
        </x:is>
      </x:c>
      <x:c r="G9" s="6" t="inlineStr">
        <x:is>
          <x:t xml:space="preserve">String</x:t>
        </x:is>
      </x:c>
      <x:c r="H9" s="6" t="inlineStr">
        <x:is>
          <x:t xml:space="preserve">DAM + API پلتفرم</x:t>
        </x:is>
      </x:c>
      <x:c r="I9" s="6" t="inlineStr">
        <x:is>
          <x:t xml:space="preserve">creative_id</x:t>
        </x:is>
      </x:c>
      <x:c r="J9" s="6" t="inlineStr">
        <x:is>
          <x:t xml:space="preserve">کریتیو</x:t>
        </x:is>
      </x:c>
      <x:c r="K9" s="6" t="inlineStr">
        <x:is>
          <x:t xml:space="preserve">ad → creative</x:t>
        </x:is>
      </x:c>
      <x:c r="L9" s="6" t="inlineStr">
        <x:is>
          <x:t xml:space="preserve">—</x:t>
        </x:is>
      </x:c>
      <x:c r="M9" s="6" t="inlineStr">
        <x:is>
          <x:t xml:space="preserve">creative_id</x:t>
        </x:is>
      </x:c>
      <x:c r="N9" s="6" t="inlineStr">
        <x:is>
          <x:t xml:space="preserve">SCD-2</x:t>
        </x:is>
      </x:c>
      <x:c r="O9" s="6" t="inlineStr">
        <x:is>
          <x:t xml:space="preserve">REP-05,REP-07,REP-08</x:t>
        </x:is>
      </x:c>
      <x:c r="P9" s="6" t="inlineStr">
        <x:is>
          <x:t xml:space="preserve">KPI-60,KPI-61,KPI-62,KPI-70,KPI-71,KPI-72</x:t>
        </x:is>
      </x:c>
      <x:c r="Q9" s="19" t="inlineStr">
        <x:is>
          <x:t xml:space="preserve">W4</x:t>
        </x:is>
      </x:c>
      <x:c r="R9" s="19" t="inlineStr">
        <x:is>
          <x:t xml:space="preserve">Data Engineer</x:t>
        </x:is>
      </x:c>
      <x:c r="S9" s="6" t="inlineStr">
        <x:is>
          <x:t xml:space="preserve">الصاق اجباری در همه تبلیغات</x:t>
        </x:is>
      </x:c>
      <x:c r="T9" s="30" t="str">
        <x:v>DIM-08</x:v>
      </x:c>
      <x:c r="U9" s="30" t="str">
        <x:v>Proposed</x:v>
      </x:c>
    </x:row>
    <x:row r="10">
      <x:c r="A10" s="17" t="inlineStr">
        <x:is>
          <x:t xml:space="preserve">DIM-09</x:t>
        </x:is>
      </x:c>
      <x:c r="B10" s="4" t="inlineStr">
        <x:is>
          <x:t xml:space="preserve">creative_format</x:t>
        </x:is>
      </x:c>
      <x:c r="C10" s="4" t="inlineStr">
        <x:is>
          <x:t xml:space="preserve">فرمت کریتیو</x:t>
        </x:is>
      </x:c>
      <x:c r="D10" s="4" t="inlineStr">
        <x:is>
          <x:t xml:space="preserve">نوع بصری محتوا</x:t>
        </x:is>
      </x:c>
      <x:c r="E10" s="4" t="inlineStr">
        <x:is>
          <x:t xml:space="preserve">Marketing</x:t>
        </x:is>
      </x:c>
      <x:c r="F10" s="4" t="inlineStr">
        <x:is>
          <x:t xml:space="preserve">Creative</x:t>
        </x:is>
      </x:c>
      <x:c r="G10" s="4" t="inlineStr">
        <x:is>
          <x:t xml:space="preserve">Enum</x:t>
        </x:is>
      </x:c>
      <x:c r="H10" s="4" t="inlineStr">
        <x:is>
          <x:t xml:space="preserve">متادیتای طراحی</x:t>
        </x:is>
      </x:c>
      <x:c r="I10" s="4" t="inlineStr">
        <x:is>
          <x:t xml:space="preserve">format</x:t>
        </x:is>
      </x:c>
      <x:c r="J10" s="4" t="inlineStr">
        <x:is>
          <x:t xml:space="preserve">کریتیو</x:t>
        </x:is>
      </x:c>
      <x:c r="K10" s="4" t="inlineStr">
        <x:is>
          <x:t xml:space="preserve">—</x:t>
        </x:is>
      </x:c>
      <x:c r="L10" s="4" t="inlineStr">
        <x:is>
          <x:t xml:space="preserve">video_reels/carousel/single_image/story</x:t>
        </x:is>
      </x:c>
      <x:c r="M10" s="4" t="inlineStr">
        <x:is>
          <x:t xml:space="preserve">creative_id</x:t>
        </x:is>
      </x:c>
      <x:c r="N10" s="4" t="inlineStr">
        <x:is>
          <x:t xml:space="preserve">SCD-1</x:t>
        </x:is>
      </x:c>
      <x:c r="O10" s="4" t="inlineStr">
        <x:is>
          <x:t xml:space="preserve">REP-07</x:t>
        </x:is>
      </x:c>
      <x:c r="P10" s="4" t="inlineStr">
        <x:is>
          <x:t xml:space="preserve">KPI-60,KPI-61</x:t>
        </x:is>
      </x:c>
      <x:c r="Q10" s="17" t="inlineStr">
        <x:is>
          <x:t xml:space="preserve">W4</x:t>
        </x:is>
      </x:c>
      <x:c r="R10" s="17" t="inlineStr">
        <x:is>
          <x:t xml:space="preserve">Data Engineer</x:t>
        </x:is>
      </x:c>
      <x:c r="S10" s="4" t="inlineStr">
        <x:is>
          <x:t xml:space="preserve">عضویت در لیست</x:t>
        </x:is>
      </x:c>
      <x:c r="T10" s="30" t="str">
        <x:v>DIM-09</x:v>
      </x:c>
      <x:c r="U10" s="30" t="str">
        <x:v>Proposed</x:v>
      </x:c>
    </x:row>
    <x:row r="11">
      <x:c r="A11" s="19" t="inlineStr">
        <x:is>
          <x:t xml:space="preserve">DIM-10</x:t>
        </x:is>
      </x:c>
      <x:c r="B11" s="6" t="inlineStr">
        <x:is>
          <x:t xml:space="preserve">audience_segment</x:t>
        </x:is>
      </x:c>
      <x:c r="C11" s="6" t="inlineStr">
        <x:is>
          <x:t xml:space="preserve">مخاطب هدف‌گیری</x:t>
        </x:is>
      </x:c>
      <x:c r="D11" s="6" t="inlineStr">
        <x:is>
          <x:t xml:space="preserve">سگمنت تارگتینگ</x:t>
        </x:is>
      </x:c>
      <x:c r="E11" s="6" t="inlineStr">
        <x:is>
          <x:t xml:space="preserve">Marketing</x:t>
        </x:is>
      </x:c>
      <x:c r="F11" s="6" t="inlineStr">
        <x:is>
          <x:t xml:space="preserve">Ad Set</x:t>
        </x:is>
      </x:c>
      <x:c r="G11" s="6" t="inlineStr">
        <x:is>
          <x:t xml:space="preserve">String</x:t>
        </x:is>
      </x:c>
      <x:c r="H11" s="6" t="inlineStr">
        <x:is>
          <x:t xml:space="preserve">Meta Audience Insights</x:t>
        </x:is>
      </x:c>
      <x:c r="I11" s="6" t="inlineStr">
        <x:is>
          <x:t xml:space="preserve">targeting_profile</x:t>
        </x:is>
      </x:c>
      <x:c r="J11" s="6" t="inlineStr">
        <x:is>
          <x:t xml:space="preserve">ادست</x:t>
        </x:is>
      </x:c>
      <x:c r="K11" s="6" t="inlineStr">
        <x:is>
          <x:t xml:space="preserve">adset → audience</x:t>
        </x:is>
      </x:c>
      <x:c r="L11" s="6" t="inlineStr">
        <x:is>
          <x:t xml:space="preserve">lookalike_1pct/retargeting/interest/custom_list/broad</x:t>
        </x:is>
      </x:c>
      <x:c r="M11" s="6" t="inlineStr">
        <x:is>
          <x:t xml:space="preserve">adset_adgroup_id</x:t>
        </x:is>
      </x:c>
      <x:c r="N11" s="6" t="inlineStr">
        <x:is>
          <x:t xml:space="preserve">SCD-1</x:t>
        </x:is>
      </x:c>
      <x:c r="O11" s="6" t="inlineStr">
        <x:is>
          <x:t xml:space="preserve">REP-09</x:t>
        </x:is>
      </x:c>
      <x:c r="P11" s="6" t="inlineStr">
        <x:is>
          <x:t xml:space="preserve">KPI-01,KPI-03,KPI-16</x:t>
        </x:is>
      </x:c>
      <x:c r="Q11" s="19" t="inlineStr">
        <x:is>
          <x:t xml:space="preserve">W4</x:t>
        </x:is>
      </x:c>
      <x:c r="R11" s="19" t="inlineStr">
        <x:is>
          <x:t xml:space="preserve">Data Engineer</x:t>
        </x:is>
      </x:c>
      <x:c r="S11" s="6" t="inlineStr">
        <x:is>
          <x:t xml:space="preserve">برچسب‌گذاری دقیق سگمنت</x:t>
        </x:is>
      </x:c>
      <x:c r="T11" s="30" t="str">
        <x:v>DIM-10</x:v>
      </x:c>
      <x:c r="U11" s="30" t="str">
        <x:v>Proposed</x:v>
      </x:c>
    </x:row>
    <x:row r="12">
      <x:c r="A12" s="17" t="inlineStr">
        <x:is>
          <x:t xml:space="preserve">DIM-11</x:t>
        </x:is>
      </x:c>
      <x:c r="B12" s="4" t="inlineStr">
        <x:is>
          <x:t xml:space="preserve">placement</x:t>
        </x:is>
      </x:c>
      <x:c r="C12" s="4" t="inlineStr">
        <x:is>
          <x:t xml:space="preserve">جایگاه نمایش</x:t>
        </x:is>
      </x:c>
      <x:c r="D12" s="4" t="inlineStr">
        <x:is>
          <x:t xml:space="preserve">محل نمایش آگهی</x:t>
        </x:is>
      </x:c>
      <x:c r="E12" s="4" t="inlineStr">
        <x:is>
          <x:t xml:space="preserve">Marketing</x:t>
        </x:is>
      </x:c>
      <x:c r="F12" s="4" t="inlineStr">
        <x:is>
          <x:t xml:space="preserve">Ad</x:t>
        </x:is>
      </x:c>
      <x:c r="G12" s="4" t="inlineStr">
        <x:is>
          <x:t xml:space="preserve">String</x:t>
        </x:is>
      </x:c>
      <x:c r="H12" s="4" t="inlineStr">
        <x:is>
          <x:t xml:space="preserve">API پلتفرم</x:t>
        </x:is>
      </x:c>
      <x:c r="I12" s="4" t="inlineStr">
        <x:is>
          <x:t xml:space="preserve">placement</x:t>
        </x:is>
      </x:c>
      <x:c r="J12" s="4" t="inlineStr">
        <x:is>
          <x:t xml:space="preserve">اد</x:t>
        </x:is>
      </x:c>
      <x:c r="K12" s="4" t="inlineStr">
        <x:is>
          <x:t xml:space="preserve">—</x:t>
        </x:is>
      </x:c>
      <x:c r="L12" s="4" t="inlineStr">
        <x:is>
          <x:t xml:space="preserve">reels/story/feed/search_top/discovery</x:t>
        </x:is>
      </x:c>
      <x:c r="M12" s="4" t="inlineStr">
        <x:is>
          <x:t xml:space="preserve">ad_id</x:t>
        </x:is>
      </x:c>
      <x:c r="N12" s="4" t="inlineStr">
        <x:is>
          <x:t xml:space="preserve">SCD-1</x:t>
        </x:is>
      </x:c>
      <x:c r="O12" s="4" t="inlineStr">
        <x:is>
          <x:t xml:space="preserve">REP-04,REP-05</x:t>
        </x:is>
      </x:c>
      <x:c r="P12" s="4" t="inlineStr">
        <x:is>
          <x:t xml:space="preserve">KPI-06,KPI-09</x:t>
        </x:is>
      </x:c>
      <x:c r="Q12" s="17" t="inlineStr">
        <x:is>
          <x:t xml:space="preserve">W4</x:t>
        </x:is>
      </x:c>
      <x:c r="R12" s="17" t="inlineStr">
        <x:is>
          <x:t xml:space="preserve">Data Engineer</x:t>
        </x:is>
      </x:c>
      <x:c r="S12" s="4" t="inlineStr">
        <x:is>
          <x:t xml:space="preserve">استاندارد نام‌گذاری</x:t>
        </x:is>
      </x:c>
      <x:c r="T12" s="30" t="str">
        <x:v>DIM-11</x:v>
      </x:c>
      <x:c r="U12" s="30" t="str">
        <x:v>Proposed</x:v>
      </x:c>
    </x:row>
    <x:row r="13">
      <x:c r="A13" s="19" t="inlineStr">
        <x:is>
          <x:t xml:space="preserve">DIM-12</x:t>
        </x:is>
      </x:c>
      <x:c r="B13" s="6" t="inlineStr">
        <x:is>
          <x:t xml:space="preserve">keyword</x:t>
        </x:is>
      </x:c>
      <x:c r="C13" s="6" t="inlineStr">
        <x:is>
          <x:t xml:space="preserve">کلمه کلیدی</x:t>
        </x:is>
      </x:c>
      <x:c r="D13" s="6" t="inlineStr">
        <x:is>
          <x:t xml:space="preserve">کلیدواژه هدف‌گیری‌شده در سرچ</x:t>
        </x:is>
      </x:c>
      <x:c r="E13" s="6" t="inlineStr">
        <x:is>
          <x:t xml:space="preserve">Marketing</x:t>
        </x:is>
      </x:c>
      <x:c r="F13" s="6" t="inlineStr">
        <x:is>
          <x:t xml:space="preserve">Keyword</x:t>
        </x:is>
      </x:c>
      <x:c r="G13" s="6" t="inlineStr">
        <x:is>
          <x:t xml:space="preserve">String</x:t>
        </x:is>
      </x:c>
      <x:c r="H13" s="6" t="inlineStr">
        <x:is>
          <x:t xml:space="preserve">Google Ads API</x:t>
        </x:is>
      </x:c>
      <x:c r="I13" s="6" t="inlineStr">
        <x:is>
          <x:t xml:space="preserve">keyword_id</x:t>
        </x:is>
      </x:c>
      <x:c r="J13" s="6" t="inlineStr">
        <x:is>
          <x:t xml:space="preserve">کلیدواژه</x:t>
        </x:is>
      </x:c>
      <x:c r="K13" s="6" t="inlineStr">
        <x:is>
          <x:t xml:space="preserve">adgroup → keyword</x:t>
        </x:is>
      </x:c>
      <x:c r="L13" s="6" t="inlineStr">
        <x:is>
          <x:t xml:space="preserve">—</x:t>
        </x:is>
      </x:c>
      <x:c r="M13" s="6" t="inlineStr">
        <x:is>
          <x:t xml:space="preserve">keyword_id</x:t>
        </x:is>
      </x:c>
      <x:c r="N13" s="6" t="inlineStr">
        <x:is>
          <x:t xml:space="preserve">SCD-2</x:t>
        </x:is>
      </x:c>
      <x:c r="O13" s="6" t="inlineStr">
        <x:is>
          <x:t xml:space="preserve">REP-04</x:t>
        </x:is>
      </x:c>
      <x:c r="P13" s="6" t="inlineStr">
        <x:is>
          <x:t xml:space="preserve">KPI-06,KPI-08,KPI-40</x:t>
        </x:is>
      </x:c>
      <x:c r="Q13" s="19" t="inlineStr">
        <x:is>
          <x:t xml:space="preserve">W4</x:t>
        </x:is>
      </x:c>
      <x:c r="R13" s="19" t="inlineStr">
        <x:is>
          <x:t xml:space="preserve">Data Engineer</x:t>
        </x:is>
      </x:c>
      <x:c r="S13" s="6" t="inlineStr">
        <x:is>
          <x:t xml:space="preserve">تطبیق با ID گوگل</x:t>
        </x:is>
      </x:c>
      <x:c r="T13" s="30" t="str">
        <x:v>DIM-12</x:v>
      </x:c>
      <x:c r="U13" s="30" t="str">
        <x:v>Proposed</x:v>
      </x:c>
    </x:row>
    <x:row r="14">
      <x:c r="A14" s="17" t="inlineStr">
        <x:is>
          <x:t xml:space="preserve">DIM-13</x:t>
        </x:is>
      </x:c>
      <x:c r="B14" s="4" t="inlineStr">
        <x:is>
          <x:t xml:space="preserve">keyword_match_type</x:t>
        </x:is>
      </x:c>
      <x:c r="C14" s="4" t="inlineStr">
        <x:is>
          <x:t xml:space="preserve">نوع انطباق کلیدواژه</x:t>
        </x:is>
      </x:c>
      <x:c r="D14" s="4" t="inlineStr">
        <x:is>
          <x:t xml:space="preserve">Exact/Phrase/Broad</x:t>
        </x:is>
      </x:c>
      <x:c r="E14" s="4" t="inlineStr">
        <x:is>
          <x:t xml:space="preserve">Marketing</x:t>
        </x:is>
      </x:c>
      <x:c r="F14" s="4" t="inlineStr">
        <x:is>
          <x:t xml:space="preserve">Keyword</x:t>
        </x:is>
      </x:c>
      <x:c r="G14" s="4" t="inlineStr">
        <x:is>
          <x:t xml:space="preserve">Enum</x:t>
        </x:is>
      </x:c>
      <x:c r="H14" s="4" t="inlineStr">
        <x:is>
          <x:t xml:space="preserve">Google Ads</x:t>
        </x:is>
      </x:c>
      <x:c r="I14" s="4" t="inlineStr">
        <x:is>
          <x:t xml:space="preserve">match_type</x:t>
        </x:is>
      </x:c>
      <x:c r="J14" s="4" t="inlineStr">
        <x:is>
          <x:t xml:space="preserve">کلیدواژه</x:t>
        </x:is>
      </x:c>
      <x:c r="K14" s="4" t="inlineStr">
        <x:is>
          <x:t xml:space="preserve">—</x:t>
        </x:is>
      </x:c>
      <x:c r="L14" s="4" t="inlineStr">
        <x:is>
          <x:t xml:space="preserve">exact/phrase/broad</x:t>
        </x:is>
      </x:c>
      <x:c r="M14" s="4" t="inlineStr">
        <x:is>
          <x:t xml:space="preserve">keyword_id</x:t>
        </x:is>
      </x:c>
      <x:c r="N14" s="4" t="inlineStr">
        <x:is>
          <x:t xml:space="preserve">SCD-1</x:t>
        </x:is>
      </x:c>
      <x:c r="O14" s="4" t="inlineStr">
        <x:is>
          <x:t xml:space="preserve">REP-04</x:t>
        </x:is>
      </x:c>
      <x:c r="P14" s="4" t="inlineStr">
        <x:is>
          <x:t xml:space="preserve">KPI-08</x:t>
        </x:is>
      </x:c>
      <x:c r="Q14" s="17" t="inlineStr">
        <x:is>
          <x:t xml:space="preserve">W4</x:t>
        </x:is>
      </x:c>
      <x:c r="R14" s="17" t="inlineStr">
        <x:is>
          <x:t xml:space="preserve">Data Engineer</x:t>
        </x:is>
      </x:c>
      <x:c r="S14" s="4" t="inlineStr">
        <x:is>
          <x:t xml:space="preserve">فقط ۳ مقدار استاندارد</x:t>
        </x:is>
      </x:c>
      <x:c r="T14" s="30" t="str">
        <x:v>DIM-13</x:v>
      </x:c>
      <x:c r="U14" s="30" t="str">
        <x:v>Proposed</x:v>
      </x:c>
    </x:row>
    <x:row r="15">
      <x:c r="A15" s="19" t="inlineStr">
        <x:is>
          <x:t xml:space="preserve">DIM-14</x:t>
        </x:is>
      </x:c>
      <x:c r="B15" s="6" t="inlineStr">
        <x:is>
          <x:t xml:space="preserve">search_term</x:t>
        </x:is>
      </x:c>
      <x:c r="C15" s="6" t="inlineStr">
        <x:is>
          <x:t xml:space="preserve">عبارت جستجوشده</x:t>
        </x:is>
      </x:c>
      <x:c r="D15" s="6" t="inlineStr">
        <x:is>
          <x:t xml:space="preserve">کوئری واقعی کاربر در گوگل</x:t>
        </x:is>
      </x:c>
      <x:c r="E15" s="6" t="inlineStr">
        <x:is>
          <x:t xml:space="preserve">Marketing</x:t>
        </x:is>
      </x:c>
      <x:c r="F15" s="6" t="inlineStr">
        <x:is>
          <x:t xml:space="preserve">Search Term</x:t>
        </x:is>
      </x:c>
      <x:c r="G15" s="6" t="inlineStr">
        <x:is>
          <x:t xml:space="preserve">String</x:t>
        </x:is>
      </x:c>
      <x:c r="H15" s="6" t="inlineStr">
        <x:is>
          <x:t xml:space="preserve">Search Query report</x:t>
        </x:is>
      </x:c>
      <x:c r="I15" s="6" t="inlineStr">
        <x:is>
          <x:t xml:space="preserve">query_text</x:t>
        </x:is>
      </x:c>
      <x:c r="J15" s="6" t="inlineStr">
        <x:is>
          <x:t xml:space="preserve">کوئری</x:t>
        </x:is>
      </x:c>
      <x:c r="K15" s="6" t="inlineStr">
        <x:is>
          <x:t xml:space="preserve">keyword → search_term</x:t>
        </x:is>
      </x:c>
      <x:c r="L15" s="6" t="inlineStr">
        <x:is>
          <x:t xml:space="preserve">—</x:t>
        </x:is>
      </x:c>
      <x:c r="M15" s="6" t="inlineStr">
        <x:is>
          <x:t xml:space="preserve">search_term_id</x:t>
        </x:is>
      </x:c>
      <x:c r="N15" s="6" t="inlineStr">
        <x:is>
          <x:t xml:space="preserve">SCD-1</x:t>
        </x:is>
      </x:c>
      <x:c r="O15" s="6" t="inlineStr">
        <x:is>
          <x:t xml:space="preserve">REP-04</x:t>
        </x:is>
      </x:c>
      <x:c r="P15" s="6" t="inlineStr">
        <x:is>
          <x:t xml:space="preserve">KPI-08,KPI-40</x:t>
        </x:is>
      </x:c>
      <x:c r="Q15" s="19" t="inlineStr">
        <x:is>
          <x:t xml:space="preserve">W4</x:t>
        </x:is>
      </x:c>
      <x:c r="R15" s="19" t="inlineStr">
        <x:is>
          <x:t xml:space="preserve">Data Engineer</x:t>
        </x:is>
      </x:c>
      <x:c r="S15" s="6" t="inlineStr">
        <x:is>
          <x:t xml:space="preserve">پاک‌سازی نام اشخاص حقیقی</x:t>
        </x:is>
      </x:c>
      <x:c r="T15" s="30" t="str">
        <x:v>DIM-14</x:v>
      </x:c>
      <x:c r="U15" s="30" t="str">
        <x:v>Proposed</x:v>
      </x:c>
    </x:row>
    <x:row r="16">
      <x:c r="A16" s="17" t="inlineStr">
        <x:is>
          <x:t xml:space="preserve">DIM-15</x:t>
        </x:is>
      </x:c>
      <x:c r="B16" s="4" t="inlineStr">
        <x:is>
          <x:t xml:space="preserve">landing_page</x:t>
        </x:is>
      </x:c>
      <x:c r="C16" s="4" t="inlineStr">
        <x:is>
          <x:t xml:space="preserve">صفحه فرود</x:t>
        </x:is>
      </x:c>
      <x:c r="D16" s="4" t="inlineStr">
        <x:is>
          <x:t xml:space="preserve">لندینگ‌پیج کمپین</x:t>
        </x:is>
      </x:c>
      <x:c r="E16" s="4" t="inlineStr">
        <x:is>
          <x:t xml:space="preserve">Web</x:t>
        </x:is>
      </x:c>
      <x:c r="F16" s="4" t="inlineStr">
        <x:is>
          <x:t xml:space="preserve">Landing Page</x:t>
        </x:is>
      </x:c>
      <x:c r="G16" s="4" t="inlineStr">
        <x:is>
          <x:t xml:space="preserve">String</x:t>
        </x:is>
      </x:c>
      <x:c r="H16" s="4" t="inlineStr">
        <x:is>
          <x:t xml:space="preserve">CMS/لندینگ‌ساز</x:t>
        </x:is>
      </x:c>
      <x:c r="I16" s="4" t="inlineStr">
        <x:is>
          <x:t xml:space="preserve">landing_page_id</x:t>
        </x:is>
      </x:c>
      <x:c r="J16" s="4" t="inlineStr">
        <x:is>
          <x:t xml:space="preserve">URL</x:t>
        </x:is>
      </x:c>
      <x:c r="K16" s="4" t="inlineStr">
        <x:is>
          <x:t xml:space="preserve">domain → path</x:t>
        </x:is>
      </x:c>
      <x:c r="L16" s="4" t="inlineStr">
        <x:is>
          <x:t xml:space="preserve">—</x:t>
        </x:is>
      </x:c>
      <x:c r="M16" s="4" t="inlineStr">
        <x:is>
          <x:t xml:space="preserve">landing_page_id</x:t>
        </x:is>
      </x:c>
      <x:c r="N16" s="4" t="inlineStr">
        <x:is>
          <x:t xml:space="preserve">SCD-2</x:t>
        </x:is>
      </x:c>
      <x:c r="O16" s="4" t="inlineStr">
        <x:is>
          <x:t xml:space="preserve">REP-10</x:t>
        </x:is>
      </x:c>
      <x:c r="P16" s="4" t="inlineStr">
        <x:is>
          <x:t xml:space="preserve">KPI-21,KPI-22,KPI-23</x:t>
        </x:is>
      </x:c>
      <x:c r="Q16" s="17" t="inlineStr">
        <x:is>
          <x:t xml:space="preserve">W4</x:t>
        </x:is>
      </x:c>
      <x:c r="R16" s="17" t="inlineStr">
        <x:is>
          <x:t xml:space="preserve">Data Engineer</x:t>
        </x:is>
      </x:c>
      <x:c r="S16" s="4" t="inlineStr">
        <x:is>
          <x:t xml:space="preserve">HTTPS؛ بدون توکن امنیتی در URL</x:t>
        </x:is>
      </x:c>
      <x:c r="T16" s="30" t="str">
        <x:v>DIM-15</x:v>
      </x:c>
      <x:c r="U16" s="30" t="str">
        <x:v>Proposed</x:v>
      </x:c>
    </x:row>
    <x:row r="17">
      <x:c r="A17" s="19" t="inlineStr">
        <x:is>
          <x:t xml:space="preserve">DIM-16</x:t>
        </x:is>
      </x:c>
      <x:c r="B17" s="6" t="inlineStr">
        <x:is>
          <x:t xml:space="preserve">product_sku</x:t>
        </x:is>
      </x:c>
      <x:c r="C17" s="6" t="inlineStr">
        <x:is>
          <x:t xml:space="preserve">کالای (SKU)</x:t>
        </x:is>
      </x:c>
      <x:c r="D17" s="6" t="inlineStr">
        <x:is>
          <x:t xml:space="preserve">واحد کالای انبار</x:t>
        </x:is>
      </x:c>
      <x:c r="E17" s="6" t="inlineStr">
        <x:is>
          <x:t xml:space="preserve">Product</x:t>
        </x:is>
      </x:c>
      <x:c r="F17" s="6" t="inlineStr">
        <x:is>
          <x:t xml:space="preserve">Product</x:t>
        </x:is>
      </x:c>
      <x:c r="G17" s="6" t="inlineStr">
        <x:is>
          <x:t xml:space="preserve">String</x:t>
        </x:is>
      </x:c>
      <x:c r="H17" s="6" t="inlineStr">
        <x:is>
          <x:t xml:space="preserve">WMS/ERP</x:t>
        </x:is>
      </x:c>
      <x:c r="I17" s="6" t="inlineStr">
        <x:is>
          <x:t xml:space="preserve">sku_id</x:t>
        </x:is>
      </x:c>
      <x:c r="J17" s="6" t="inlineStr">
        <x:is>
          <x:t xml:space="preserve">SKU</x:t>
        </x:is>
      </x:c>
      <x:c r="K17" s="6" t="inlineStr">
        <x:is>
          <x:t xml:space="preserve">category → brand → sku</x:t>
        </x:is>
      </x:c>
      <x:c r="L17" s="6" t="inlineStr">
        <x:is>
          <x:t xml:space="preserve">—</x:t>
        </x:is>
      </x:c>
      <x:c r="M17" s="6" t="inlineStr">
        <x:is>
          <x:t xml:space="preserve">sku_id</x:t>
        </x:is>
      </x:c>
      <x:c r="N17" s="6" t="inlineStr">
        <x:is>
          <x:t xml:space="preserve">SCD-2</x:t>
        </x:is>
      </x:c>
      <x:c r="O17" s="6" t="inlineStr">
        <x:is>
          <x:t xml:space="preserve">REP-13</x:t>
        </x:is>
      </x:c>
      <x:c r="P17" s="6" t="inlineStr">
        <x:is>
          <x:t xml:space="preserve">KPI-35,KPI-41,KPI-44</x:t>
        </x:is>
      </x:c>
      <x:c r="Q17" s="19" t="inlineStr">
        <x:is>
          <x:t xml:space="preserve">W3</x:t>
        </x:is>
      </x:c>
      <x:c r="R17" s="19" t="inlineStr">
        <x:is>
          <x:t xml:space="preserve">Data Engineer</x:t>
        </x:is>
      </x:c>
      <x:c r="S17" s="6" t="inlineStr">
        <x:is>
          <x:t xml:space="preserve">یکتایی مطلق؛ بدون رکورد تکراری</x:t>
        </x:is>
      </x:c>
      <x:c r="T17" s="30" t="str">
        <x:v>DIM-16</x:v>
      </x:c>
      <x:c r="U17" s="30" t="str">
        <x:v>Proposed</x:v>
      </x:c>
    </x:row>
    <x:row r="18">
      <x:c r="A18" s="17" t="inlineStr">
        <x:is>
          <x:t xml:space="preserve">DIM-17</x:t>
        </x:is>
      </x:c>
      <x:c r="B18" s="4" t="inlineStr">
        <x:is>
          <x:t xml:space="preserve">product_category</x:t>
        </x:is>
      </x:c>
      <x:c r="C18" s="4" t="inlineStr">
        <x:is>
          <x:t xml:space="preserve">دسته‌بندی کالا</x:t>
        </x:is>
      </x:c>
      <x:c r="D18" s="4" t="inlineStr">
        <x:is>
          <x:t xml:space="preserve">رده درمانی/کالایی</x:t>
        </x:is>
      </x:c>
      <x:c r="E18" s="4" t="inlineStr">
        <x:is>
          <x:t xml:space="preserve">Product</x:t>
        </x:is>
      </x:c>
      <x:c r="F18" s="4" t="inlineStr">
        <x:is>
          <x:t xml:space="preserve">Category</x:t>
        </x:is>
      </x:c>
      <x:c r="G18" s="4" t="inlineStr">
        <x:is>
          <x:t xml:space="preserve">String</x:t>
        </x:is>
      </x:c>
      <x:c r="H18" s="4" t="inlineStr">
        <x:is>
          <x:t xml:space="preserve">کاتالوگ ERP</x:t>
        </x:is>
      </x:c>
      <x:c r="I18" s="4" t="inlineStr">
        <x:is>
          <x:t xml:space="preserve">category_id</x:t>
        </x:is>
      </x:c>
      <x:c r="J18" s="4" t="inlineStr">
        <x:is>
          <x:t xml:space="preserve">دسته</x:t>
        </x:is>
      </x:c>
      <x:c r="K18" s="4" t="inlineStr">
        <x:is>
          <x:t xml:space="preserve">root → L1 → L2 → L3</x:t>
        </x:is>
      </x:c>
      <x:c r="L18" s="4" t="inlineStr">
        <x:is>
          <x:t xml:space="preserve">—</x:t>
        </x:is>
      </x:c>
      <x:c r="M18" s="4" t="inlineStr">
        <x:is>
          <x:t xml:space="preserve">category_id</x:t>
        </x:is>
      </x:c>
      <x:c r="N18" s="4" t="inlineStr">
        <x:is>
          <x:t xml:space="preserve">SCD-2</x:t>
        </x:is>
      </x:c>
      <x:c r="O18" s="4" t="inlineStr">
        <x:is>
          <x:t xml:space="preserve">REP-14</x:t>
        </x:is>
      </x:c>
      <x:c r="P18" s="4" t="inlineStr">
        <x:is>
          <x:t xml:space="preserve">KPI-33,KPI-44,KPI-49</x:t>
        </x:is>
      </x:c>
      <x:c r="Q18" s="17" t="inlineStr">
        <x:is>
          <x:t xml:space="preserve">W3</x:t>
        </x:is>
      </x:c>
      <x:c r="R18" s="17" t="inlineStr">
        <x:is>
          <x:t xml:space="preserve">Data Engineer</x:t>
        </x:is>
      </x:c>
      <x:c r="S18" s="4" t="inlineStr">
        <x:is>
          <x:t xml:space="preserve">کالای بدون رده ممنوع</x:t>
        </x:is>
      </x:c>
      <x:c r="T18" s="30" t="str">
        <x:v>DIM-17</x:v>
      </x:c>
      <x:c r="U18" s="30" t="str">
        <x:v>Proposed</x:v>
      </x:c>
    </x:row>
    <x:row r="19">
      <x:c r="A19" s="19" t="inlineStr">
        <x:is>
          <x:t xml:space="preserve">DIM-18</x:t>
        </x:is>
      </x:c>
      <x:c r="B19" s="6" t="inlineStr">
        <x:is>
          <x:t xml:space="preserve">brand</x:t>
        </x:is>
      </x:c>
      <x:c r="C19" s="6" t="inlineStr">
        <x:is>
          <x:t xml:space="preserve">برند سازنده</x:t>
        </x:is>
      </x:c>
      <x:c r="D19" s="6" t="inlineStr">
        <x:is>
          <x:t xml:space="preserve">برند تجاری کالا</x:t>
        </x:is>
      </x:c>
      <x:c r="E19" s="6" t="inlineStr">
        <x:is>
          <x:t xml:space="preserve">Product</x:t>
        </x:is>
      </x:c>
      <x:c r="F19" s="6" t="inlineStr">
        <x:is>
          <x:t xml:space="preserve">Brand</x:t>
        </x:is>
      </x:c>
      <x:c r="G19" s="6" t="inlineStr">
        <x:is>
          <x:t xml:space="preserve">String</x:t>
        </x:is>
      </x:c>
      <x:c r="H19" s="6" t="inlineStr">
        <x:is>
          <x:t xml:space="preserve">کاتالوگ بازرگانی</x:t>
        </x:is>
      </x:c>
      <x:c r="I19" s="6" t="inlineStr">
        <x:is>
          <x:t xml:space="preserve">brand_id</x:t>
        </x:is>
      </x:c>
      <x:c r="J19" s="6" t="inlineStr">
        <x:is>
          <x:t xml:space="preserve">برند</x:t>
        </x:is>
      </x:c>
      <x:c r="K19" s="6" t="inlineStr">
        <x:is>
          <x:t xml:space="preserve">—</x:t>
        </x:is>
      </x:c>
      <x:c r="L19" s="6" t="inlineStr">
        <x:is>
          <x:t xml:space="preserve">—</x:t>
        </x:is>
      </x:c>
      <x:c r="M19" s="6" t="inlineStr">
        <x:is>
          <x:t xml:space="preserve">brand_id</x:t>
        </x:is>
      </x:c>
      <x:c r="N19" s="6" t="inlineStr">
        <x:is>
          <x:t xml:space="preserve">SCD-2</x:t>
        </x:is>
      </x:c>
      <x:c r="O19" s="6" t="inlineStr">
        <x:is>
          <x:t xml:space="preserve">REP-14</x:t>
        </x:is>
      </x:c>
      <x:c r="P19" s="6" t="inlineStr">
        <x:is>
          <x:t xml:space="preserve">KPI-44</x:t>
        </x:is>
      </x:c>
      <x:c r="Q19" s="19" t="inlineStr">
        <x:is>
          <x:t xml:space="preserve">W3</x:t>
        </x:is>
      </x:c>
      <x:c r="R19" s="19" t="inlineStr">
        <x:is>
          <x:t xml:space="preserve">Data Engineer</x:t>
        </x:is>
      </x:c>
      <x:c r="S19" s="6" t="inlineStr">
        <x:is>
          <x:t xml:space="preserve">کد یکتای برند</x:t>
        </x:is>
      </x:c>
      <x:c r="T19" s="30" t="str">
        <x:v>DIM-18</x:v>
      </x:c>
      <x:c r="U19" s="30" t="str">
        <x:v>Proposed</x:v>
      </x:c>
    </x:row>
    <x:row r="20">
      <x:c r="A20" s="17" t="inlineStr">
        <x:is>
          <x:t xml:space="preserve">DIM-19</x:t>
        </x:is>
      </x:c>
      <x:c r="B20" s="4" t="inlineStr">
        <x:is>
          <x:t xml:space="preserve">customer_segment</x:t>
        </x:is>
      </x:c>
      <x:c r="C20" s="4" t="inlineStr">
        <x:is>
          <x:t xml:space="preserve">سگمنت مشتری (رفتاری)</x:t>
        </x:is>
      </x:c>
      <x:c r="D20" s="4" t="inlineStr">
        <x:is>
          <x:t xml:space="preserve">خوشه رفتاری کلینیک‌ها</x:t>
        </x:is>
      </x:c>
      <x:c r="E20" s="4" t="inlineStr">
        <x:is>
          <x:t xml:space="preserve">Customer</x:t>
        </x:is>
      </x:c>
      <x:c r="F20" s="4" t="inlineStr">
        <x:is>
          <x:t xml:space="preserve">Customer</x:t>
        </x:is>
      </x:c>
      <x:c r="G20" s="4" t="inlineStr">
        <x:is>
          <x:t xml:space="preserve">String</x:t>
        </x:is>
      </x:c>
      <x:c r="H20" s="4" t="inlineStr">
        <x:is>
          <x:t xml:space="preserve">خوشه‌بندی DWH (MOD-16)</x:t>
        </x:is>
      </x:c>
      <x:c r="I20" s="4" t="inlineStr">
        <x:is>
          <x:t xml:space="preserve">segment_id</x:t>
        </x:is>
      </x:c>
      <x:c r="J20" s="4" t="inlineStr">
        <x:is>
          <x:t xml:space="preserve">مشتری</x:t>
        </x:is>
      </x:c>
      <x:c r="K20" s="4" t="inlineStr">
        <x:is>
          <x:t xml:space="preserve">—</x:t>
        </x:is>
      </x:c>
      <x:c r="L20" s="4" t="inlineStr">
        <x:is>
          <x:t xml:space="preserve">chain_vip/surge_lux/solo_general/student</x:t>
        </x:is>
      </x:c>
      <x:c r="M20" s="4" t="inlineStr">
        <x:is>
          <x:t xml:space="preserve">master_customer_id</x:t>
        </x:is>
      </x:c>
      <x:c r="N20" s="4" t="inlineStr">
        <x:is>
          <x:t xml:space="preserve">SCD-2</x:t>
        </x:is>
      </x:c>
      <x:c r="O20" s="4" t="inlineStr">
        <x:is>
          <x:t xml:space="preserve">REP-18</x:t>
        </x:is>
      </x:c>
      <x:c r="P20" s="4" t="inlineStr">
        <x:is>
          <x:t xml:space="preserve">KPI-35,KPI-57</x:t>
        </x:is>
      </x:c>
      <x:c r="Q20" s="17" t="inlineStr">
        <x:is>
          <x:t xml:space="preserve">W5</x:t>
        </x:is>
      </x:c>
      <x:c r="R20" s="17" t="inlineStr">
        <x:is>
          <x:t xml:space="preserve">Data Scientist</x:t>
        </x:is>
      </x:c>
      <x:c r="S20" s="4" t="inlineStr">
        <x:is>
          <x:t xml:space="preserve">اجرای فصلی؛ Silhouette &gt; 0.65</x:t>
        </x:is>
      </x:c>
      <x:c r="T20" s="30" t="str">
        <x:v>DIM-19</x:v>
      </x:c>
      <x:c r="U20" s="30" t="str">
        <x:v>Proposed</x:v>
      </x:c>
    </x:row>
    <x:row r="21">
      <x:c r="A21" s="19" t="inlineStr">
        <x:is>
          <x:t xml:space="preserve">DIM-20</x:t>
        </x:is>
      </x:c>
      <x:c r="B21" s="6" t="inlineStr">
        <x:is>
          <x:t xml:space="preserve">rfm_segment</x:t>
        </x:is>
      </x:c>
      <x:c r="C21" s="6" t="inlineStr">
        <x:is>
          <x:t xml:space="preserve">سگمنت RFM</x:t>
        </x:is>
      </x:c>
      <x:c r="D21" s="6" t="inlineStr">
        <x:is>
          <x:t xml:space="preserve">طبقه‌بندی RFM ۱۰ طبقه</x:t>
        </x:is>
      </x:c>
      <x:c r="E21" s="6" t="inlineStr">
        <x:is>
          <x:t xml:space="preserve">Customer</x:t>
        </x:is>
      </x:c>
      <x:c r="F21" s="6" t="inlineStr">
        <x:is>
          <x:t xml:space="preserve">Customer</x:t>
        </x:is>
      </x:c>
      <x:c r="G21" s="6" t="inlineStr">
        <x:is>
          <x:t xml:space="preserve">String</x:t>
        </x:is>
      </x:c>
      <x:c r="H21" s="6" t="inlineStr">
        <x:is>
          <x:t xml:space="preserve">dbt RFM Engine</x:t>
        </x:is>
      </x:c>
      <x:c r="I21" s="6" t="inlineStr">
        <x:is>
          <x:t xml:space="preserve">rfm_tier</x:t>
        </x:is>
      </x:c>
      <x:c r="J21" s="6" t="inlineStr">
        <x:is>
          <x:t xml:space="preserve">مشتری</x:t>
        </x:is>
      </x:c>
      <x:c r="K21" s="6" t="inlineStr">
        <x:is>
          <x:t xml:space="preserve">—</x:t>
        </x:is>
      </x:c>
      <x:c r="L21" s="6" t="inlineStr">
        <x:is>
          <x:t xml:space="preserve">champions/loyal/at_risk/hibernating/lost/...</x:t>
        </x:is>
      </x:c>
      <x:c r="M21" s="6" t="inlineStr">
        <x:is>
          <x:t xml:space="preserve">master_customer_id</x:t>
        </x:is>
      </x:c>
      <x:c r="N21" s="6" t="inlineStr">
        <x:is>
          <x:t xml:space="preserve">SCD-1</x:t>
        </x:is>
      </x:c>
      <x:c r="O21" s="6" t="inlineStr">
        <x:is>
          <x:t xml:space="preserve">REP-19</x:t>
        </x:is>
      </x:c>
      <x:c r="P21" s="6" t="inlineStr">
        <x:is>
          <x:t xml:space="preserve">KPI-53,KPI-55,KPI-56</x:t>
        </x:is>
      </x:c>
      <x:c r="Q21" s="19" t="inlineStr">
        <x:is>
          <x:t xml:space="preserve">W5</x:t>
        </x:is>
      </x:c>
      <x:c r="R21" s="19" t="inlineStr">
        <x:is>
          <x:t xml:space="preserve">Data Analyst</x:t>
        </x:is>
      </x:c>
      <x:c r="S21" s="6" t="inlineStr">
        <x:is>
          <x:t xml:space="preserve">محاسبه هفتگی خودکار</x:t>
        </x:is>
      </x:c>
      <x:c r="T21" s="30" t="str">
        <x:v>DIM-20</x:v>
      </x:c>
      <x:c r="U21" s="30" t="str">
        <x:v>Proposed</x:v>
      </x:c>
    </x:row>
    <x:row r="22">
      <x:c r="A22" s="17" t="inlineStr">
        <x:is>
          <x:t xml:space="preserve">DIM-21</x:t>
        </x:is>
      </x:c>
      <x:c r="B22" s="4" t="inlineStr">
        <x:is>
          <x:t xml:space="preserve">geography_province</x:t>
        </x:is>
      </x:c>
      <x:c r="C22" s="4" t="inlineStr">
        <x:is>
          <x:t xml:space="preserve">استان</x:t>
        </x:is>
      </x:c>
      <x:c r="D22" s="4" t="inlineStr">
        <x:is>
          <x:t xml:space="preserve">استان تحویل/فعالیت</x:t>
        </x:is>
      </x:c>
      <x:c r="E22" s="4" t="inlineStr">
        <x:is>
          <x:t xml:space="preserve">Geography</x:t>
        </x:is>
      </x:c>
      <x:c r="F22" s="4" t="inlineStr">
        <x:is>
          <x:t xml:space="preserve">Order</x:t>
        </x:is>
      </x:c>
      <x:c r="G22" s="4" t="inlineStr">
        <x:is>
          <x:t xml:space="preserve">String</x:t>
        </x:is>
      </x:c>
      <x:c r="H22" s="4" t="inlineStr">
        <x:is>
          <x:t xml:space="preserve">فاکتور/CRM</x:t>
        </x:is>
      </x:c>
      <x:c r="I22" s="4" t="inlineStr">
        <x:is>
          <x:t xml:space="preserve">province</x:t>
        </x:is>
      </x:c>
      <x:c r="J22" s="4" t="inlineStr">
        <x:is>
          <x:t xml:space="preserve">سفارش</x:t>
        </x:is>
      </x:c>
      <x:c r="K22" s="4" t="inlineStr">
        <x:is>
          <x:t xml:space="preserve">country → province</x:t>
        </x:is>
      </x:c>
      <x:c r="L22" s="4" t="inlineStr">
        <x:is>
          <x:t xml:space="preserve">—</x:t>
        </x:is>
      </x:c>
      <x:c r="M22" s="4" t="inlineStr">
        <x:is>
          <x:t xml:space="preserve">order_delivery_city_name</x:t>
        </x:is>
      </x:c>
      <x:c r="N22" s="4" t="inlineStr">
        <x:is>
          <x:t xml:space="preserve">SCD-1</x:t>
        </x:is>
      </x:c>
      <x:c r="O22" s="4" t="inlineStr">
        <x:is>
          <x:t xml:space="preserve">REP-39</x:t>
        </x:is>
      </x:c>
      <x:c r="P22" s="4" t="inlineStr">
        <x:is>
          <x:t xml:space="preserve">KPI-33,KPI-55</x:t>
        </x:is>
      </x:c>
      <x:c r="Q22" s="17" t="inlineStr">
        <x:is>
          <x:t xml:space="preserve">W3</x:t>
        </x:is>
      </x:c>
      <x:c r="R22" s="17" t="inlineStr">
        <x:is>
          <x:t xml:space="preserve">Data Engineer</x:t>
        </x:is>
      </x:c>
      <x:c r="S22" s="4" t="inlineStr">
        <x:is>
          <x:t xml:space="preserve">اسامی استاندارد تقسیمات کشوری</x:t>
        </x:is>
      </x:c>
      <x:c r="T22" s="30" t="str">
        <x:v>DIM-21</x:v>
      </x:c>
      <x:c r="U22" s="30" t="str">
        <x:v>Proposed</x:v>
      </x:c>
    </x:row>
    <x:row r="23">
      <x:c r="A23" s="19" t="inlineStr">
        <x:is>
          <x:t xml:space="preserve">DIM-22</x:t>
        </x:is>
      </x:c>
      <x:c r="B23" s="6" t="inlineStr">
        <x:is>
          <x:t xml:space="preserve">geography_city</x:t>
        </x:is>
      </x:c>
      <x:c r="C23" s="6" t="inlineStr">
        <x:is>
          <x:t xml:space="preserve">شهر</x:t>
        </x:is>
      </x:c>
      <x:c r="D23" s="6" t="inlineStr">
        <x:is>
          <x:t xml:space="preserve">شهر تحویل/فعالیت</x:t>
        </x:is>
      </x:c>
      <x:c r="E23" s="6" t="inlineStr">
        <x:is>
          <x:t xml:space="preserve">Geography</x:t>
        </x:is>
      </x:c>
      <x:c r="F23" s="6" t="inlineStr">
        <x:is>
          <x:t xml:space="preserve">Order</x:t>
        </x:is>
      </x:c>
      <x:c r="G23" s="6" t="inlineStr">
        <x:is>
          <x:t xml:space="preserve">String</x:t>
        </x:is>
      </x:c>
      <x:c r="H23" s="6" t="inlineStr">
        <x:is>
          <x:t xml:space="preserve">فاکتور/CRM</x:t>
        </x:is>
      </x:c>
      <x:c r="I23" s="6" t="inlineStr">
        <x:is>
          <x:t xml:space="preserve">city</x:t>
        </x:is>
      </x:c>
      <x:c r="J23" s="6" t="inlineStr">
        <x:is>
          <x:t xml:space="preserve">سفارش</x:t>
        </x:is>
      </x:c>
      <x:c r="K23" s="6" t="inlineStr">
        <x:is>
          <x:t xml:space="preserve">province → city</x:t>
        </x:is>
      </x:c>
      <x:c r="L23" s="6" t="inlineStr">
        <x:is>
          <x:t xml:space="preserve">—</x:t>
        </x:is>
      </x:c>
      <x:c r="M23" s="6" t="inlineStr">
        <x:is>
          <x:t xml:space="preserve">order_delivery_city_name</x:t>
        </x:is>
      </x:c>
      <x:c r="N23" s="6" t="inlineStr">
        <x:is>
          <x:t xml:space="preserve">SCD-1</x:t>
        </x:is>
      </x:c>
      <x:c r="O23" s="6" t="inlineStr">
        <x:is>
          <x:t xml:space="preserve">REP-39</x:t>
        </x:is>
      </x:c>
      <x:c r="P23" s="6" t="inlineStr">
        <x:is>
          <x:t xml:space="preserve">KPI-33</x:t>
        </x:is>
      </x:c>
      <x:c r="Q23" s="19" t="inlineStr">
        <x:is>
          <x:t xml:space="preserve">W3</x:t>
        </x:is>
      </x:c>
      <x:c r="R23" s="19" t="inlineStr">
        <x:is>
          <x:t xml:space="preserve">Data Engineer</x:t>
        </x:is>
      </x:c>
      <x:c r="S23" s="6" t="inlineStr">
        <x:is>
          <x:t xml:space="preserve">مطابحت جدول شهرها</x:t>
        </x:is>
      </x:c>
      <x:c r="T23" s="30" t="str">
        <x:v>DIM-22</x:v>
      </x:c>
      <x:c r="U23" s="30" t="str">
        <x:v>Proposed</x:v>
      </x:c>
    </x:row>
    <x:row r="24">
      <x:c r="A24" s="17" t="inlineStr">
        <x:is>
          <x:t xml:space="preserve">DIM-23</x:t>
        </x:is>
      </x:c>
      <x:c r="B24" s="4" t="inlineStr">
        <x:is>
          <x:t xml:space="preserve">device_category</x:t>
        </x:is>
      </x:c>
      <x:c r="C24" s="4" t="inlineStr">
        <x:is>
          <x:t xml:space="preserve">رده دستگاه</x:t>
        </x:is>
      </x:c>
      <x:c r="D24" s="4" t="inlineStr">
        <x:is>
          <x:t xml:space="preserve">موبایل/دسکتاپ/تبلت</x:t>
        </x:is>
      </x:c>
      <x:c r="E24" s="4" t="inlineStr">
        <x:is>
          <x:t xml:space="preserve">Web</x:t>
        </x:is>
      </x:c>
      <x:c r="F24" s="4" t="inlineStr">
        <x:is>
          <x:t xml:space="preserve">Session</x:t>
        </x:is>
      </x:c>
      <x:c r="G24" s="4" t="inlineStr">
        <x:is>
          <x:t xml:space="preserve">Enum</x:t>
        </x:is>
      </x:c>
      <x:c r="H24" s="4" t="inlineStr">
        <x:is>
          <x:t xml:space="preserve">GA4</x:t>
        </x:is>
      </x:c>
      <x:c r="I24" s="4" t="inlineStr">
        <x:is>
          <x:t xml:space="preserve">device_category</x:t>
        </x:is>
      </x:c>
      <x:c r="J24" s="4" t="inlineStr">
        <x:is>
          <x:t xml:space="preserve">سشن</x:t>
        </x:is>
      </x:c>
      <x:c r="K24" s="4" t="inlineStr">
        <x:is>
          <x:t xml:space="preserve">—</x:t>
        </x:is>
      </x:c>
      <x:c r="L24" s="4" t="inlineStr">
        <x:is>
          <x:t xml:space="preserve">mobile/desktop/tablet</x:t>
        </x:is>
      </x:c>
      <x:c r="M24" s="4" t="inlineStr">
        <x:is>
          <x:t xml:space="preserve">session_id</x:t>
        </x:is>
      </x:c>
      <x:c r="N24" s="4" t="inlineStr">
        <x:is>
          <x:t xml:space="preserve">SCD-1</x:t>
        </x:is>
      </x:c>
      <x:c r="O24" s="4" t="inlineStr">
        <x:is>
          <x:t xml:space="preserve">REP-40</x:t>
        </x:is>
      </x:c>
      <x:c r="P24" s="4" t="inlineStr">
        <x:is>
          <x:t xml:space="preserve">KPI-21,KPI-31</x:t>
        </x:is>
      </x:c>
      <x:c r="Q24" s="17" t="inlineStr">
        <x:is>
          <x:t xml:space="preserve">W2</x:t>
        </x:is>
      </x:c>
      <x:c r="R24" s="17" t="inlineStr">
        <x:is>
          <x:t xml:space="preserve">Data Engineer</x:t>
        </x:is>
      </x:c>
      <x:c r="S24" s="4" t="inlineStr">
        <x:is>
          <x:t xml:space="preserve">خطای نامشخص &lt; 1٪</x:t>
        </x:is>
      </x:c>
      <x:c r="T24" s="30" t="str">
        <x:v>DIM-23</x:v>
      </x:c>
      <x:c r="U24" s="30" t="str">
        <x:v>Proposed</x:v>
      </x:c>
    </x:row>
    <x:row r="25">
      <x:c r="A25" s="19" t="inlineStr">
        <x:is>
          <x:t xml:space="preserve">DIM-24</x:t>
        </x:is>
      </x:c>
      <x:c r="B25" s="6" t="inlineStr">
        <x:is>
          <x:t xml:space="preserve">operating_system</x:t>
        </x:is>
      </x:c>
      <x:c r="C25" s="6" t="inlineStr">
        <x:is>
          <x:t xml:space="preserve">سیستم‌عامل</x:t>
        </x:is>
      </x:c>
      <x:c r="D25" s="6" t="inlineStr">
        <x:is>
          <x:t xml:space="preserve">OS مرورگر/دستگاه</x:t>
        </x:is>
      </x:c>
      <x:c r="E25" s="6" t="inlineStr">
        <x:is>
          <x:t xml:space="preserve">Web</x:t>
        </x:is>
      </x:c>
      <x:c r="F25" s="6" t="inlineStr">
        <x:is>
          <x:t xml:space="preserve">Session</x:t>
        </x:is>
      </x:c>
      <x:c r="G25" s="6" t="inlineStr">
        <x:is>
          <x:t xml:space="preserve">String</x:t>
        </x:is>
      </x:c>
      <x:c r="H25" s="6" t="inlineStr">
        <x:is>
          <x:t xml:space="preserve">User-Agent</x:t>
        </x:is>
      </x:c>
      <x:c r="I25" s="6" t="inlineStr">
        <x:is>
          <x:t xml:space="preserve">os</x:t>
        </x:is>
      </x:c>
      <x:c r="J25" s="6" t="inlineStr">
        <x:is>
          <x:t xml:space="preserve">سشن</x:t>
        </x:is>
      </x:c>
      <x:c r="K25" s="6" t="inlineStr">
        <x:is>
          <x:t xml:space="preserve">—</x:t>
        </x:is>
      </x:c>
      <x:c r="L25" s="6" t="inlineStr">
        <x:is>
          <x:t xml:space="preserve">ios/android/windows/macos</x:t>
        </x:is>
      </x:c>
      <x:c r="M25" s="6" t="inlineStr">
        <x:is>
          <x:t xml:space="preserve">session_id</x:t>
        </x:is>
      </x:c>
      <x:c r="N25" s="6" t="inlineStr">
        <x:is>
          <x:t xml:space="preserve">SCD-1</x:t>
        </x:is>
      </x:c>
      <x:c r="O25" s="6" t="inlineStr">
        <x:is>
          <x:t xml:space="preserve">REP-40</x:t>
        </x:is>
      </x:c>
      <x:c r="P25" s="6" t="inlineStr">
        <x:is>
          <x:t xml:space="preserve">KPI-31</x:t>
        </x:is>
      </x:c>
      <x:c r="Q25" s="19" t="inlineStr">
        <x:is>
          <x:t xml:space="preserve">W4</x:t>
        </x:is>
      </x:c>
      <x:c r="R25" s="19" t="inlineStr">
        <x:is>
          <x:t xml:space="preserve">Data Engineer</x:t>
        </x:is>
      </x:c>
      <x:c r="S25" s="6" t="inlineStr">
        <x:is>
          <x:t xml:space="preserve">بدون افشای مشخصات یونیک</x:t>
        </x:is>
      </x:c>
      <x:c r="T25" s="30" t="str">
        <x:v>DIM-24</x:v>
      </x:c>
      <x:c r="U25" s="30" t="str">
        <x:v>Proposed</x:v>
      </x:c>
    </x:row>
    <x:row r="26">
      <x:c r="A26" s="17" t="inlineStr">
        <x:is>
          <x:t xml:space="preserve">DIM-25</x:t>
        </x:is>
      </x:c>
      <x:c r="B26" s="4" t="inlineStr">
        <x:is>
          <x:t xml:space="preserve">sales_rep</x:t>
        </x:is>
      </x:c>
      <x:c r="C26" s="4" t="inlineStr">
        <x:is>
          <x:t xml:space="preserve">کارشناس فروش</x:t>
        </x:is>
      </x:c>
      <x:c r="D26" s="4" t="inlineStr">
        <x:is>
          <x:t xml:space="preserve">کارشناس مسئول اکانت</x:t>
        </x:is>
      </x:c>
      <x:c r="E26" s="4" t="inlineStr">
        <x:is>
          <x:t xml:space="preserve">Sales</x:t>
        </x:is>
      </x:c>
      <x:c r="F26" s="4" t="inlineStr">
        <x:is>
          <x:t xml:space="preserve">Salesperson</x:t>
        </x:is>
      </x:c>
      <x:c r="G26" s="4" t="inlineStr">
        <x:is>
          <x:t xml:space="preserve">String</x:t>
        </x:is>
      </x:c>
      <x:c r="H26" s="4" t="inlineStr">
        <x:is>
          <x:t xml:space="preserve">CRM/HR</x:t>
        </x:is>
      </x:c>
      <x:c r="I26" s="4" t="inlineStr">
        <x:is>
          <x:t xml:space="preserve">sales_rep_id</x:t>
        </x:is>
      </x:c>
      <x:c r="J26" s="4" t="inlineStr">
        <x:is>
          <x:t xml:space="preserve">کارشناس</x:t>
        </x:is>
      </x:c>
      <x:c r="K26" s="4" t="inlineStr">
        <x:is>
          <x:t xml:space="preserve">territory → rep</x:t>
        </x:is>
      </x:c>
      <x:c r="L26" s="4" t="inlineStr">
        <x:is>
          <x:t xml:space="preserve">—</x:t>
        </x:is>
      </x:c>
      <x:c r="M26" s="4" t="inlineStr">
        <x:is>
          <x:t xml:space="preserve">sales_rep_id</x:t>
        </x:is>
      </x:c>
      <x:c r="N26" s="4" t="inlineStr">
        <x:is>
          <x:t xml:space="preserve">SCD-2</x:t>
        </x:is>
      </x:c>
      <x:c r="O26" s="4" t="inlineStr">
        <x:is>
          <x:t xml:space="preserve">REP-15</x:t>
        </x:is>
      </x:c>
      <x:c r="P26" s="4" t="inlineStr">
        <x:is>
          <x:t xml:space="preserve">KPI-18,KPI-30</x:t>
        </x:is>
      </x:c>
      <x:c r="Q26" s="17" t="inlineStr">
        <x:is>
          <x:t xml:space="preserve">W3</x:t>
        </x:is>
      </x:c>
      <x:c r="R26" s="17" t="inlineStr">
        <x:is>
          <x:t xml:space="preserve">مدیر CRM</x:t>
        </x:is>
      </x:c>
      <x:c r="S26" s="4" t="inlineStr">
        <x:is>
          <x:t xml:space="preserve">کد پرسنلی معتبر و فعال</x:t>
        </x:is>
      </x:c>
      <x:c r="T26" s="30" t="str">
        <x:v>DIM-25</x:v>
      </x:c>
      <x:c r="U26" s="30" t="str">
        <x:v>Proposed</x:v>
      </x:c>
    </x:row>
    <x:row r="27">
      <x:c r="A27" s="19" t="inlineStr">
        <x:is>
          <x:t xml:space="preserve">DIM-26</x:t>
        </x:is>
      </x:c>
      <x:c r="B27" s="6" t="inlineStr">
        <x:is>
          <x:t xml:space="preserve">sales_territory</x:t>
        </x:is>
      </x:c>
      <x:c r="C27" s="6" t="inlineStr">
        <x:is>
          <x:t xml:space="preserve">منطقه فروش</x:t>
        </x:is>
      </x:c>
      <x:c r="D27" s="6" t="inlineStr">
        <x:is>
          <x:t xml:space="preserve">حوزه جغرافیایی کارشناس</x:t>
        </x:is>
      </x:c>
      <x:c r="E27" s="6" t="inlineStr">
        <x:is>
          <x:t xml:space="preserve">Sales</x:t>
        </x:is>
      </x:c>
      <x:c r="F27" s="6" t="inlineStr">
        <x:is>
          <x:t xml:space="preserve">Salesperson</x:t>
        </x:is>
      </x:c>
      <x:c r="G27" s="6" t="inlineStr">
        <x:is>
          <x:t xml:space="preserve">String</x:t>
        </x:is>
      </x:c>
      <x:c r="H27" s="6" t="inlineStr">
        <x:is>
          <x:t xml:space="preserve">چارت سازمانی</x:t>
        </x:is>
      </x:c>
      <x:c r="I27" s="6" t="inlineStr">
        <x:is>
          <x:t xml:space="preserve">territory_zone</x:t>
        </x:is>
      </x:c>
      <x:c r="J27" s="6" t="inlineStr">
        <x:is>
          <x:t xml:space="preserve">کارشناس</x:t>
        </x:is>
      </x:c>
      <x:c r="K27" s="6" t="inlineStr">
        <x:is>
          <x:t xml:space="preserve">—</x:t>
        </x:is>
      </x:c>
      <x:c r="L27" s="6" t="inlineStr">
        <x:is>
          <x:t xml:space="preserve">تهران غرب/شرق/...</x:t>
        </x:is>
      </x:c>
      <x:c r="M27" s="6" t="inlineStr">
        <x:is>
          <x:t xml:space="preserve">sales_rep_id</x:t>
        </x:is>
      </x:c>
      <x:c r="N27" s="6" t="inlineStr">
        <x:is>
          <x:t xml:space="preserve">SCD-2</x:t>
        </x:is>
      </x:c>
      <x:c r="O27" s="6" t="inlineStr">
        <x:is>
          <x:t xml:space="preserve">REP-15,REP-39</x:t>
        </x:is>
      </x:c>
      <x:c r="P27" s="6" t="inlineStr">
        <x:is>
          <x:t xml:space="preserve">KPI-30</x:t>
        </x:is>
      </x:c>
      <x:c r="Q27" s="19" t="inlineStr">
        <x:is>
          <x:t xml:space="preserve">W3</x:t>
        </x:is>
      </x:c>
      <x:c r="R27" s="19" t="inlineStr">
        <x:is>
          <x:t xml:space="preserve">مدیر فروش B2B</x:t>
        </x:is>
      </x:c>
      <x:c r="S27" s="6" t="inlineStr">
        <x:is>
          <x:t xml:space="preserve">بدون تداخل حوزه‌ها</x:t>
        </x:is>
      </x:c>
      <x:c r="T27" s="30" t="str">
        <x:v>DIM-26</x:v>
      </x:c>
      <x:c r="U27" s="30" t="str">
        <x:v>Proposed</x:v>
      </x:c>
    </x:row>
    <x:row r="28">
      <x:c r="A28" s="17" t="inlineStr">
        <x:is>
          <x:t xml:space="preserve">DIM-27</x:t>
        </x:is>
      </x:c>
      <x:c r="B28" s="4" t="inlineStr">
        <x:is>
          <x:t xml:space="preserve">time</x:t>
        </x:is>
      </x:c>
      <x:c r="C28" s="4" t="inlineStr">
        <x:is>
          <x:t xml:space="preserve">زمان (روز/هفته/ماه/فصل)</x:t>
        </x:is>
      </x:c>
      <x:c r="D28" s="4" t="inlineStr">
        <x:is>
          <x:t xml:space="preserve">سطح‌های زمانی تحلیل</x:t>
        </x:is>
      </x:c>
      <x:c r="E28" s="4" t="inlineStr">
        <x:is>
          <x:t xml:space="preserve">Time</x:t>
        </x:is>
      </x:c>
      <x:c r="F28" s="4" t="inlineStr">
        <x:is>
          <x:t xml:space="preserve">All</x:t>
        </x:is>
      </x:c>
      <x:c r="G28" s="4" t="inlineStr">
        <x:is>
          <x:t xml:space="preserve">Date</x:t>
        </x:is>
      </x:c>
      <x:c r="H28" s="4" t="inlineStr">
        <x:is>
          <x:t xml:space="preserve">DWH</x:t>
        </x:is>
      </x:c>
      <x:c r="I28" s="4" t="inlineStr">
        <x:is>
          <x:t xml:space="preserve">event/order timestamp</x:t>
        </x:is>
      </x:c>
      <x:c r="J28" s="4" t="inlineStr">
        <x:is>
          <x:t xml:space="preserve">همه</x:t>
        </x:is>
      </x:c>
      <x:c r="K28" s="4" t="inlineStr">
        <x:is>
          <x:t xml:space="preserve">day → week → month → quarter → year</x:t>
        </x:is>
      </x:c>
      <x:c r="L28" s="4" t="inlineStr">
        <x:is>
          <x:t xml:space="preserve">—</x:t>
        </x:is>
      </x:c>
      <x:c r="M28" s="4" t="inlineStr">
        <x:is>
          <x:t xml:space="preserve">event_timestamp_epoch</x:t>
        </x:is>
      </x:c>
      <x:c r="N28" s="4" t="inlineStr">
        <x:is>
          <x:t xml:space="preserve">SCD-1 (calendar)</x:t>
        </x:is>
      </x:c>
      <x:c r="O28" s="4" t="inlineStr">
        <x:is>
          <x:t xml:space="preserve">همه گزارش‌ها</x:t>
        </x:is>
      </x:c>
      <x:c r="P28" s="4" t="inlineStr">
        <x:is>
          <x:t xml:space="preserve">همه KPIها</x:t>
        </x:is>
      </x:c>
      <x:c r="Q28" s="17" t="inlineStr">
        <x:is>
          <x:t xml:space="preserve">W4</x:t>
        </x:is>
      </x:c>
      <x:c r="R28" s="17" t="inlineStr">
        <x:is>
          <x:t xml:space="preserve">Data Engineer</x:t>
        </x:is>
      </x:c>
      <x:c r="S28" s="4" t="inlineStr">
        <x:is>
          <x:t xml:space="preserve">UTC + نمایش Tehran (Asia/Tehran)</x:t>
        </x:is>
      </x:c>
      <x:c r="T28" s="30" t="str">
        <x:v>DIM-27</x:v>
      </x:c>
      <x:c r="U28" s="30" t="str">
        <x:v>Proposed</x:v>
      </x:c>
    </x:row>
    <x:row r="29">
      <x:c r="A29" s="19" t="inlineStr">
        <x:is>
          <x:t xml:space="preserve">DIM-28</x:t>
        </x:is>
      </x:c>
      <x:c r="B29" s="6" t="inlineStr">
        <x:is>
          <x:t xml:space="preserve">customer_type</x:t>
        </x:is>
      </x:c>
      <x:c r="C29" s="6" t="inlineStr">
        <x:is>
          <x:t xml:space="preserve">نوع مشتری (مطب/کلینیک/بیمارستان)</x:t>
        </x:is>
      </x:c>
      <x:c r="D29" s="6" t="inlineStr">
        <x:is>
          <x:t xml:space="preserve">مقیاس مرکز درمانی</x:t>
        </x:is>
      </x:c>
      <x:c r="E29" s="6" t="inlineStr">
        <x:is>
          <x:t xml:space="preserve">Customer</x:t>
        </x:is>
      </x:c>
      <x:c r="F29" s="6" t="inlineStr">
        <x:is>
          <x:t xml:space="preserve">Customer</x:t>
        </x:is>
      </x:c>
      <x:c r="G29" s="6" t="inlineStr">
        <x:is>
          <x:t xml:space="preserve">Enum</x:t>
        </x:is>
      </x:c>
      <x:c r="H29" s="6" t="inlineStr">
        <x:is>
          <x:t xml:space="preserve">CRM</x:t>
        </x:is>
      </x:c>
      <x:c r="I29" s="6" t="inlineStr">
        <x:is>
          <x:t xml:space="preserve">clinic_type</x:t>
        </x:is>
      </x:c>
      <x:c r="J29" s="6" t="inlineStr">
        <x:is>
          <x:t xml:space="preserve">مشتری</x:t>
        </x:is>
      </x:c>
      <x:c r="K29" s="6" t="inlineStr">
        <x:is>
          <x:t xml:space="preserve">—</x:t>
        </x:is>
      </x:c>
      <x:c r="L29" s="6" t="inlineStr">
        <x:is>
          <x:t xml:space="preserve">solo_clinic/multi_clinic/hospital</x:t>
        </x:is>
      </x:c>
      <x:c r="M29" s="6" t="inlineStr">
        <x:is>
          <x:t xml:space="preserve">master_customer_id</x:t>
        </x:is>
      </x:c>
      <x:c r="N29" s="6" t="inlineStr">
        <x:is>
          <x:t xml:space="preserve">SCD-2</x:t>
        </x:is>
      </x:c>
      <x:c r="O29" s="6" t="inlineStr">
        <x:is>
          <x:t xml:space="preserve">REP-18,REP-20</x:t>
        </x:is>
      </x:c>
      <x:c r="P29" s="6" t="inlineStr">
        <x:is>
          <x:t xml:space="preserve">KPI-35,KPI-54</x:t>
        </x:is>
      </x:c>
      <x:c r="Q29" s="19" t="inlineStr">
        <x:is>
          <x:t xml:space="preserve">W3</x:t>
        </x:is>
      </x:c>
      <x:c r="R29" s="19" t="inlineStr">
        <x:is>
          <x:t xml:space="preserve">مدیر CRM</x:t>
        </x:is>
      </x:c>
      <x:c r="S29" s="6" t="inlineStr">
        <x:is>
          <x:t xml:space="preserve">Unassigned &lt; 2٪</x:t>
        </x:is>
      </x:c>
      <x:c r="T29" s="30" t="str">
        <x:v>DIM-28</x:v>
      </x:c>
      <x:c r="U29" s="30" t="str">
        <x:v>Proposed</x:v>
      </x:c>
    </x:row>
    <x:row r="30">
      <x:c r="A30" s="17" t="inlineStr">
        <x:is>
          <x:t xml:space="preserve">DIM-29</x:t>
        </x:is>
      </x:c>
      <x:c r="B30" s="4" t="inlineStr">
        <x:is>
          <x:t xml:space="preserve">payment_method</x:t>
        </x:is>
      </x:c>
      <x:c r="C30" s="4" t="inlineStr">
        <x:is>
          <x:t xml:space="preserve">روش پرداخت</x:t>
        </x:is>
      </x:c>
      <x:c r="D30" s="4" t="inlineStr">
        <x:is>
          <x:t xml:space="preserve">شیوه تسویه سفارش</x:t>
        </x:is>
      </x:c>
      <x:c r="E30" s="4" t="inlineStr">
        <x:is>
          <x:t xml:space="preserve">Finance</x:t>
        </x:is>
      </x:c>
      <x:c r="F30" s="4" t="inlineStr">
        <x:is>
          <x:t xml:space="preserve">Payment</x:t>
        </x:is>
      </x:c>
      <x:c r="G30" s="4" t="inlineStr">
        <x:is>
          <x:t xml:space="preserve">Enum</x:t>
        </x:is>
      </x:c>
      <x:c r="H30" s="4" t="inlineStr">
        <x:is>
          <x:t xml:space="preserve">درگاه/حسابداری</x:t>
        </x:is>
      </x:c>
      <x:c r="I30" s="4" t="inlineStr">
        <x:is>
          <x:t xml:space="preserve">payment_method_category</x:t>
        </x:is>
      </x:c>
      <x:c r="J30" s="4" t="inlineStr">
        <x:is>
          <x:t xml:space="preserve">تراکنش</x:t>
        </x:is>
      </x:c>
      <x:c r="K30" s="4" t="inlineStr">
        <x:is>
          <x:t xml:space="preserve">—</x:t>
        </x:is>
      </x:c>
      <x:c r="L30" s="4" t="inlineStr">
        <x:is>
          <x:t xml:space="preserve">online_gateway/saadie_check/vip/cash/credit</x:t>
        </x:is>
      </x:c>
      <x:c r="M30" s="4" t="inlineStr">
        <x:is>
          <x:t xml:space="preserve">payment_id</x:t>
        </x:is>
      </x:c>
      <x:c r="N30" s="4" t="inlineStr">
        <x:is>
          <x:t xml:space="preserve">SCD-1</x:t>
        </x:is>
      </x:c>
      <x:c r="O30" s="4" t="inlineStr">
        <x:is>
          <x:t xml:space="preserve">REP-12</x:t>
        </x:is>
      </x:c>
      <x:c r="P30" s="4" t="inlineStr">
        <x:is>
          <x:t xml:space="preserve">KPI-34,KPI-42</x:t>
        </x:is>
      </x:c>
      <x:c r="Q30" s="17" t="inlineStr">
        <x:is>
          <x:t xml:space="preserve">W3</x:t>
        </x:is>
      </x:c>
      <x:c r="R30" s="17" t="inlineStr">
        <x:is>
          <x:t xml:space="preserve">Data Engineer</x:t>
        </x:is>
      </x:c>
      <x:c r="S30" s="4" t="inlineStr">
        <x:is>
          <x:t xml:space="preserve">بدون مقدار ثبت‌نشده</x:t>
        </x:is>
      </x:c>
      <x:c r="T30" s="30" t="str">
        <x:v>DIM-29</x:v>
      </x:c>
      <x:c r="U30" s="30" t="str">
        <x:v>Proposed</x:v>
      </x:c>
    </x:row>
    <x:row r="31">
      <x:c r="A31" s="19" t="inlineStr">
        <x:is>
          <x:t xml:space="preserve">DIM-30</x:t>
        </x:is>
      </x:c>
      <x:c r="B31" s="6" t="inlineStr">
        <x:is>
          <x:t xml:space="preserve">funnel_stage</x:t>
        </x:is>
      </x:c>
      <x:c r="C31" s="6" t="inlineStr">
        <x:is>
          <x:t xml:space="preserve">مرحله قیف</x:t>
        </x:is>
      </x:c>
      <x:c r="D31" s="6" t="inlineStr">
        <x:is>
          <x:t xml:space="preserve">گام مسیر تبدیل</x:t>
        </x:is>
      </x:c>
      <x:c r="E31" s="6" t="inlineStr">
        <x:is>
          <x:t xml:space="preserve">Funnel</x:t>
        </x:is>
      </x:c>
      <x:c r="F31" s="6" t="inlineStr">
        <x:is>
          <x:t xml:space="preserve">Event</x:t>
        </x:is>
      </x:c>
      <x:c r="G31" s="6" t="inlineStr">
        <x:is>
          <x:t xml:space="preserve">Enum</x:t>
        </x:is>
      </x:c>
      <x:c r="H31" s="6" t="inlineStr">
        <x:is>
          <x:t xml:space="preserve">تعریف تحلیلی</x:t>
        </x:is>
      </x:c>
      <x:c r="I31" s="6" t="inlineStr">
        <x:is>
          <x:t xml:space="preserve">event_name</x:t>
        </x:is>
      </x:c>
      <x:c r="J31" s="6" t="inlineStr">
        <x:is>
          <x:t xml:space="preserve">رویداد</x:t>
        </x:is>
      </x:c>
      <x:c r="K31" s="6" t="inlineStr">
        <x:is>
          <x:t xml:space="preserve">view → cart → checkout → payment → purchase</x:t>
        </x:is>
      </x:c>
      <x:c r="L31" s="6" t="inlineStr">
        <x:is>
          <x:t xml:space="preserve">—</x:t>
        </x:is>
      </x:c>
      <x:c r="M31" s="6" t="inlineStr">
        <x:is>
          <x:t xml:space="preserve">event_id</x:t>
        </x:is>
      </x:c>
      <x:c r="N31" s="6" t="inlineStr">
        <x:is>
          <x:t xml:space="preserve">SCD-1</x:t>
        </x:is>
      </x:c>
      <x:c r="O31" s="6" t="inlineStr">
        <x:is>
          <x:t xml:space="preserve">REP-11</x:t>
        </x:is>
      </x:c>
      <x:c r="P31" s="6" t="inlineStr">
        <x:is>
          <x:t xml:space="preserve">KPI-24..KPI-27</x:t>
        </x:is>
      </x:c>
      <x:c r="Q31" s="19" t="inlineStr">
        <x:is>
          <x:t xml:space="preserve">W4</x:t>
        </x:is>
      </x:c>
      <x:c r="R31" s="19" t="inlineStr">
        <x:is>
          <x:t xml:space="preserve">Data Analyst</x:t>
        </x:is>
      </x:c>
      <x:c r="S31" s="6" t="inlineStr">
        <x:is>
          <x:t xml:space="preserve">ردیف استاندارد مراحل</x:t>
        </x:is>
      </x:c>
      <x:c r="T31" s="30" t="str">
        <x:v>DIM-30</x:v>
      </x:c>
      <x:c r="U31" s="30" t="str">
        <x:v>Proposed</x:v>
      </x:c>
    </x:row>
    <x:row r="32">
      <x:c r="A32" s="17" t="inlineStr">
        <x:is>
          <x:t xml:space="preserve">DIM-31</x:t>
        </x:is>
      </x:c>
      <x:c r="B32" s="4" t="inlineStr">
        <x:is>
          <x:t xml:space="preserve">clinic_tier</x:t>
        </x:is>
      </x:c>
      <x:c r="C32" s="4" t="inlineStr">
        <x:is>
          <x:t xml:space="preserve">سطح کلینیک</x:t>
        </x:is>
      </x:c>
      <x:c r="D32" s="4" t="inlineStr">
        <x:is>
          <x:t xml:space="preserve">Tier1/Tier2/Tier3</x:t>
        </x:is>
      </x:c>
      <x:c r="E32" s="4" t="inlineStr">
        <x:is>
          <x:t xml:space="preserve">Customer</x:t>
        </x:is>
      </x:c>
      <x:c r="F32" s="4" t="inlineStr">
        <x:is>
          <x:t xml:space="preserve">Customer</x:t>
        </x:is>
      </x:c>
      <x:c r="G32" s="4" t="inlineStr">
        <x:is>
          <x:t xml:space="preserve">Enum</x:t>
        </x:is>
      </x:c>
      <x:c r="H32" s="4" t="inlineStr">
        <x:is>
          <x:t xml:space="preserve">CRM</x:t>
        </x:is>
      </x:c>
      <x:c r="I32" s="4" t="inlineStr">
        <x:is>
          <x:t xml:space="preserve">customer_tier_type</x:t>
        </x:is>
      </x:c>
      <x:c r="J32" s="4" t="inlineStr">
        <x:is>
          <x:t xml:space="preserve">مشتری</x:t>
        </x:is>
      </x:c>
      <x:c r="K32" s="4" t="inlineStr">
        <x:is>
          <x:t xml:space="preserve">—</x:t>
        </x:is>
      </x:c>
      <x:c r="L32" s="4" t="inlineStr">
        <x:is>
          <x:t xml:space="preserve">Tier1/Tier2/Tier3</x:t>
        </x:is>
      </x:c>
      <x:c r="M32" s="4" t="inlineStr">
        <x:is>
          <x:t xml:space="preserve">master_customer_id</x:t>
        </x:is>
      </x:c>
      <x:c r="N32" s="4" t="inlineStr">
        <x:is>
          <x:t xml:space="preserve">SCD-2</x:t>
        </x:is>
      </x:c>
      <x:c r="O32" s="4" t="inlineStr">
        <x:is>
          <x:t xml:space="preserve">REP-18</x:t>
        </x:is>
      </x:c>
      <x:c r="P32" s="4" t="inlineStr">
        <x:is>
          <x:t xml:space="preserve">KPI-35,KPI-74</x:t>
        </x:is>
      </x:c>
      <x:c r="Q32" s="17" t="inlineStr">
        <x:is>
          <x:t xml:space="preserve">W3</x:t>
        </x:is>
      </x:c>
      <x:c r="R32" s="17" t="inlineStr">
        <x:is>
          <x:t xml:space="preserve">مدیر CRM</x:t>
        </x:is>
      </x:c>
      <x:c r="S32" s="4" t="inlineStr">
        <x:is>
          <x:t xml:space="preserve">فصلی به‌روزرسانی</x:t>
        </x:is>
      </x:c>
      <x:c r="T32" s="30" t="str">
        <x:v>DIM-31</x:v>
      </x:c>
      <x:c r="U32" s="30" t="str">
        <x:v>Proposed</x:v>
      </x:c>
    </x:row>
    <x:row r="33">
      <x:c r="A33" s="19" t="inlineStr">
        <x:is>
          <x:t xml:space="preserve">DIM-32</x:t>
        </x:is>
      </x:c>
      <x:c r="B33" s="6" t="inlineStr">
        <x:is>
          <x:t xml:space="preserve">event_name</x:t>
        </x:is>
      </x:c>
      <x:c r="C33" s="6" t="inlineStr">
        <x:is>
          <x:t xml:space="preserve">نام رویداد</x:t>
        </x:is>
      </x:c>
      <x:c r="D33" s="6" t="inlineStr">
        <x:is>
          <x:t xml:space="preserve">ایونت استاندارد ثبت‌شده</x:t>
        </x:is>
      </x:c>
      <x:c r="E33" s="6" t="inlineStr">
        <x:is>
          <x:t xml:space="preserve">Tracking</x:t>
        </x:is>
      </x:c>
      <x:c r="F33" s="6" t="inlineStr">
        <x:is>
          <x:t xml:space="preserve">Event</x:t>
        </x:is>
      </x:c>
      <x:c r="G33" s="6" t="inlineStr">
        <x:is>
          <x:t xml:space="preserve">String</x:t>
        </x:is>
      </x:c>
      <x:c r="H33" s="6" t="inlineStr">
        <x:is>
          <x:t xml:space="preserve">GTM/CAPI</x:t>
        </x:is>
      </x:c>
      <x:c r="I33" s="6" t="inlineStr">
        <x:is>
          <x:t xml:space="preserve">event_name</x:t>
        </x:is>
      </x:c>
      <x:c r="J33" s="6" t="inlineStr">
        <x:is>
          <x:t xml:space="preserve">رویداد</x:t>
        </x:is>
      </x:c>
      <x:c r="K33" s="6" t="inlineStr">
        <x:is>
          <x:t xml:space="preserve">—</x:t>
        </x:is>
      </x:c>
      <x:c r="L33" s="6" t="inlineStr">
        <x:is>
          <x:t xml:space="preserve">24 رویداد استاندارد EVT-01..24</x:t>
        </x:is>
      </x:c>
      <x:c r="M33" s="6" t="inlineStr">
        <x:is>
          <x:t xml:space="preserve">event_id</x:t>
        </x:is>
      </x:c>
      <x:c r="N33" s="6" t="inlineStr">
        <x:is>
          <x:t xml:space="preserve">SCD-1</x:t>
        </x:is>
      </x:c>
      <x:c r="O33" s="6" t="inlineStr">
        <x:is>
          <x:t xml:space="preserve">REP-36</x:t>
        </x:is>
      </x:c>
      <x:c r="P33" s="6" t="inlineStr">
        <x:is>
          <x:t xml:space="preserve">KPI-65,KPI-75,KPI-76,KPI-77</x:t>
        </x:is>
      </x:c>
      <x:c r="Q33" s="19" t="inlineStr">
        <x:is>
          <x:t xml:space="preserve">W2</x:t>
        </x:is>
      </x:c>
      <x:c r="R33" s="19" t="inlineStr">
        <x:is>
          <x:t xml:space="preserve">Data Engineer</x:t>
        </x:is>
      </x:c>
      <x:c r="S33" s="6" t="inlineStr">
        <x:is>
          <x:t xml:space="preserve">Snake_case؛ مطابق دیکشنری</x:t>
        </x:is>
      </x:c>
      <x:c r="T33" s="30" t="str">
        <x:v>DIM-32</x:v>
      </x:c>
      <x:c r="U33" s="30" t="str">
        <x:v>Proposed</x:v>
      </x:c>
    </x:row>
  </x:sheetData>
  <x:dataValidations count="1">
    <x:dataValidation type="list" sqref="U2:U33">
      <x:formula1>"Proposed,Ready,In Progress,Implemented,Tested,Blocked"</x:formula1>
    </x:dataValidation>
  </x:dataValidations>
  <x:pageMargins left="0.7" right="0.7" top="0.75" bottom="0.75" header="0.3" footer="0.3"/>
  <x:tableParts count="2">
    <x:tablePart xmlns:r="http://schemas.openxmlformats.org/officeDocument/2006/relationships" r:id="R47d7cf5625104a13"/>
    <x:tablePart xmlns:r="http://schemas.openxmlformats.org/officeDocument/2006/relationships" r:id="Rc5ffad75ba664e48"/>
  </x:tableParts>
</x:worksheet>
</file>

<file path=xl/worksheets/sheet7.xml><?xml version="1.0" encoding="utf-8"?>
<x:worksheet xmlns:x="http://schemas.openxmlformats.org/spreadsheetml/2006/main">
  <x:sheetPr>
    <x:tabColor rgb="FF1F4E78"/>
  </x:sheetPr>
  <x:sheetViews>
    <x:sheetView workbookViewId="0">
      <x:pane xSplit="2" ySplit="1" topLeftCell="C2" activePane="bottomRight" state="frozen"/>
    </x:sheetView>
  </x:sheetViews>
  <x:sheetFormatPr baseColWidth="8" defaultRowHeight="15"/>
  <x:cols>
    <x:col min="1" max="1" width="9" customWidth="1"/>
    <x:col min="2" max="2" width="24" customWidth="1"/>
    <x:col min="3" max="3" width="24" customWidth="1"/>
    <x:col min="4" max="4" width="34" customWidth="1"/>
    <x:col min="5" max="5" width="18" customWidth="1"/>
    <x:col min="6" max="6" width="10" customWidth="1"/>
    <x:col min="7" max="7" width="24" customWidth="1"/>
    <x:col min="8" max="8" width="16" customWidth="1"/>
    <x:col min="9" max="9" width="24" customWidth="1"/>
    <x:col min="10" max="10" width="10" customWidth="1"/>
    <x:col min="11" max="11" width="12" customWidth="1"/>
    <x:col min="12" max="12" width="18" customWidth="1"/>
    <x:col min="13" max="13" width="24" customWidth="1"/>
    <x:col min="14" max="14" width="20" customWidth="1"/>
    <x:col min="15" max="15" width="24" customWidth="1"/>
    <x:col min="16" max="16" width="16" customWidth="1"/>
    <x:col min="17" max="17" width="8" customWidth="1"/>
    <x:col min="18" max="18" width="18" customWidth="1"/>
    <x:col min="19" max="19" width="26" customWidth="1"/>
  </x:cols>
  <x:sheetData>
    <x:row r="1" ht="30" customHeight="1">
      <x:c r="A1" s="5" t="inlineStr">
        <x:is>
          <x:t xml:space="preserve">Metric_ID</x:t>
        </x:is>
      </x:c>
      <x:c r="B1" s="5" t="inlineStr">
        <x:is>
          <x:t xml:space="preserve">Name_EN</x:t>
        </x:is>
      </x:c>
      <x:c r="C1" s="5" t="inlineStr">
        <x:is>
          <x:t xml:space="preserve">Name_FA</x:t>
        </x:is>
      </x:c>
      <x:c r="D1" s="5" t="inlineStr">
        <x:is>
          <x:t xml:space="preserve">Definition</x:t>
        </x:is>
      </x:c>
      <x:c r="E1" s="5" t="inlineStr">
        <x:is>
          <x:t xml:space="preserve">Metric_Type</x:t>
        </x:is>
      </x:c>
      <x:c r="F1" s="5" t="inlineStr">
        <x:is>
          <x:t xml:space="preserve">Aggregation</x:t>
        </x:is>
      </x:c>
      <x:c r="G1" s="5" t="inlineStr">
        <x:is>
          <x:t xml:space="preserve">Numerator</x:t>
        </x:is>
      </x:c>
      <x:c r="H1" s="5" t="inlineStr">
        <x:is>
          <x:t xml:space="preserve">Denominator</x:t>
        </x:is>
      </x:c>
      <x:c r="I1" s="5" t="inlineStr">
        <x:is>
          <x:t xml:space="preserve">Formula</x:t>
        </x:is>
      </x:c>
      <x:c r="J1" s="5" t="inlineStr">
        <x:is>
          <x:t xml:space="preserve">Unit</x:t>
        </x:is>
      </x:c>
      <x:c r="K1" s="5" t="inlineStr">
        <x:is>
          <x:t xml:space="preserve">Grain</x:t>
        </x:is>
      </x:c>
      <x:c r="L1" s="5" t="inlineStr">
        <x:is>
          <x:t xml:space="preserve">Source_System</x:t>
        </x:is>
      </x:c>
      <x:c r="M1" s="5" t="inlineStr">
        <x:is>
          <x:t xml:space="preserve">Source_Field</x:t>
        </x:is>
      </x:c>
      <x:c r="N1" s="5" t="inlineStr">
        <x:is>
          <x:t xml:space="preserve">Required_Events</x:t>
        </x:is>
      </x:c>
      <x:c r="O1" s="5" t="inlineStr">
        <x:is>
          <x:t xml:space="preserve">Dimensions</x:t>
        </x:is>
      </x:c>
      <x:c r="P1" s="5" t="inlineStr">
        <x:is>
          <x:t xml:space="preserve">Refresh</x:t>
        </x:is>
      </x:c>
      <x:c r="Q1" s="5" t="inlineStr">
        <x:is>
          <x:t xml:space="preserve">Phase</x:t>
        </x:is>
      </x:c>
      <x:c r="R1" s="5" t="inlineStr">
        <x:is>
          <x:t xml:space="preserve">Owner</x:t>
        </x:is>
      </x:c>
      <x:c r="S1" s="5" t="inlineStr">
        <x:is>
          <x:t xml:space="preserve">Validation</x:t>
        </x:is>
      </x:c>
    </x:row>
    <x:row r="2">
      <x:c r="A2" s="17" t="inlineStr">
        <x:is>
          <x:t xml:space="preserve">MET-01</x:t>
        </x:is>
      </x:c>
      <x:c r="B2" s="4" t="inlineStr">
        <x:is>
          <x:t xml:space="preserve">ad_impressions</x:t>
        </x:is>
      </x:c>
      <x:c r="C2" s="4" t="inlineStr">
        <x:is>
          <x:t xml:space="preserve">نمایش تبلیغ (خام)</x:t>
        </x:is>
      </x:c>
      <x:c r="D2" s="4" t="inlineStr">
        <x:is>
          <x:t xml:space="preserve">مجموع نمایش آگهی‌ها</x:t>
        </x:is>
      </x:c>
      <x:c r="E2" s="4" t="inlineStr">
        <x:is>
          <x:t xml:space="preserve">Raw</x:t>
        </x:is>
      </x:c>
      <x:c r="F2" s="4" t="inlineStr">
        <x:is>
          <x:t xml:space="preserve">SUM</x:t>
        </x:is>
      </x:c>
      <x:c r="G2" s="4" t="inlineStr">
        <x:is>
          <x:t xml:space="preserve">—</x:t>
        </x:is>
      </x:c>
      <x:c r="H2" s="4" t="inlineStr">
        <x:is>
          <x:t xml:space="preserve">—</x:t>
        </x:is>
      </x:c>
      <x:c r="I2" s="4" t="inlineStr">
        <x:is>
          <x:t xml:space="preserve">SUM(impressions)</x:t>
        </x:is>
      </x:c>
      <x:c r="J2" s="4" t="inlineStr">
        <x:is>
          <x:t xml:space="preserve">count</x:t>
        </x:is>
      </x:c>
      <x:c r="K2" s="4" t="inlineStr">
        <x:is>
          <x:t xml:space="preserve">ad/campaign</x:t>
        </x:is>
      </x:c>
      <x:c r="L2" s="4" t="inlineStr">
        <x:is>
          <x:t xml:space="preserve">Google/Meta API</x:t>
        </x:is>
      </x:c>
      <x:c r="M2" s="4" t="inlineStr">
        <x:is>
          <x:t xml:space="preserve">impressions</x:t>
        </x:is>
      </x:c>
      <x:c r="N2" s="4" t="inlineStr">
        <x:is>
          <x:t xml:space="preserve">—</x:t>
        </x:is>
      </x:c>
      <x:c r="O2" s="4" t="inlineStr">
        <x:is>
          <x:t xml:space="preserve">DIM-01,04,06,08,11</x:t>
        </x:is>
      </x:c>
      <x:c r="P2" s="4" t="inlineStr">
        <x:is>
          <x:t xml:space="preserve">ساعتی</x:t>
        </x:is>
      </x:c>
      <x:c r="Q2" s="17" t="inlineStr">
        <x:is>
          <x:t xml:space="preserve">W4</x:t>
        </x:is>
      </x:c>
      <x:c r="R2" s="17" t="inlineStr">
        <x:is>
          <x:t xml:space="preserve">Data Engineer</x:t>
        </x:is>
      </x:c>
      <x:c r="S2" s="4" t="inlineStr">
        <x:is>
          <x:t xml:space="preserve">تطبیق با پنل پلتفرم (مغایرت &lt; 1٪)</x:t>
        </x:is>
      </x:c>
    </x:row>
    <x:row r="3">
      <x:c r="A3" s="19" t="inlineStr">
        <x:is>
          <x:t xml:space="preserve">MET-02</x:t>
        </x:is>
      </x:c>
      <x:c r="B3" s="6" t="inlineStr">
        <x:is>
          <x:t xml:space="preserve">ad_clicks</x:t>
        </x:is>
      </x:c>
      <x:c r="C3" s="6" t="inlineStr">
        <x:is>
          <x:t xml:space="preserve">کلیک ناخالص (خام)</x:t>
        </x:is>
      </x:c>
      <x:c r="D3" s="6" t="inlineStr">
        <x:is>
          <x:t xml:space="preserve">مجموع کلیک‌های ثبت‌شده</x:t>
        </x:is>
      </x:c>
      <x:c r="E3" s="6" t="inlineStr">
        <x:is>
          <x:t xml:space="preserve">Raw</x:t>
        </x:is>
      </x:c>
      <x:c r="F3" s="6" t="inlineStr">
        <x:is>
          <x:t xml:space="preserve">SUM</x:t>
        </x:is>
      </x:c>
      <x:c r="G3" s="6" t="inlineStr">
        <x:is>
          <x:t xml:space="preserve">—</x:t>
        </x:is>
      </x:c>
      <x:c r="H3" s="6" t="inlineStr">
        <x:is>
          <x:t xml:space="preserve">—</x:t>
        </x:is>
      </x:c>
      <x:c r="I3" s="6" t="inlineStr">
        <x:is>
          <x:t xml:space="preserve">SUM(clicks)</x:t>
        </x:is>
      </x:c>
      <x:c r="J3" s="6" t="inlineStr">
        <x:is>
          <x:t xml:space="preserve">count</x:t>
        </x:is>
      </x:c>
      <x:c r="K3" s="6" t="inlineStr">
        <x:is>
          <x:t xml:space="preserve">ad/campaign</x:t>
        </x:is>
      </x:c>
      <x:c r="L3" s="6" t="inlineStr">
        <x:is>
          <x:t xml:space="preserve">Google/Meta API</x:t>
        </x:is>
      </x:c>
      <x:c r="M3" s="6" t="inlineStr">
        <x:is>
          <x:t xml:space="preserve">clicks</x:t>
        </x:is>
      </x:c>
      <x:c r="N3" s="6" t="inlineStr">
        <x:is>
          <x:t xml:space="preserve">—</x:t>
        </x:is>
      </x:c>
      <x:c r="O3" s="6" t="inlineStr">
        <x:is>
          <x:t xml:space="preserve">DIM-01,04,12,14</x:t>
        </x:is>
      </x:c>
      <x:c r="P3" s="6" t="inlineStr">
        <x:is>
          <x:t xml:space="preserve">ساعتی</x:t>
        </x:is>
      </x:c>
      <x:c r="Q3" s="19" t="inlineStr">
        <x:is>
          <x:t xml:space="preserve">W4</x:t>
        </x:is>
      </x:c>
      <x:c r="R3" s="19" t="inlineStr">
        <x:is>
          <x:t xml:space="preserve">Data Engineer</x:t>
        </x:is>
      </x:c>
      <x:c r="S3" s="6" t="inlineStr">
        <x:is>
          <x:t xml:space="preserve">تطبیق با پنل</x:t>
        </x:is>
      </x:c>
    </x:row>
    <x:row r="4">
      <x:c r="A4" s="17" t="inlineStr">
        <x:is>
          <x:t xml:space="preserve">MET-03</x:t>
        </x:is>
      </x:c>
      <x:c r="B4" s="4" t="inlineStr">
        <x:is>
          <x:t xml:space="preserve">ad_spend</x:t>
        </x:is>
      </x:c>
      <x:c r="C4" s="4" t="inlineStr">
        <x:is>
          <x:t xml:space="preserve">هزینه تبلیغات (خام)</x:t>
        </x:is>
      </x:c>
      <x:c r="D4" s="4" t="inlineStr">
        <x:is>
          <x:t xml:space="preserve">مجموع هزینه قطعی</x:t>
        </x:is>
      </x:c>
      <x:c r="E4" s="4" t="inlineStr">
        <x:is>
          <x:t xml:space="preserve">Raw</x:t>
        </x:is>
      </x:c>
      <x:c r="F4" s="4" t="inlineStr">
        <x:is>
          <x:t xml:space="preserve">SUM</x:t>
        </x:is>
      </x:c>
      <x:c r="G4" s="4" t="inlineStr">
        <x:is>
          <x:t xml:space="preserve">—</x:t>
        </x:is>
      </x:c>
      <x:c r="H4" s="4" t="inlineStr">
        <x:is>
          <x:t xml:space="preserve">—</x:t>
        </x:is>
      </x:c>
      <x:c r="I4" s="4" t="inlineStr">
        <x:is>
          <x:t xml:space="preserve">SUM(spend) [IRR-normalized]</x:t>
        </x:is>
      </x:c>
      <x:c r="J4" s="4" t="inlineStr">
        <x:is>
          <x:t xml:space="preserve">IRR/USD</x:t>
        </x:is>
      </x:c>
      <x:c r="K4" s="4" t="inlineStr">
        <x:is>
          <x:t xml:space="preserve">campaign/day</x:t>
        </x:is>
      </x:c>
      <x:c r="L4" s="4" t="inlineStr">
        <x:is>
          <x:t xml:space="preserve">Google/Meta API + فاکتور</x:t>
        </x:is>
      </x:c>
      <x:c r="M4" s="4" t="inlineStr">
        <x:is>
          <x:t xml:space="preserve">cost</x:t>
        </x:is>
      </x:c>
      <x:c r="N4" s="4" t="inlineStr">
        <x:is>
          <x:t xml:space="preserve">—</x:t>
        </x:is>
      </x:c>
      <x:c r="O4" s="4" t="inlineStr">
        <x:is>
          <x:t xml:space="preserve">DIM-01,04,06</x:t>
        </x:is>
      </x:c>
      <x:c r="P4" s="4" t="inlineStr">
        <x:is>
          <x:t xml:space="preserve">ساعتی</x:t>
        </x:is>
      </x:c>
      <x:c r="Q4" s="17" t="inlineStr">
        <x:is>
          <x:t xml:space="preserve">W4</x:t>
        </x:is>
      </x:c>
      <x:c r="R4" s="17" t="inlineStr">
        <x:is>
          <x:t xml:space="preserve">Data Engineer</x:t>
        </x:is>
      </x:c>
      <x:c r="S4" s="4" t="inlineStr">
        <x:is>
          <x:t xml:space="preserve">تطبیق ریالی/ارزی با صورت‌حساب</x:t>
        </x:is>
      </x:c>
    </x:row>
    <x:row r="5">
      <x:c r="A5" s="19" t="inlineStr">
        <x:is>
          <x:t xml:space="preserve">MET-04</x:t>
        </x:is>
      </x:c>
      <x:c r="B5" s="6" t="inlineStr">
        <x:is>
          <x:t xml:space="preserve">link_clicks</x:t>
        </x:is>
      </x:c>
      <x:c r="C5" s="6" t="inlineStr">
        <x:is>
          <x:t xml:space="preserve">کلیک پیوند خروجی (خام)</x:t>
        </x:is>
      </x:c>
      <x:c r="D5" s="6" t="inlineStr">
        <x:is>
          <x:t xml:space="preserve">کلیک‌های هدایت به URL</x:t>
        </x:is>
      </x:c>
      <x:c r="E5" s="6" t="inlineStr">
        <x:is>
          <x:t xml:space="preserve">Raw</x:t>
        </x:is>
      </x:c>
      <x:c r="F5" s="6" t="inlineStr">
        <x:is>
          <x:t xml:space="preserve">SUM</x:t>
        </x:is>
      </x:c>
      <x:c r="G5" s="6" t="inlineStr">
        <x:is>
          <x:t xml:space="preserve">—</x:t>
        </x:is>
      </x:c>
      <x:c r="H5" s="6" t="inlineStr">
        <x:is>
          <x:t xml:space="preserve">—</x:t>
        </x:is>
      </x:c>
      <x:c r="I5" s="6" t="inlineStr">
        <x:is>
          <x:t xml:space="preserve">SUM(link_clicks)</x:t>
        </x:is>
      </x:c>
      <x:c r="J5" s="6" t="inlineStr">
        <x:is>
          <x:t xml:space="preserve">count</x:t>
        </x:is>
      </x:c>
      <x:c r="K5" s="6" t="inlineStr">
        <x:is>
          <x:t xml:space="preserve">ad/campaign</x:t>
        </x:is>
      </x:c>
      <x:c r="L5" s="6" t="inlineStr">
        <x:is>
          <x:t xml:space="preserve">Meta/Google API</x:t>
        </x:is>
      </x:c>
      <x:c r="M5" s="6" t="inlineStr">
        <x:is>
          <x:t xml:space="preserve">outbound_clicks</x:t>
        </x:is>
      </x:c>
      <x:c r="N5" s="6" t="inlineStr">
        <x:is>
          <x:t xml:space="preserve">—</x:t>
        </x:is>
      </x:c>
      <x:c r="O5" s="6" t="inlineStr">
        <x:is>
          <x:t xml:space="preserve">DIM-04,08</x:t>
        </x:is>
      </x:c>
      <x:c r="P5" s="6" t="inlineStr">
        <x:is>
          <x:t xml:space="preserve">ساعتی</x:t>
        </x:is>
      </x:c>
      <x:c r="Q5" s="19" t="inlineStr">
        <x:is>
          <x:t xml:space="preserve">W4</x:t>
        </x:is>
      </x:c>
      <x:c r="R5" s="19" t="inlineStr">
        <x:is>
          <x:t xml:space="preserve">Data Engineer</x:t>
        </x:is>
      </x:c>
      <x:c r="S5" s="6" t="inlineStr">
        <x:is>
          <x:t xml:space="preserve">—</x:t>
        </x:is>
      </x:c>
    </x:row>
    <x:row r="6">
      <x:c r="A6" s="17" t="inlineStr">
        <x:is>
          <x:t xml:space="preserve">MET-05</x:t>
        </x:is>
      </x:c>
      <x:c r="B6" s="4" t="inlineStr">
        <x:is>
          <x:t xml:space="preserve">video_views_3s</x:t>
        </x:is>
      </x:c>
      <x:c r="C6" s="4" t="inlineStr">
        <x:is>
          <x:t xml:space="preserve">تماشای ۳ ثانیه‌ای (خام)</x:t>
        </x:is>
      </x:c>
      <x:c r="D6" s="4" t="inlineStr">
        <x:is>
          <x:t xml:space="preserve">ویدیوهای پخش ≥۳ ثانیه</x:t>
        </x:is>
      </x:c>
      <x:c r="E6" s="4" t="inlineStr">
        <x:is>
          <x:t xml:space="preserve">Raw</x:t>
        </x:is>
      </x:c>
      <x:c r="F6" s="4" t="inlineStr">
        <x:is>
          <x:t xml:space="preserve">SUM</x:t>
        </x:is>
      </x:c>
      <x:c r="G6" s="4" t="inlineStr">
        <x:is>
          <x:t xml:space="preserve">—</x:t>
        </x:is>
      </x:c>
      <x:c r="H6" s="4" t="inlineStr">
        <x:is>
          <x:t xml:space="preserve">—</x:t>
        </x:is>
      </x:c>
      <x:c r="I6" s="4" t="inlineStr">
        <x:is>
          <x:t xml:space="preserve">SUM(3s_views)</x:t>
        </x:is>
      </x:c>
      <x:c r="J6" s="4" t="inlineStr">
        <x:is>
          <x:t xml:space="preserve">count</x:t>
        </x:is>
      </x:c>
      <x:c r="K6" s="4" t="inlineStr">
        <x:is>
          <x:t xml:space="preserve">creative</x:t>
        </x:is>
      </x:c>
      <x:c r="L6" s="4" t="inlineStr">
        <x:is>
          <x:t xml:space="preserve">Meta API</x:t>
        </x:is>
      </x:c>
      <x:c r="M6" s="4" t="inlineStr">
        <x:is>
          <x:t xml:space="preserve">video_views</x:t>
        </x:is>
      </x:c>
      <x:c r="N6" s="4" t="inlineStr">
        <x:is>
          <x:t xml:space="preserve">—</x:t>
        </x:is>
      </x:c>
      <x:c r="O6" s="4" t="inlineStr">
        <x:is>
          <x:t xml:space="preserve">DIM-08,09</x:t>
        </x:is>
      </x:c>
      <x:c r="P6" s="4" t="inlineStr">
        <x:is>
          <x:t xml:space="preserve">ساعتی</x:t>
        </x:is>
      </x:c>
      <x:c r="Q6" s="17" t="inlineStr">
        <x:is>
          <x:t xml:space="preserve">W4</x:t>
        </x:is>
      </x:c>
      <x:c r="R6" s="17" t="inlineStr">
        <x:is>
          <x:t xml:space="preserve">Data Engineer</x:t>
        </x:is>
      </x:c>
      <x:c r="S6" s="4" t="inlineStr">
        <x:is>
          <x:t xml:space="preserve">—</x:t>
        </x:is>
      </x:c>
    </x:row>
    <x:row r="7">
      <x:c r="A7" s="19" t="inlineStr">
        <x:is>
          <x:t xml:space="preserve">MET-06</x:t>
        </x:is>
      </x:c>
      <x:c r="B7" s="6" t="inlineStr">
        <x:is>
          <x:t xml:space="preserve">video_thruplays</x:t>
        </x:is>
      </x:c>
      <x:c r="C7" s="6" t="inlineStr">
        <x:is>
          <x:t xml:space="preserve">تماشای کامل ویدیو (خام)</x:t>
        </x:is>
      </x:c>
      <x:c r="D7" s="6" t="inlineStr">
        <x:is>
          <x:t xml:space="preserve">ThruPlays ثبت‌شده</x:t>
        </x:is>
      </x:c>
      <x:c r="E7" s="6" t="inlineStr">
        <x:is>
          <x:t xml:space="preserve">Raw</x:t>
        </x:is>
      </x:c>
      <x:c r="F7" s="6" t="inlineStr">
        <x:is>
          <x:t xml:space="preserve">SUM</x:t>
        </x:is>
      </x:c>
      <x:c r="G7" s="6" t="inlineStr">
        <x:is>
          <x:t xml:space="preserve">—</x:t>
        </x:is>
      </x:c>
      <x:c r="H7" s="6" t="inlineStr">
        <x:is>
          <x:t xml:space="preserve">—</x:t>
        </x:is>
      </x:c>
      <x:c r="I7" s="6" t="inlineStr">
        <x:is>
          <x:t xml:space="preserve">SUM(thruplays)</x:t>
        </x:is>
      </x:c>
      <x:c r="J7" s="6" t="inlineStr">
        <x:is>
          <x:t xml:space="preserve">count</x:t>
        </x:is>
      </x:c>
      <x:c r="K7" s="6" t="inlineStr">
        <x:is>
          <x:t xml:space="preserve">creative</x:t>
        </x:is>
      </x:c>
      <x:c r="L7" s="6" t="inlineStr">
        <x:is>
          <x:t xml:space="preserve">Meta API</x:t>
        </x:is>
      </x:c>
      <x:c r="M7" s="6" t="inlineStr">
        <x:is>
          <x:t xml:space="preserve">thruplays</x:t>
        </x:is>
      </x:c>
      <x:c r="N7" s="6" t="inlineStr">
        <x:is>
          <x:t xml:space="preserve">—</x:t>
        </x:is>
      </x:c>
      <x:c r="O7" s="6" t="inlineStr">
        <x:is>
          <x:t xml:space="preserve">DIM-08</x:t>
        </x:is>
      </x:c>
      <x:c r="P7" s="6" t="inlineStr">
        <x:is>
          <x:t xml:space="preserve">ساعتی</x:t>
        </x:is>
      </x:c>
      <x:c r="Q7" s="19" t="inlineStr">
        <x:is>
          <x:t xml:space="preserve">W4</x:t>
        </x:is>
      </x:c>
      <x:c r="R7" s="19" t="inlineStr">
        <x:is>
          <x:t xml:space="preserve">Data Engineer</x:t>
        </x:is>
      </x:c>
      <x:c r="S7" s="6" t="inlineStr">
        <x:is>
          <x:t xml:space="preserve">—</x:t>
        </x:is>
      </x:c>
    </x:row>
    <x:row r="8">
      <x:c r="A8" s="17" t="inlineStr">
        <x:is>
          <x:t xml:space="preserve">MET-07</x:t>
        </x:is>
      </x:c>
      <x:c r="B8" s="4" t="inlineStr">
        <x:is>
          <x:t xml:space="preserve">sessions</x:t>
        </x:is>
      </x:c>
      <x:c r="C8" s="4" t="inlineStr">
        <x:is>
          <x:t xml:space="preserve">نشست‌ها (خام)</x:t>
        </x:is>
      </x:c>
      <x:c r="D8" s="4" t="inlineStr">
        <x:is>
          <x:t xml:space="preserve">مجموع سشن‌های وب‌سایت</x:t>
        </x:is>
      </x:c>
      <x:c r="E8" s="4" t="inlineStr">
        <x:is>
          <x:t xml:space="preserve">Raw</x:t>
        </x:is>
      </x:c>
      <x:c r="F8" s="4" t="inlineStr">
        <x:is>
          <x:t xml:space="preserve">COUNT</x:t>
        </x:is>
      </x:c>
      <x:c r="G8" s="4" t="inlineStr">
        <x:is>
          <x:t xml:space="preserve">—</x:t>
        </x:is>
      </x:c>
      <x:c r="H8" s="4" t="inlineStr">
        <x:is>
          <x:t xml:space="preserve">—</x:t>
        </x:is>
      </x:c>
      <x:c r="I8" s="4" t="inlineStr">
        <x:is>
          <x:t xml:space="preserve">COUNT(DISTINCT session_id)</x:t>
        </x:is>
      </x:c>
      <x:c r="J8" s="4" t="inlineStr">
        <x:is>
          <x:t xml:space="preserve">count</x:t>
        </x:is>
      </x:c>
      <x:c r="K8" s="4" t="inlineStr">
        <x:is>
          <x:t xml:space="preserve">session</x:t>
        </x:is>
      </x:c>
      <x:c r="L8" s="4" t="inlineStr">
        <x:is>
          <x:t xml:space="preserve">GA4</x:t>
        </x:is>
      </x:c>
      <x:c r="M8" s="4" t="inlineStr">
        <x:is>
          <x:t xml:space="preserve">session_id</x:t>
        </x:is>
      </x:c>
      <x:c r="N8" s="4" t="inlineStr">
        <x:is>
          <x:t xml:space="preserve">EVT-01</x:t>
        </x:is>
      </x:c>
      <x:c r="O8" s="4" t="inlineStr">
        <x:is>
          <x:t xml:space="preserve">DIM-01,02,03,15,23</x:t>
        </x:is>
      </x:c>
      <x:c r="P8" s="4" t="inlineStr">
        <x:is>
          <x:t xml:space="preserve">ساعتی</x:t>
        </x:is>
      </x:c>
      <x:c r="Q8" s="17" t="inlineStr">
        <x:is>
          <x:t xml:space="preserve">W4</x:t>
        </x:is>
      </x:c>
      <x:c r="R8" s="17" t="inlineStr">
        <x:is>
          <x:t xml:space="preserve">Data Engineer</x:t>
        </x:is>
      </x:c>
      <x:c r="S8" s="4" t="inlineStr">
        <x:is>
          <x:t xml:space="preserve">—</x:t>
        </x:is>
      </x:c>
    </x:row>
    <x:row r="9">
      <x:c r="A9" s="19" t="inlineStr">
        <x:is>
          <x:t xml:space="preserve">MET-08</x:t>
        </x:is>
      </x:c>
      <x:c r="B9" s="6" t="inlineStr">
        <x:is>
          <x:t xml:space="preserve">engaged_sessions</x:t>
        </x:is>
      </x:c>
      <x:c r="C9" s="6" t="inlineStr">
        <x:is>
          <x:t xml:space="preserve">سشن‌های درگیر (خام)</x:t>
        </x:is>
      </x:c>
      <x:c r="D9" s="6" t="inlineStr">
        <x:is>
          <x:t xml:space="preserve">سشن‌های بالای آستانه GA4</x:t>
        </x:is>
      </x:c>
      <x:c r="E9" s="6" t="inlineStr">
        <x:is>
          <x:t xml:space="preserve">Raw</x:t>
        </x:is>
      </x:c>
      <x:c r="F9" s="6" t="inlineStr">
        <x:is>
          <x:t xml:space="preserve">COUNT</x:t>
        </x:is>
      </x:c>
      <x:c r="G9" s="6" t="inlineStr">
        <x:is>
          <x:t xml:space="preserve">—</x:t>
        </x:is>
      </x:c>
      <x:c r="H9" s="6" t="inlineStr">
        <x:is>
          <x:t xml:space="preserve">—</x:t>
        </x:is>
      </x:c>
      <x:c r="I9" s="6" t="inlineStr">
        <x:is>
          <x:t xml:space="preserve">COUNT(engaged sessions)</x:t>
        </x:is>
      </x:c>
      <x:c r="J9" s="6" t="inlineStr">
        <x:is>
          <x:t xml:space="preserve">count</x:t>
        </x:is>
      </x:c>
      <x:c r="K9" s="6" t="inlineStr">
        <x:is>
          <x:t xml:space="preserve">session</x:t>
        </x:is>
      </x:c>
      <x:c r="L9" s="6" t="inlineStr">
        <x:is>
          <x:t xml:space="preserve">GA4</x:t>
        </x:is>
      </x:c>
      <x:c r="M9" s="6" t="inlineStr">
        <x:is>
          <x:t xml:space="preserve">engaged_type</x:t>
        </x:is>
      </x:c>
      <x:c r="N9" s="6" t="inlineStr">
        <x:is>
          <x:t xml:space="preserve">EVT-01</x:t>
        </x:is>
      </x:c>
      <x:c r="O9" s="6" t="inlineStr">
        <x:is>
          <x:t xml:space="preserve">DIM-01,15</x:t>
        </x:is>
      </x:c>
      <x:c r="P9" s="6" t="inlineStr">
        <x:is>
          <x:t xml:space="preserve">ساعتی</x:t>
        </x:is>
      </x:c>
      <x:c r="Q9" s="19" t="inlineStr">
        <x:is>
          <x:t xml:space="preserve">W4</x:t>
        </x:is>
      </x:c>
      <x:c r="R9" s="19" t="inlineStr">
        <x:is>
          <x:t xml:space="preserve">Data Engineer</x:t>
        </x:is>
      </x:c>
      <x:c r="S9" s="6" t="inlineStr">
        <x:is>
          <x:t xml:space="preserve">—</x:t>
        </x:is>
      </x:c>
    </x:row>
    <x:row r="10">
      <x:c r="A10" s="17" t="inlineStr">
        <x:is>
          <x:t xml:space="preserve">MET-09</x:t>
        </x:is>
      </x:c>
      <x:c r="B10" s="4" t="inlineStr">
        <x:is>
          <x:t xml:space="preserve">landing_page_views</x:t>
        </x:is>
      </x:c>
      <x:c r="C10" s="4" t="inlineStr">
        <x:is>
          <x:t xml:space="preserve">مشاهدات لندینگ (خام)</x:t>
        </x:is>
      </x:c>
      <x:c r="D10" s="4" t="inlineStr">
        <x:is>
          <x:t xml:space="preserve">رویدادهای landing_page_view</x:t>
        </x:is>
      </x:c>
      <x:c r="E10" s="4" t="inlineStr">
        <x:is>
          <x:t xml:space="preserve">Raw</x:t>
        </x:is>
      </x:c>
      <x:c r="F10" s="4" t="inlineStr">
        <x:is>
          <x:t xml:space="preserve">COUNT</x:t>
        </x:is>
      </x:c>
      <x:c r="G10" s="4" t="inlineStr">
        <x:is>
          <x:t xml:space="preserve">—</x:t>
        </x:is>
      </x:c>
      <x:c r="H10" s="4" t="inlineStr">
        <x:is>
          <x:t xml:space="preserve">—</x:t>
        </x:is>
      </x:c>
      <x:c r="I10" s="4" t="inlineStr">
        <x:is>
          <x:t xml:space="preserve">COUNT(lpv events)</x:t>
        </x:is>
      </x:c>
      <x:c r="J10" s="4" t="inlineStr">
        <x:is>
          <x:t xml:space="preserve">count</x:t>
        </x:is>
      </x:c>
      <x:c r="K10" s="4" t="inlineStr">
        <x:is>
          <x:t xml:space="preserve">landing page</x:t>
        </x:is>
      </x:c>
      <x:c r="L10" s="4" t="inlineStr">
        <x:is>
          <x:t xml:space="preserve">GA4</x:t>
        </x:is>
      </x:c>
      <x:c r="M10" s="4" t="inlineStr">
        <x:is>
          <x:t xml:space="preserve">page_view on LP</x:t>
        </x:is>
      </x:c>
      <x:c r="N10" s="4" t="inlineStr">
        <x:is>
          <x:t xml:space="preserve">EVT-01</x:t>
        </x:is>
      </x:c>
      <x:c r="O10" s="4" t="inlineStr">
        <x:is>
          <x:t xml:space="preserve">DIM-04,15,23</x:t>
        </x:is>
      </x:c>
      <x:c r="P10" s="4" t="inlineStr">
        <x:is>
          <x:t xml:space="preserve">ساعتی</x:t>
        </x:is>
      </x:c>
      <x:c r="Q10" s="17" t="inlineStr">
        <x:is>
          <x:t xml:space="preserve">W4</x:t>
        </x:is>
      </x:c>
      <x:c r="R10" s="17" t="inlineStr">
        <x:is>
          <x:t xml:space="preserve">Data Engineer</x:t>
        </x:is>
      </x:c>
      <x:c r="S10" s="4" t="inlineStr">
        <x:is>
          <x:t xml:space="preserve">—</x:t>
        </x:is>
      </x:c>
    </x:row>
    <x:row r="11">
      <x:c r="A11" s="19" t="inlineStr">
        <x:is>
          <x:t xml:space="preserve">MET-10</x:t>
        </x:is>
      </x:c>
      <x:c r="B11" s="6" t="inlineStr">
        <x:is>
          <x:t xml:space="preserve">new_users</x:t>
        </x:is>
      </x:c>
      <x:c r="C11" s="6" t="inlineStr">
        <x:is>
          <x:t xml:space="preserve">کاربران جدید (خام)</x:t>
        </x:is>
      </x:c>
      <x:c r="D11" s="6" t="inlineStr">
        <x:is>
          <x:t xml:space="preserve">اولین سشن کاربر</x:t>
        </x:is>
      </x:c>
      <x:c r="E11" s="6" t="inlineStr">
        <x:is>
          <x:t xml:space="preserve">Raw</x:t>
        </x:is>
      </x:c>
      <x:c r="F11" s="6" t="inlineStr">
        <x:is>
          <x:t xml:space="preserve">COUNT</x:t>
        </x:is>
      </x:c>
      <x:c r="G11" s="6" t="inlineStr">
        <x:is>
          <x:t xml:space="preserve">—</x:t>
        </x:is>
      </x:c>
      <x:c r="H11" s="6" t="inlineStr">
        <x:is>
          <x:t xml:space="preserve">—</x:t>
        </x:is>
      </x:c>
      <x:c r="I11" s="6" t="inlineStr">
        <x:is>
          <x:t xml:space="preserve">COUNT(DISTINCT new user_id)</x:t>
        </x:is>
      </x:c>
      <x:c r="J11" s="6" t="inlineStr">
        <x:is>
          <x:t xml:space="preserve">count</x:t>
        </x:is>
      </x:c>
      <x:c r="K11" s="6" t="inlineStr">
        <x:is>
          <x:t xml:space="preserve">user</x:t>
        </x:is>
      </x:c>
      <x:c r="L11" s="6" t="inlineStr">
        <x:is>
          <x:t xml:space="preserve">GA4</x:t>
        </x:is>
      </x:c>
      <x:c r="M11" s="6" t="inlineStr">
        <x:is>
          <x:t xml:space="preserve">new_user</x:t>
        </x:is>
      </x:c>
      <x:c r="N11" s="6" t="inlineStr">
        <x:is>
          <x:t xml:space="preserve">EVT-01</x:t>
        </x:is>
      </x:c>
      <x:c r="O11" s="6" t="inlineStr">
        <x:is>
          <x:t xml:space="preserve">DIM-01</x:t>
        </x:is>
      </x:c>
      <x:c r="P11" s="6" t="inlineStr">
        <x:is>
          <x:t xml:space="preserve">روزانه</x:t>
        </x:is>
      </x:c>
      <x:c r="Q11" s="19" t="inlineStr">
        <x:is>
          <x:t xml:space="preserve">W4</x:t>
        </x:is>
      </x:c>
      <x:c r="R11" s="19" t="inlineStr">
        <x:is>
          <x:t xml:space="preserve">Data Engineer</x:t>
        </x:is>
      </x:c>
      <x:c r="S11" s="6" t="inlineStr">
        <x:is>
          <x:t xml:space="preserve">—</x:t>
        </x:is>
      </x:c>
    </x:row>
    <x:row r="12">
      <x:c r="A12" s="17" t="inlineStr">
        <x:is>
          <x:t xml:space="preserve">MET-11</x:t>
        </x:is>
      </x:c>
      <x:c r="B12" s="4" t="inlineStr">
        <x:is>
          <x:t xml:space="preserve">raw_leads</x:t>
        </x:is>
      </x:c>
      <x:c r="C12" s="4" t="inlineStr">
        <x:is>
          <x:t xml:space="preserve">لیدهای خام (خام)</x:t>
        </x:is>
      </x:c>
      <x:c r="D12" s="4" t="inlineStr">
        <x:is>
          <x:t xml:space="preserve">مجموع لیدهای ثبت‌شده</x:t>
        </x:is>
      </x:c>
      <x:c r="E12" s="4" t="inlineStr">
        <x:is>
          <x:t xml:space="preserve">Raw</x:t>
        </x:is>
      </x:c>
      <x:c r="F12" s="4" t="inlineStr">
        <x:is>
          <x:t xml:space="preserve">COUNT</x:t>
        </x:is>
      </x:c>
      <x:c r="G12" s="4" t="inlineStr">
        <x:is>
          <x:t xml:space="preserve">—</x:t>
        </x:is>
      </x:c>
      <x:c r="H12" s="4" t="inlineStr">
        <x:is>
          <x:t xml:space="preserve">—</x:t>
        </x:is>
      </x:c>
      <x:c r="I12" s="4" t="inlineStr">
        <x:is>
          <x:t xml:space="preserve">COUNT(DISTINCT lead_id)</x:t>
        </x:is>
      </x:c>
      <x:c r="J12" s="4" t="inlineStr">
        <x:is>
          <x:t xml:space="preserve">count</x:t>
        </x:is>
      </x:c>
      <x:c r="K12" s="4" t="inlineStr">
        <x:is>
          <x:t xml:space="preserve">lead</x:t>
        </x:is>
      </x:c>
      <x:c r="L12" s="4" t="inlineStr">
        <x:is>
          <x:t xml:space="preserve">CRM + Meta Forms</x:t>
        </x:is>
      </x:c>
      <x:c r="M12" s="4" t="inlineStr">
        <x:is>
          <x:t xml:space="preserve">lead_id</x:t>
        </x:is>
      </x:c>
      <x:c r="N12" s="4" t="inlineStr">
        <x:is>
          <x:t xml:space="preserve">EVT-16</x:t>
        </x:is>
      </x:c>
      <x:c r="O12" s="4" t="inlineStr">
        <x:is>
          <x:t xml:space="preserve">DIM-01,04,15</x:t>
        </x:is>
      </x:c>
      <x:c r="P12" s="4" t="inlineStr">
        <x:is>
          <x:t xml:space="preserve">لحظه‌ای</x:t>
        </x:is>
      </x:c>
      <x:c r="Q12" s="17" t="inlineStr">
        <x:is>
          <x:t xml:space="preserve">W4</x:t>
        </x:is>
      </x:c>
      <x:c r="R12" s="17" t="inlineStr">
        <x:is>
          <x:t xml:space="preserve">Data Engineer</x:t>
        </x:is>
      </x:c>
      <x:c r="S12" s="4" t="inlineStr">
        <x:is>
          <x:t xml:space="preserve">Dedup ۲۴ ساعته بر پایه هش تلفن</x:t>
        </x:is>
      </x:c>
    </x:row>
    <x:row r="13">
      <x:c r="A13" s="19" t="inlineStr">
        <x:is>
          <x:t xml:space="preserve">MET-12</x:t>
        </x:is>
      </x:c>
      <x:c r="B13" s="6" t="inlineStr">
        <x:is>
          <x:t xml:space="preserve">mql_count</x:t>
        </x:is>
      </x:c>
      <x:c r="C13" s="6" t="inlineStr">
        <x:is>
          <x:t xml:space="preserve">لیدهای واجد شرایط بازاریابی</x:t>
        </x:is>
      </x:c>
      <x:c r="D13" s="6" t="inlineStr">
        <x:is>
          <x:t xml:space="preserve">خروجی اعتبارسنجی</x:t>
        </x:is>
      </x:c>
      <x:c r="E13" s="6" t="inlineStr">
        <x:is>
          <x:t xml:space="preserve">Derived</x:t>
        </x:is>
      </x:c>
      <x:c r="F13" s="6" t="inlineStr">
        <x:is>
          <x:t xml:space="preserve">COUNT</x:t>
        </x:is>
      </x:c>
      <x:c r="G13" s="6" t="inlineStr">
        <x:is>
          <x:t xml:space="preserve">—</x:t>
        </x:is>
      </x:c>
      <x:c r="H13" s="6" t="inlineStr">
        <x:is>
          <x:t xml:space="preserve">—</x:t>
        </x:is>
      </x:c>
      <x:c r="I13" s="6" t="inlineStr">
        <x:is>
          <x:t xml:space="preserve">COUNT(lead_status='MQL')</x:t>
        </x:is>
      </x:c>
      <x:c r="J13" s="6" t="inlineStr">
        <x:is>
          <x:t xml:space="preserve">count</x:t>
        </x:is>
      </x:c>
      <x:c r="K13" s="6" t="inlineStr">
        <x:is>
          <x:t xml:space="preserve">lead</x:t>
        </x:is>
      </x:c>
      <x:c r="L13" s="6" t="inlineStr">
        <x:is>
          <x:t xml:space="preserve">CRM</x:t>
        </x:is>
      </x:c>
      <x:c r="M13" s="6" t="inlineStr">
        <x:is>
          <x:t xml:space="preserve">lead_qualification_status</x:t>
        </x:is>
      </x:c>
      <x:c r="N13" s="6" t="inlineStr">
        <x:is>
          <x:t xml:space="preserve">EVT-16,EVT-17</x:t>
        </x:is>
      </x:c>
      <x:c r="O13" s="6" t="inlineStr">
        <x:is>
          <x:t xml:space="preserve">DIM-01,04</x:t>
        </x:is>
      </x:c>
      <x:c r="P13" s="6" t="inlineStr">
        <x:is>
          <x:t xml:space="preserve">بلادرنگ</x:t>
        </x:is>
      </x:c>
      <x:c r="Q13" s="19" t="inlineStr">
        <x:is>
          <x:t xml:space="preserve">W4</x:t>
        </x:is>
      </x:c>
      <x:c r="R13" s="19" t="inlineStr">
        <x:is>
          <x:t xml:space="preserve">Data Analyst</x:t>
        </x:is>
      </x:c>
      <x:c r="S13" s="6" t="inlineStr">
        <x:is>
          <x:t xml:space="preserve">تحویل CRM در SLA ۳۰ دقیقه</x:t>
        </x:is>
      </x:c>
    </x:row>
    <x:row r="14">
      <x:c r="A14" s="17" t="inlineStr">
        <x:is>
          <x:t xml:space="preserve">MET-13</x:t>
        </x:is>
      </x:c>
      <x:c r="B14" s="4" t="inlineStr">
        <x:is>
          <x:t xml:space="preserve">sql_count</x:t>
        </x:is>
      </x:c>
      <x:c r="C14" s="4" t="inlineStr">
        <x:is>
          <x:t xml:space="preserve">لیدهای واجد شرایط فروش</x:t>
        </x:is>
      </x:c>
      <x:c r="D14" s="4" t="inlineStr">
        <x:is>
          <x:t xml:space="preserve">خروجی تایید فروش</x:t>
        </x:is>
      </x:c>
      <x:c r="E14" s="4" t="inlineStr">
        <x:is>
          <x:t xml:space="preserve">Derived</x:t>
        </x:is>
      </x:c>
      <x:c r="F14" s="4" t="inlineStr">
        <x:is>
          <x:t xml:space="preserve">COUNT</x:t>
        </x:is>
      </x:c>
      <x:c r="G14" s="4" t="inlineStr">
        <x:is>
          <x:t xml:space="preserve">—</x:t>
        </x:is>
      </x:c>
      <x:c r="H14" s="4" t="inlineStr">
        <x:is>
          <x:t xml:space="preserve">—</x:t>
        </x:is>
      </x:c>
      <x:c r="I14" s="4" t="inlineStr">
        <x:is>
          <x:t xml:space="preserve">COUNT(lead_status='SQL')</x:t>
        </x:is>
      </x:c>
      <x:c r="J14" s="4" t="inlineStr">
        <x:is>
          <x:t xml:space="preserve">count</x:t>
        </x:is>
      </x:c>
      <x:c r="K14" s="4" t="inlineStr">
        <x:is>
          <x:t xml:space="preserve">lead</x:t>
        </x:is>
      </x:c>
      <x:c r="L14" s="4" t="inlineStr">
        <x:is>
          <x:t xml:space="preserve">CRM</x:t>
        </x:is>
      </x:c>
      <x:c r="M14" s="4" t="inlineStr">
        <x:is>
          <x:t xml:space="preserve">lead_qualification_status</x:t>
        </x:is>
      </x:c>
      <x:c r="N14" s="4" t="inlineStr">
        <x:is>
          <x:t xml:space="preserve">EVT-17</x:t>
        </x:is>
      </x:c>
      <x:c r="O14" s="4" t="inlineStr">
        <x:is>
          <x:t xml:space="preserve">DIM-04,25</x:t>
        </x:is>
      </x:c>
      <x:c r="P14" s="4" t="inlineStr">
        <x:is>
          <x:t xml:space="preserve">بلادرنگ</x:t>
        </x:is>
      </x:c>
      <x:c r="Q14" s="17" t="inlineStr">
        <x:is>
          <x:t xml:space="preserve">W4</x:t>
        </x:is>
      </x:c>
      <x:c r="R14" s="17" t="inlineStr">
        <x:is>
          <x:t xml:space="preserve">Data Analyst</x:t>
        </x:is>
      </x:c>
      <x:c r="S14" s="4" t="inlineStr">
        <x:is>
          <x:t xml:space="preserve">—</x:t>
        </x:is>
      </x:c>
    </x:row>
    <x:row r="15">
      <x:c r="A15" s="19" t="inlineStr">
        <x:is>
          <x:t xml:space="preserve">MET-14</x:t>
        </x:is>
      </x:c>
      <x:c r="B15" s="6" t="inlineStr">
        <x:is>
          <x:t xml:space="preserve">won_deals</x:t>
        </x:is>
      </x:c>
      <x:c r="C15" s="6" t="inlineStr">
        <x:is>
          <x:t xml:space="preserve">معاملات بسته‌شده</x:t>
        </x:is>
      </x:c>
      <x:c r="D15" s="6" t="inlineStr">
        <x:is>
          <x:t xml:space="preserve">Closed Won در CRM</x:t>
        </x:is>
      </x:c>
      <x:c r="E15" s="6" t="inlineStr">
        <x:is>
          <x:t xml:space="preserve">Derived</x:t>
        </x:is>
      </x:c>
      <x:c r="F15" s="6" t="inlineStr">
        <x:is>
          <x:t xml:space="preserve">COUNT</x:t>
        </x:is>
      </x:c>
      <x:c r="G15" s="6" t="inlineStr">
        <x:is>
          <x:t xml:space="preserve">—</x:t>
        </x:is>
      </x:c>
      <x:c r="H15" s="6" t="inlineStr">
        <x:is>
          <x:t xml:space="preserve">—</x:t>
        </x:is>
      </x:c>
      <x:c r="I15" s="6" t="inlineStr">
        <x:is>
          <x:t xml:space="preserve">COUNT(deal_stage='closed_won')</x:t>
        </x:is>
      </x:c>
      <x:c r="J15" s="6" t="inlineStr">
        <x:is>
          <x:t xml:space="preserve">count</x:t>
        </x:is>
      </x:c>
      <x:c r="K15" s="6" t="inlineStr">
        <x:is>
          <x:t xml:space="preserve">deal</x:t>
        </x:is>
      </x:c>
      <x:c r="L15" s="6" t="inlineStr">
        <x:is>
          <x:t xml:space="preserve">CRM + حسابداری</x:t>
        </x:is>
      </x:c>
      <x:c r="M15" s="6" t="inlineStr">
        <x:is>
          <x:t xml:space="preserve">crm_deal_stage_outcome</x:t>
        </x:is>
      </x:c>
      <x:c r="N15" s="6" t="inlineStr">
        <x:is>
          <x:t xml:space="preserve">EVT-13</x:t>
        </x:is>
      </x:c>
      <x:c r="O15" s="6" t="inlineStr">
        <x:is>
          <x:t xml:space="preserve">DIM-04,25,26</x:t>
        </x:is>
      </x:c>
      <x:c r="P15" s="6" t="inlineStr">
        <x:is>
          <x:t xml:space="preserve">روزانه</x:t>
        </x:is>
      </x:c>
      <x:c r="Q15" s="19" t="inlineStr">
        <x:is>
          <x:t xml:space="preserve">W4</x:t>
        </x:is>
      </x:c>
      <x:c r="R15" s="19" t="inlineStr">
        <x:is>
          <x:t xml:space="preserve">Data Analyst</x:t>
        </x:is>
      </x:c>
      <x:c r="S15" s="6" t="inlineStr">
        <x:is>
          <x:t xml:space="preserve">تطبیق با فاکتور</x:t>
        </x:is>
      </x:c>
    </x:row>
    <x:row r="16">
      <x:c r="A16" s="17" t="inlineStr">
        <x:is>
          <x:t xml:space="preserve">MET-15</x:t>
        </x:is>
      </x:c>
      <x:c r="B16" s="4" t="inlineStr">
        <x:is>
          <x:t xml:space="preserve">product_views</x:t>
        </x:is>
      </x:c>
      <x:c r="C16" s="4" t="inlineStr">
        <x:is>
          <x:t xml:space="preserve">مشاهدات PDP (خام)</x:t>
        </x:is>
      </x:c>
      <x:c r="D16" s="4" t="inlineStr">
        <x:is>
          <x:t xml:space="preserve">رویدادهای view_item</x:t>
        </x:is>
      </x:c>
      <x:c r="E16" s="4" t="inlineStr">
        <x:is>
          <x:t xml:space="preserve">Raw</x:t>
        </x:is>
      </x:c>
      <x:c r="F16" s="4" t="inlineStr">
        <x:is>
          <x:t xml:space="preserve">COUNT</x:t>
        </x:is>
      </x:c>
      <x:c r="G16" s="4" t="inlineStr">
        <x:is>
          <x:t xml:space="preserve">—</x:t>
        </x:is>
      </x:c>
      <x:c r="H16" s="4" t="inlineStr">
        <x:is>
          <x:t xml:space="preserve">—</x:t>
        </x:is>
      </x:c>
      <x:c r="I16" s="4" t="inlineStr">
        <x:is>
          <x:t xml:space="preserve">COUNT(view_item)</x:t>
        </x:is>
      </x:c>
      <x:c r="J16" s="4" t="inlineStr">
        <x:is>
          <x:t xml:space="preserve">count</x:t>
        </x:is>
      </x:c>
      <x:c r="K16" s="4" t="inlineStr">
        <x:is>
          <x:t xml:space="preserve">product</x:t>
        </x:is>
      </x:c>
      <x:c r="L16" s="4" t="inlineStr">
        <x:is>
          <x:t xml:space="preserve">GA4</x:t>
        </x:is>
      </x:c>
      <x:c r="M16" s="4" t="inlineStr">
        <x:is>
          <x:t xml:space="preserve">view_item</x:t>
        </x:is>
      </x:c>
      <x:c r="N16" s="4" t="inlineStr">
        <x:is>
          <x:t xml:space="preserve">EVT-04</x:t>
        </x:is>
      </x:c>
      <x:c r="O16" s="4" t="inlineStr">
        <x:is>
          <x:t xml:space="preserve">DIM-16,17,18</x:t>
        </x:is>
      </x:c>
      <x:c r="P16" s="4" t="inlineStr">
        <x:is>
          <x:t xml:space="preserve">ساعتی</x:t>
        </x:is>
      </x:c>
      <x:c r="Q16" s="17" t="inlineStr">
        <x:is>
          <x:t xml:space="preserve">W4</x:t>
        </x:is>
      </x:c>
      <x:c r="R16" s="17" t="inlineStr">
        <x:is>
          <x:t xml:space="preserve">Data Engineer</x:t>
        </x:is>
      </x:c>
      <x:c r="S16" s="4" t="inlineStr">
        <x:is>
          <x:t xml:space="preserve">—</x:t>
        </x:is>
      </x:c>
    </x:row>
    <x:row r="17">
      <x:c r="A17" s="19" t="inlineStr">
        <x:is>
          <x:t xml:space="preserve">MET-16</x:t>
        </x:is>
      </x:c>
      <x:c r="B17" s="6" t="inlineStr">
        <x:is>
          <x:t xml:space="preserve">add_to_cart_sessions</x:t>
        </x:is>
      </x:c>
      <x:c r="C17" s="6" t="inlineStr">
        <x:is>
          <x:t xml:space="preserve">سشن‌های دارای افزودن به سبد</x:t>
        </x:is>
      </x:c>
      <x:c r="D17" s="6" t="inlineStr">
        <x:is>
          <x:t xml:space="preserve">رویدادهای add_to_cart</x:t>
        </x:is>
      </x:c>
      <x:c r="E17" s="6" t="inlineStr">
        <x:is>
          <x:t xml:space="preserve">Raw</x:t>
        </x:is>
      </x:c>
      <x:c r="F17" s="6" t="inlineStr">
        <x:is>
          <x:t xml:space="preserve">COUNT</x:t>
        </x:is>
      </x:c>
      <x:c r="G17" s="6" t="inlineStr">
        <x:is>
          <x:t xml:space="preserve">—</x:t>
        </x:is>
      </x:c>
      <x:c r="H17" s="6" t="inlineStr">
        <x:is>
          <x:t xml:space="preserve">—</x:t>
        </x:is>
      </x:c>
      <x:c r="I17" s="6" t="inlineStr">
        <x:is>
          <x:t xml:space="preserve">COUNT(DISTINCT session w/ add_to_cart)</x:t>
        </x:is>
      </x:c>
      <x:c r="J17" s="6" t="inlineStr">
        <x:is>
          <x:t xml:space="preserve">count</x:t>
        </x:is>
      </x:c>
      <x:c r="K17" s="6" t="inlineStr">
        <x:is>
          <x:t xml:space="preserve">session</x:t>
        </x:is>
      </x:c>
      <x:c r="L17" s="6" t="inlineStr">
        <x:is>
          <x:t xml:space="preserve">GA4</x:t>
        </x:is>
      </x:c>
      <x:c r="M17" s="6" t="inlineStr">
        <x:is>
          <x:t xml:space="preserve">add_to_cart</x:t>
        </x:is>
      </x:c>
      <x:c r="N17" s="6" t="inlineStr">
        <x:is>
          <x:t xml:space="preserve">EVT-07</x:t>
        </x:is>
      </x:c>
      <x:c r="O17" s="6" t="inlineStr">
        <x:is>
          <x:t xml:space="preserve">DIM-16,17</x:t>
        </x:is>
      </x:c>
      <x:c r="P17" s="6" t="inlineStr">
        <x:is>
          <x:t xml:space="preserve">ساعتی</x:t>
        </x:is>
      </x:c>
      <x:c r="Q17" s="19" t="inlineStr">
        <x:is>
          <x:t xml:space="preserve">W4</x:t>
        </x:is>
      </x:c>
      <x:c r="R17" s="19" t="inlineStr">
        <x:is>
          <x:t xml:space="preserve">Data Engineer</x:t>
        </x:is>
      </x:c>
      <x:c r="S17" s="6" t="inlineStr">
        <x:is>
          <x:t xml:space="preserve">—</x:t>
        </x:is>
      </x:c>
    </x:row>
    <x:row r="18">
      <x:c r="A18" s="17" t="inlineStr">
        <x:is>
          <x:t xml:space="preserve">MET-17</x:t>
        </x:is>
      </x:c>
      <x:c r="B18" s="4" t="inlineStr">
        <x:is>
          <x:t xml:space="preserve">begin_checkout_sessions</x:t>
        </x:is>
      </x:c>
      <x:c r="C18" s="4" t="inlineStr">
        <x:is>
          <x:t xml:space="preserve">سشن‌های آغاز تسویه</x:t>
        </x:is>
      </x:c>
      <x:c r="D18" s="4" t="inlineStr">
        <x:is>
          <x:t xml:space="preserve">رویدادهای begin_checkout</x:t>
        </x:is>
      </x:c>
      <x:c r="E18" s="4" t="inlineStr">
        <x:is>
          <x:t xml:space="preserve">Raw</x:t>
        </x:is>
      </x:c>
      <x:c r="F18" s="4" t="inlineStr">
        <x:is>
          <x:t xml:space="preserve">COUNT</x:t>
        </x:is>
      </x:c>
      <x:c r="G18" s="4" t="inlineStr">
        <x:is>
          <x:t xml:space="preserve">—</x:t>
        </x:is>
      </x:c>
      <x:c r="H18" s="4" t="inlineStr">
        <x:is>
          <x:t xml:space="preserve">—</x:t>
        </x:is>
      </x:c>
      <x:c r="I18" s="4" t="inlineStr">
        <x:is>
          <x:t xml:space="preserve">COUNT(DISTINCT session w/ begin_checkout)</x:t>
        </x:is>
      </x:c>
      <x:c r="J18" s="4" t="inlineStr">
        <x:is>
          <x:t xml:space="preserve">count</x:t>
        </x:is>
      </x:c>
      <x:c r="K18" s="4" t="inlineStr">
        <x:is>
          <x:t xml:space="preserve">session</x:t>
        </x:is>
      </x:c>
      <x:c r="L18" s="4" t="inlineStr">
        <x:is>
          <x:t xml:space="preserve">GA4</x:t>
        </x:is>
      </x:c>
      <x:c r="M18" s="4" t="inlineStr">
        <x:is>
          <x:t xml:space="preserve">begin_checkout</x:t>
        </x:is>
      </x:c>
      <x:c r="N18" s="4" t="inlineStr">
        <x:is>
          <x:t xml:space="preserve">EVT-10</x:t>
        </x:is>
      </x:c>
      <x:c r="O18" s="4" t="inlineStr">
        <x:is>
          <x:t xml:space="preserve">DIM-17,28</x:t>
        </x:is>
      </x:c>
      <x:c r="P18" s="4" t="inlineStr">
        <x:is>
          <x:t xml:space="preserve">ساعتی</x:t>
        </x:is>
      </x:c>
      <x:c r="Q18" s="17" t="inlineStr">
        <x:is>
          <x:t xml:space="preserve">W4</x:t>
        </x:is>
      </x:c>
      <x:c r="R18" s="17" t="inlineStr">
        <x:is>
          <x:t xml:space="preserve">Data Engineer</x:t>
        </x:is>
      </x:c>
      <x:c r="S18" s="4" t="inlineStr">
        <x:is>
          <x:t xml:space="preserve">—</x:t>
        </x:is>
      </x:c>
    </x:row>
    <x:row r="19">
      <x:c r="A19" s="19" t="inlineStr">
        <x:is>
          <x:t xml:space="preserve">MET-18</x:t>
        </x:is>
      </x:c>
      <x:c r="B19" s="6" t="inlineStr">
        <x:is>
          <x:t xml:space="preserve">purchases</x:t>
        </x:is>
      </x:c>
      <x:c r="C19" s="6" t="inlineStr">
        <x:is>
          <x:t xml:space="preserve">خریدهای قطعی (خام)</x:t>
        </x:is>
      </x:c>
      <x:c r="D19" s="6" t="inlineStr">
        <x:is>
          <x:t xml:space="preserve">رویدادهای purchase معتبر</x:t>
        </x:is>
      </x:c>
      <x:c r="E19" s="6" t="inlineStr">
        <x:is>
          <x:t xml:space="preserve">Raw</x:t>
        </x:is>
      </x:c>
      <x:c r="F19" s="6" t="inlineStr">
        <x:is>
          <x:t xml:space="preserve">COUNT</x:t>
        </x:is>
      </x:c>
      <x:c r="G19" s="6" t="inlineStr">
        <x:is>
          <x:t xml:space="preserve">—</x:t>
        </x:is>
      </x:c>
      <x:c r="H19" s="6" t="inlineStr">
        <x:is>
          <x:t xml:space="preserve">—</x:t>
        </x:is>
      </x:c>
      <x:c r="I19" s="6" t="inlineStr">
        <x:is>
          <x:t xml:space="preserve">COUNT(DISTINCT transaction_id w/ purchase)</x:t>
        </x:is>
      </x:c>
      <x:c r="J19" s="6" t="inlineStr">
        <x:is>
          <x:t xml:space="preserve">count</x:t>
        </x:is>
      </x:c>
      <x:c r="K19" s="6" t="inlineStr">
        <x:is>
          <x:t xml:space="preserve">order</x:t>
        </x:is>
      </x:c>
      <x:c r="L19" s="6" t="inlineStr">
        <x:is>
          <x:t xml:space="preserve">DWH (from EVT-13)</x:t>
        </x:is>
      </x:c>
      <x:c r="M19" s="6" t="inlineStr">
        <x:is>
          <x:t xml:space="preserve">transaction_id</x:t>
        </x:is>
      </x:c>
      <x:c r="N19" s="6" t="inlineStr">
        <x:is>
          <x:t xml:space="preserve">EVT-13</x:t>
        </x:is>
      </x:c>
      <x:c r="O19" s="6" t="inlineStr">
        <x:is>
          <x:t xml:space="preserve">DIM-01,04,16,17,21,28</x:t>
        </x:is>
      </x:c>
      <x:c r="P19" s="6" t="inlineStr">
        <x:is>
          <x:t xml:space="preserve">لحظه‌ای</x:t>
        </x:is>
      </x:c>
      <x:c r="Q19" s="19" t="inlineStr">
        <x:is>
          <x:t xml:space="preserve">W4</x:t>
        </x:is>
      </x:c>
      <x:c r="R19" s="19" t="inlineStr">
        <x:is>
          <x:t xml:space="preserve">Data Engineer</x:t>
        </x:is>
      </x:c>
      <x:c r="S19" s="6" t="inlineStr">
        <x:is>
          <x:t xml:space="preserve">تطبیق ۱۰۰٪ با دیتابیس مالی</x:t>
        </x:is>
      </x:c>
    </x:row>
    <x:row r="20">
      <x:c r="A20" s="17" t="inlineStr">
        <x:is>
          <x:t xml:space="preserve">MET-19</x:t>
        </x:is>
      </x:c>
      <x:c r="B20" s="4" t="inlineStr">
        <x:is>
          <x:t xml:space="preserve">gross_revenue</x:t>
        </x:is>
      </x:c>
      <x:c r="C20" s="4" t="inlineStr">
        <x:is>
          <x:t xml:space="preserve">درآمد ناخالص</x:t>
        </x:is>
      </x:c>
      <x:c r="D20" s="4" t="inlineStr">
        <x:is>
          <x:t xml:space="preserve">مجموع ارزش اسمی فاکتورها</x:t>
        </x:is>
      </x:c>
      <x:c r="E20" s="4" t="inlineStr">
        <x:is>
          <x:t xml:space="preserve">Derived (Financial)</x:t>
        </x:is>
      </x:c>
      <x:c r="F20" s="4" t="inlineStr">
        <x:is>
          <x:t xml:space="preserve">SUM</x:t>
        </x:is>
      </x:c>
      <x:c r="G20" s="4" t="inlineStr">
        <x:is>
          <x:t xml:space="preserve">SUM(items qty × list_price)</x:t>
        </x:is>
      </x:c>
      <x:c r="H20" s="4" t="inlineStr">
        <x:is>
          <x:t xml:space="preserve">—</x:t>
        </x:is>
      </x:c>
      <x:c r="I20" s="4" t="inlineStr">
        <x:is>
          <x:t xml:space="preserve">GROSS_REVENUE</x:t>
        </x:is>
      </x:c>
      <x:c r="J20" s="4" t="inlineStr">
        <x:is>
          <x:t xml:space="preserve">IRR</x:t>
        </x:is>
      </x:c>
      <x:c r="K20" s="4" t="inlineStr">
        <x:is>
          <x:t xml:space="preserve">order</x:t>
        </x:is>
      </x:c>
      <x:c r="L20" s="4" t="inlineStr">
        <x:is>
          <x:t xml:space="preserve">DWH fct_order_item</x:t>
        </x:is>
      </x:c>
      <x:c r="M20" s="4" t="inlineStr">
        <x:is>
          <x:t xml:space="preserve">order_final_net_paid_amount + discount+tax</x:t>
        </x:is>
      </x:c>
      <x:c r="N20" s="4" t="inlineStr">
        <x:is>
          <x:t xml:space="preserve">EVT-13</x:t>
        </x:is>
      </x:c>
      <x:c r="O20" s="4" t="inlineStr">
        <x:is>
          <x:t xml:space="preserve">DIM-01,16,17,21,27</x:t>
        </x:is>
      </x:c>
      <x:c r="P20" s="4" t="inlineStr">
        <x:is>
          <x:t xml:space="preserve">روزانه (۹ صبح)</x:t>
        </x:is>
      </x:c>
      <x:c r="Q20" s="17" t="inlineStr">
        <x:is>
          <x:t xml:space="preserve">W4</x:t>
        </x:is>
      </x:c>
      <x:c r="R20" s="17" t="inlineStr">
        <x:is>
          <x:t xml:space="preserve">Data Engineer</x:t>
        </x:is>
      </x:c>
      <x:c r="S20" s="4" t="inlineStr">
        <x:is>
          <x:t xml:space="preserve">تطبیق ۱۰۰٪ با حسابداری</x:t>
        </x:is>
      </x:c>
    </x:row>
    <x:row r="21">
      <x:c r="A21" s="19" t="inlineStr">
        <x:is>
          <x:t xml:space="preserve">MET-20</x:t>
        </x:is>
      </x:c>
      <x:c r="B21" s="6" t="inlineStr">
        <x:is>
          <x:t xml:space="preserve">refund_amount</x:t>
        </x:is>
      </x:c>
      <x:c r="C21" s="6" t="inlineStr">
        <x:is>
          <x:t xml:space="preserve">مبلغ مرجوعی</x:t>
        </x:is>
      </x:c>
      <x:c r="D21" s="6" t="inlineStr">
        <x:is>
          <x:t xml:space="preserve">مجموع اسناد عودت</x:t>
        </x:is>
      </x:c>
      <x:c r="E21" s="6" t="inlineStr">
        <x:is>
          <x:t xml:space="preserve">Raw (Financial)</x:t>
        </x:is>
      </x:c>
      <x:c r="F21" s="6" t="inlineStr">
        <x:is>
          <x:t xml:space="preserve">SUM</x:t>
        </x:is>
      </x:c>
      <x:c r="G21" s="6" t="inlineStr">
        <x:is>
          <x:t xml:space="preserve">—</x:t>
        </x:is>
      </x:c>
      <x:c r="H21" s="6" t="inlineStr">
        <x:is>
          <x:t xml:space="preserve">—</x:t>
        </x:is>
      </x:c>
      <x:c r="I21" s="6" t="inlineStr">
        <x:is>
          <x:t xml:space="preserve">SUM(refund_total_amount)</x:t>
        </x:is>
      </x:c>
      <x:c r="J21" s="6" t="inlineStr">
        <x:is>
          <x:t xml:space="preserve">IRR</x:t>
        </x:is>
      </x:c>
      <x:c r="K21" s="6" t="inlineStr">
        <x:is>
          <x:t xml:space="preserve">refund</x:t>
        </x:is>
      </x:c>
      <x:c r="L21" s="6" t="inlineStr">
        <x:is>
          <x:t xml:space="preserve">DWH fct_refund</x:t>
        </x:is>
      </x:c>
      <x:c r="M21" s="6" t="inlineStr">
        <x:is>
          <x:t xml:space="preserve">refund_total_amount</x:t>
        </x:is>
      </x:c>
      <x:c r="N21" s="6" t="inlineStr">
        <x:is>
          <x:t xml:space="preserve">EVT-14</x:t>
        </x:is>
      </x:c>
      <x:c r="O21" s="6" t="inlineStr">
        <x:is>
          <x:t xml:space="preserve">DIM-16,17,27</x:t>
        </x:is>
      </x:c>
      <x:c r="P21" s="6" t="inlineStr">
        <x:is>
          <x:t xml:space="preserve">روزانه</x:t>
        </x:is>
      </x:c>
      <x:c r="Q21" s="19" t="inlineStr">
        <x:is>
          <x:t xml:space="preserve">W4</x:t>
        </x:is>
      </x:c>
      <x:c r="R21" s="19" t="inlineStr">
        <x:is>
          <x:t xml:space="preserve">Data Engineer</x:t>
        </x:is>
      </x:c>
      <x:c r="S21" s="6" t="inlineStr">
        <x:is>
          <x:t xml:space="preserve">&lt;= ارزش فاکتور اصلی</x:t>
        </x:is>
      </x:c>
    </x:row>
    <x:row r="22">
      <x:c r="A22" s="17" t="inlineStr">
        <x:is>
          <x:t xml:space="preserve">MET-21</x:t>
        </x:is>
      </x:c>
      <x:c r="B22" s="4" t="inlineStr">
        <x:is>
          <x:t xml:space="preserve">net_revenue</x:t>
        </x:is>
      </x:c>
      <x:c r="C22" s="4" t="inlineStr">
        <x:is>
          <x:t xml:space="preserve">درآمد خالص</x:t>
        </x:is>
      </x:c>
      <x:c r="D22" s="4" t="inlineStr">
        <x:is>
          <x:t xml:space="preserve">درآمد پس از کسورات</x:t>
        </x:is>
      </x:c>
      <x:c r="E22" s="4" t="inlineStr">
        <x:is>
          <x:t xml:space="preserve">Derived (Financial)</x:t>
        </x:is>
      </x:c>
      <x:c r="F22" s="4" t="inlineStr">
        <x:is>
          <x:t xml:space="preserve">SUM</x:t>
        </x:is>
      </x:c>
      <x:c r="G22" s="4" t="inlineStr">
        <x:is>
          <x:t xml:space="preserve">gross_revenue − discounts − returns − VAT</x:t>
        </x:is>
      </x:c>
      <x:c r="H22" s="4" t="inlineStr">
        <x:is>
          <x:t xml:space="preserve">—</x:t>
        </x:is>
      </x:c>
      <x:c r="I22" s="4" t="inlineStr">
        <x:is>
          <x:t xml:space="preserve">NET_REVENUE</x:t>
        </x:is>
      </x:c>
      <x:c r="J22" s="4" t="inlineStr">
        <x:is>
          <x:t xml:space="preserve">IRR</x:t>
        </x:is>
      </x:c>
      <x:c r="K22" s="4" t="inlineStr">
        <x:is>
          <x:t xml:space="preserve">order</x:t>
        </x:is>
      </x:c>
      <x:c r="L22" s="4" t="inlineStr">
        <x:is>
          <x:t xml:space="preserve">DWH</x:t>
        </x:is>
      </x:c>
      <x:c r="M22" s="4" t="inlineStr">
        <x:is>
          <x:t xml:space="preserve">order_final_net_paid_amount</x:t>
        </x:is>
      </x:c>
      <x:c r="N22" s="4" t="inlineStr">
        <x:is>
          <x:t xml:space="preserve">EVT-13,EVT-14</x:t>
        </x:is>
      </x:c>
      <x:c r="O22" s="4" t="inlineStr">
        <x:is>
          <x:t xml:space="preserve">DIM-01,04,17,21,29,27</x:t>
        </x:is>
      </x:c>
      <x:c r="P22" s="4" t="inlineStr">
        <x:is>
          <x:t xml:space="preserve">روزانه (۹ صبح)</x:t>
        </x:is>
      </x:c>
      <x:c r="Q22" s="17" t="inlineStr">
        <x:is>
          <x:t xml:space="preserve">W4</x:t>
        </x:is>
      </x:c>
      <x:c r="R22" s="17" t="inlineStr">
        <x:is>
          <x:t xml:space="preserve">Data Engineer</x:t>
        </x:is>
      </x:c>
      <x:c r="S22" s="4" t="inlineStr">
        <x:is>
          <x:t xml:space="preserve">مغایرت صفر با دفاتر قانونی</x:t>
        </x:is>
      </x:c>
    </x:row>
    <x:row r="23">
      <x:c r="A23" s="19" t="inlineStr">
        <x:is>
          <x:t xml:space="preserve">MET-22</x:t>
        </x:is>
      </x:c>
      <x:c r="B23" s="6" t="inlineStr">
        <x:is>
          <x:t xml:space="preserve">cogs_amount</x:t>
        </x:is>
      </x:c>
      <x:c r="C23" s="6" t="inlineStr">
        <x:is>
          <x:t xml:space="preserve">بهای تمام‌شده (COGS)</x:t>
        </x:is>
      </x:c>
      <x:c r="D23" s="6" t="inlineStr">
        <x:is>
          <x:t xml:space="preserve">هزینه مستقیم کالا</x:t>
        </x:is>
      </x:c>
      <x:c r="E23" s="6" t="inlineStr">
        <x:is>
          <x:t xml:space="preserve">Raw (Financial)</x:t>
        </x:is>
      </x:c>
      <x:c r="F23" s="6" t="inlineStr">
        <x:is>
          <x:t xml:space="preserve">SUM</x:t>
        </x:is>
      </x:c>
      <x:c r="G23" s="6" t="inlineStr">
        <x:is>
          <x:t xml:space="preserve">—</x:t>
        </x:is>
      </x:c>
      <x:c r="H23" s="6" t="inlineStr">
        <x:is>
          <x:t xml:space="preserve">—</x:t>
        </x:is>
      </x:c>
      <x:c r="I23" s="6" t="inlineStr">
        <x:is>
          <x:t xml:space="preserve">SUM(item cogs)</x:t>
        </x:is>
      </x:c>
      <x:c r="J23" s="6" t="inlineStr">
        <x:is>
          <x:t xml:space="preserve">IRR</x:t>
        </x:is>
      </x:c>
      <x:c r="K23" s="6" t="inlineStr">
        <x:is>
          <x:t xml:space="preserve">order item</x:t>
        </x:is>
      </x:c>
      <x:c r="L23" s="6" t="inlineStr">
        <x:is>
          <x:t xml:space="preserve">حسابداری صنعتی (sync هفتگی)</x:t>
        </x:is>
      </x:c>
      <x:c r="M23" s="6" t="inlineStr">
        <x:is>
          <x:t xml:space="preserve">product_current_cogs</x:t>
        </x:is>
      </x:c>
      <x:c r="N23" s="6" t="inlineStr">
        <x:is>
          <x:t xml:space="preserve">EVT-13</x:t>
        </x:is>
      </x:c>
      <x:c r="O23" s="6" t="inlineStr">
        <x:is>
          <x:t xml:space="preserve">DIM-16,17</x:t>
        </x:is>
      </x:c>
      <x:c r="P23" s="6" t="inlineStr">
        <x:is>
          <x:t xml:space="preserve">هفتگی + تغییر خرید</x:t>
        </x:is>
      </x:c>
      <x:c r="Q23" s="19" t="inlineStr">
        <x:is>
          <x:t xml:space="preserve">W3</x:t>
        </x:is>
      </x:c>
      <x:c r="R23" s="19" t="inlineStr">
        <x:is>
          <x:t xml:space="preserve">Data Engineer</x:t>
        </x:is>
      </x:c>
      <x:c r="S23" s="6" t="inlineStr">
        <x:is>
          <x:t xml:space="preserve">همگام با خروج پارت انبار</x:t>
        </x:is>
      </x:c>
    </x:row>
    <x:row r="24">
      <x:c r="A24" s="17" t="inlineStr">
        <x:is>
          <x:t xml:space="preserve">MET-23</x:t>
        </x:is>
      </x:c>
      <x:c r="B24" s="4" t="inlineStr">
        <x:is>
          <x:t xml:space="preserve">gross_profit</x:t>
        </x:is>
      </x:c>
      <x:c r="C24" s="4" t="inlineStr">
        <x:is>
          <x:t xml:space="preserve">سود ناخالص</x:t>
        </x:is>
      </x:c>
      <x:c r="D24" s="4" t="inlineStr">
        <x:is>
          <x:t xml:space="preserve">Net Revenue − COGS</x:t>
        </x:is>
      </x:c>
      <x:c r="E24" s="4" t="inlineStr">
        <x:is>
          <x:t xml:space="preserve">Derived (Financial)</x:t>
        </x:is>
      </x:c>
      <x:c r="F24" s="4" t="inlineStr">
        <x:is>
          <x:t xml:space="preserve">SUM</x:t>
        </x:is>
      </x:c>
      <x:c r="G24" s="4" t="inlineStr">
        <x:is>
          <x:t xml:space="preserve">net_revenue − cogs</x:t>
        </x:is>
      </x:c>
      <x:c r="H24" s="4" t="inlineStr">
        <x:is>
          <x:t xml:space="preserve">—</x:t>
        </x:is>
      </x:c>
      <x:c r="I24" s="4" t="inlineStr">
        <x:is>
          <x:t xml:space="preserve">GROSS_PROFIT</x:t>
        </x:is>
      </x:c>
      <x:c r="J24" s="4" t="inlineStr">
        <x:is>
          <x:t xml:space="preserve">IRR</x:t>
        </x:is>
      </x:c>
      <x:c r="K24" s="4" t="inlineStr">
        <x:is>
          <x:t xml:space="preserve">order</x:t>
        </x:is>
      </x:c>
      <x:c r="L24" s="4" t="inlineStr">
        <x:is>
          <x:t xml:space="preserve">DWH</x:t>
        </x:is>
      </x:c>
      <x:c r="M24" s="4" t="inlineStr">
        <x:is>
          <x:t xml:space="preserve">—</x:t>
        </x:is>
      </x:c>
      <x:c r="N24" s="4" t="inlineStr">
        <x:is>
          <x:t xml:space="preserve">EVT-13,EVT-14</x:t>
        </x:is>
      </x:c>
      <x:c r="O24" s="4" t="inlineStr">
        <x:is>
          <x:t xml:space="preserve">DIM-01,16,17</x:t>
        </x:is>
      </x:c>
      <x:c r="P24" s="4" t="inlineStr">
        <x:is>
          <x:t xml:space="preserve">روزانه</x:t>
        </x:is>
      </x:c>
      <x:c r="Q24" s="17" t="inlineStr">
        <x:is>
          <x:t xml:space="preserve">W4</x:t>
        </x:is>
      </x:c>
      <x:c r="R24" s="17" t="inlineStr">
        <x:is>
          <x:t xml:space="preserve">Data Engineer</x:t>
        </x:is>
      </x:c>
      <x:c r="S24" s="4" t="inlineStr">
        <x:is>
          <x:t xml:space="preserve">—</x:t>
        </x:is>
      </x:c>
    </x:row>
    <x:row r="25">
      <x:c r="A25" s="19" t="inlineStr">
        <x:is>
          <x:t xml:space="preserve">MET-24</x:t>
        </x:is>
      </x:c>
      <x:c r="B25" s="6" t="inlineStr">
        <x:is>
          <x:t xml:space="preserve">discount_amount</x:t>
        </x:is>
      </x:c>
      <x:c r="C25" s="6" t="inlineStr">
        <x:is>
          <x:t xml:space="preserve">مجموع تخفیف‌ها</x:t>
        </x:is>
      </x:c>
      <x:c r="D25" s="6" t="inlineStr">
        <x:is>
          <x:t xml:space="preserve">تخفیف‌های اعمال‌شده</x:t>
        </x:is>
      </x:c>
      <x:c r="E25" s="6" t="inlineStr">
        <x:is>
          <x:t xml:space="preserve">Raw (Financial)</x:t>
        </x:is>
      </x:c>
      <x:c r="F25" s="6" t="inlineStr">
        <x:is>
          <x:t xml:space="preserve">SUM</x:t>
        </x:is>
      </x:c>
      <x:c r="G25" s="6" t="inlineStr">
        <x:is>
          <x:t xml:space="preserve">—</x:t>
        </x:is>
      </x:c>
      <x:c r="H25" s="6" t="inlineStr">
        <x:is>
          <x:t xml:space="preserve">—</x:t>
        </x:is>
      </x:c>
      <x:c r="I25" s="6" t="inlineStr">
        <x:is>
          <x:t xml:space="preserve">SUM(discount_amount)</x:t>
        </x:is>
      </x:c>
      <x:c r="J25" s="6" t="inlineStr">
        <x:is>
          <x:t xml:space="preserve">IRR</x:t>
        </x:is>
      </x:c>
      <x:c r="K25" s="6" t="inlineStr">
        <x:is>
          <x:t xml:space="preserve">order item</x:t>
        </x:is>
      </x:c>
      <x:c r="L25" s="6" t="inlineStr">
        <x:is>
          <x:t xml:space="preserve">DWH fct_order_item</x:t>
        </x:is>
      </x:c>
      <x:c r="M25" s="6" t="inlineStr">
        <x:is>
          <x:t xml:space="preserve">order_item_unit_discount</x:t>
        </x:is>
      </x:c>
      <x:c r="N25" s="6" t="inlineStr">
        <x:is>
          <x:t xml:space="preserve">EVT-13</x:t>
        </x:is>
      </x:c>
      <x:c r="O25" s="6" t="inlineStr">
        <x:is>
          <x:t xml:space="preserve">DIM-04,25,31</x:t>
        </x:is>
      </x:c>
      <x:c r="P25" s="6" t="inlineStr">
        <x:is>
          <x:t xml:space="preserve">روزانه</x:t>
        </x:is>
      </x:c>
      <x:c r="Q25" s="19" t="inlineStr">
        <x:is>
          <x:t xml:space="preserve">W4</x:t>
        </x:is>
      </x:c>
      <x:c r="R25" s="19" t="inlineStr">
        <x:is>
          <x:t xml:space="preserve">Data Engineer</x:t>
        </x:is>
      </x:c>
      <x:c r="S25" s="6" t="inlineStr">
        <x:is>
          <x:t xml:space="preserve">نامنفی؛ &lt; قیمت واحد</x:t>
        </x:is>
      </x:c>
    </x:row>
    <x:row r="26">
      <x:c r="A26" s="17" t="inlineStr">
        <x:is>
          <x:t xml:space="preserve">MET-25</x:t>
        </x:is>
      </x:c>
      <x:c r="B26" s="4" t="inlineStr">
        <x:is>
          <x:t xml:space="preserve">shipping_cost</x:t>
        </x:is>
      </x:c>
      <x:c r="C26" s="4" t="inlineStr">
        <x:is>
          <x:t xml:space="preserve">هزینه حمل</x:t>
        </x:is>
      </x:c>
      <x:c r="D26" s="4" t="inlineStr">
        <x:is>
          <x:t xml:space="preserve">کرایه واقعی باربری</x:t>
        </x:is>
      </x:c>
      <x:c r="E26" s="4" t="inlineStr">
        <x:is>
          <x:t xml:space="preserve">Raw (Financial)</x:t>
        </x:is>
      </x:c>
      <x:c r="F26" s="4" t="inlineStr">
        <x:is>
          <x:t xml:space="preserve">SUM</x:t>
        </x:is>
      </x:c>
      <x:c r="G26" s="4" t="inlineStr">
        <x:is>
          <x:t xml:space="preserve">—</x:t>
        </x:is>
      </x:c>
      <x:c r="H26" s="4" t="inlineStr">
        <x:is>
          <x:t xml:space="preserve">—</x:t>
        </x:is>
      </x:c>
      <x:c r="I26" s="4" t="inlineStr">
        <x:is>
          <x:t xml:space="preserve">SUM(order_shipping_freight_cost)</x:t>
        </x:is>
      </x:c>
      <x:c r="J26" s="4" t="inlineStr">
        <x:is>
          <x:t xml:space="preserve">IRR</x:t>
        </x:is>
      </x:c>
      <x:c r="K26" s="4" t="inlineStr">
        <x:is>
          <x:t xml:space="preserve">order</x:t>
        </x:is>
      </x:c>
      <x:c r="L26" s="4" t="inlineStr">
        <x:is>
          <x:t xml:space="preserve">DWH fct_order</x:t>
        </x:is>
      </x:c>
      <x:c r="M26" s="4" t="inlineStr">
        <x:is>
          <x:t xml:space="preserve">order_shipping_freight_cost</x:t>
        </x:is>
      </x:c>
      <x:c r="N26" s="4" t="inlineStr">
        <x:is>
          <x:t xml:space="preserve">EVT-13</x:t>
        </x:is>
      </x:c>
      <x:c r="O26" s="4" t="inlineStr">
        <x:is>
          <x:t xml:space="preserve">DIM-21,22</x:t>
        </x:is>
      </x:c>
      <x:c r="P26" s="4" t="inlineStr">
        <x:is>
          <x:t xml:space="preserve">روزانه</x:t>
        </x:is>
      </x:c>
      <x:c r="Q26" s="17" t="inlineStr">
        <x:is>
          <x:t xml:space="preserve">W4</x:t>
        </x:is>
      </x:c>
      <x:c r="R26" s="17" t="inlineStr">
        <x:is>
          <x:t xml:space="preserve">Data Engineer</x:t>
        </x:is>
      </x:c>
      <x:c r="S26" s="4" t="inlineStr">
        <x:is>
          <x:t xml:space="preserve">تطبیق با بارنامه</x:t>
        </x:is>
      </x:c>
    </x:row>
    <x:row r="27">
      <x:c r="A27" s="19" t="inlineStr">
        <x:is>
          <x:t xml:space="preserve">MET-26</x:t>
        </x:is>
      </x:c>
      <x:c r="B27" s="6" t="inlineStr">
        <x:is>
          <x:t xml:space="preserve">variable_ad_cost</x:t>
        </x:is>
      </x:c>
      <x:c r="C27" s="6" t="inlineStr">
        <x:is>
          <x:t xml:space="preserve">هزینه متغیر تبلیغات</x:t>
        </x:is>
      </x:c>
      <x:c r="D27" s="6" t="inlineStr">
        <x:is>
          <x:t xml:space="preserve">سهم ادز در سفارش</x:t>
        </x:is>
      </x:c>
      <x:c r="E27" s="6" t="inlineStr">
        <x:is>
          <x:t xml:space="preserve">Derived (Financial)</x:t>
        </x:is>
      </x:c>
      <x:c r="F27" s="6" t="inlineStr">
        <x:is>
          <x:t xml:space="preserve">SUM</x:t>
        </x:is>
      </x:c>
      <x:c r="G27" s="6" t="inlineStr">
        <x:is>
          <x:t xml:space="preserve">—</x:t>
        </x:is>
      </x:c>
      <x:c r="H27" s="6" t="inlineStr">
        <x:is>
          <x:t xml:space="preserve">—</x:t>
        </x:is>
      </x:c>
      <x:c r="I27" s="6" t="inlineStr">
        <x:is>
          <x:t xml:space="preserve">attributed ad spend per order</x:t>
        </x:is>
      </x:c>
      <x:c r="J27" s="6" t="inlineStr">
        <x:is>
          <x:t xml:space="preserve">IRR</x:t>
        </x:is>
      </x:c>
      <x:c r="K27" s="6" t="inlineStr">
        <x:is>
          <x:t xml:space="preserve">order</x:t>
        </x:is>
      </x:c>
      <x:c r="L27" s="6" t="inlineStr">
        <x:is>
          <x:t xml:space="preserve">DWH</x:t>
        </x:is>
      </x:c>
      <x:c r="M27" s="6" t="inlineStr">
        <x:is>
          <x:t xml:space="preserve">ad_spend × attribution weight</x:t>
        </x:is>
      </x:c>
      <x:c r="N27" s="6" t="inlineStr">
        <x:is>
          <x:t xml:space="preserve">EVT-13</x:t>
        </x:is>
      </x:c>
      <x:c r="O27" s="6" t="inlineStr">
        <x:is>
          <x:t xml:space="preserve">DIM-01,04</x:t>
        </x:is>
      </x:c>
      <x:c r="P27" s="6" t="inlineStr">
        <x:is>
          <x:t xml:space="preserve">هفتگی</x:t>
        </x:is>
      </x:c>
      <x:c r="Q27" s="19" t="inlineStr">
        <x:is>
          <x:t xml:space="preserve">W4</x:t>
        </x:is>
      </x:c>
      <x:c r="R27" s="19" t="inlineStr">
        <x:is>
          <x:t xml:space="preserve">Data Scientist</x:t>
        </x:is>
      </x:c>
      <x:c r="S27" s="6" t="inlineStr">
        <x:is>
          <x:t xml:space="preserve">وزن اتریبیوشن = 1.00 per order</x:t>
        </x:is>
      </x:c>
    </x:row>
    <x:row r="28">
      <x:c r="A28" s="17" t="inlineStr">
        <x:is>
          <x:t xml:space="preserve">MET-27</x:t>
        </x:is>
      </x:c>
      <x:c r="B28" s="4" t="inlineStr">
        <x:is>
          <x:t xml:space="preserve">contribution_margin</x:t>
        </x:is>
      </x:c>
      <x:c r="C28" s="4" t="inlineStr">
        <x:is>
          <x:t xml:space="preserve">حاشیه سهم بازاریابی</x:t>
        </x:is>
      </x:c>
      <x:c r="D28" s="4" t="inlineStr">
        <x:is>
          <x:t xml:space="preserve">Net − COGS − متغیرها</x:t>
        </x:is>
      </x:c>
      <x:c r="E28" s="4" t="inlineStr">
        <x:is>
          <x:t xml:space="preserve">Derived (Financial)</x:t>
        </x:is>
      </x:c>
      <x:c r="F28" s="4" t="inlineStr">
        <x:is>
          <x:t xml:space="preserve">SUM</x:t>
        </x:is>
      </x:c>
      <x:c r="G28" s="4" t="inlineStr">
        <x:is>
          <x:t xml:space="preserve">net_revenue − (cogs + ad + fees + shipping + commissions)</x:t>
        </x:is>
      </x:c>
      <x:c r="H28" s="4" t="inlineStr">
        <x:is>
          <x:t xml:space="preserve">—</x:t>
        </x:is>
      </x:c>
      <x:c r="I28" s="4" t="inlineStr">
        <x:is>
          <x:t xml:space="preserve">CONTRIBUTION_MARGIN</x:t>
        </x:is>
      </x:c>
      <x:c r="J28" s="4" t="inlineStr">
        <x:is>
          <x:t xml:space="preserve">IRR/%</x:t>
        </x:is>
      </x:c>
      <x:c r="K28" s="4" t="inlineStr">
        <x:is>
          <x:t xml:space="preserve">order</x:t>
        </x:is>
      </x:c>
      <x:c r="L28" s="4" t="inlineStr">
        <x:is>
          <x:t xml:space="preserve">DWH</x:t>
        </x:is>
      </x:c>
      <x:c r="M28" s="4" t="inlineStr">
        <x:is>
          <x:t xml:space="preserve">—</x:t>
        </x:is>
      </x:c>
      <x:c r="N28" s="4" t="inlineStr">
        <x:is>
          <x:t xml:space="preserve">EVT-13</x:t>
        </x:is>
      </x:c>
      <x:c r="O28" s="4" t="inlineStr">
        <x:is>
          <x:t xml:space="preserve">DIM-01,04,17,21,29</x:t>
        </x:is>
      </x:c>
      <x:c r="P28" s="4" t="inlineStr">
        <x:is>
          <x:t xml:space="preserve">روزانه</x:t>
        </x:is>
      </x:c>
      <x:c r="Q28" s="17" t="inlineStr">
        <x:is>
          <x:t xml:space="preserve">W4</x:t>
        </x:is>
      </x:c>
      <x:c r="R28" s="17" t="inlineStr">
        <x:is>
          <x:t xml:space="preserve">Data Engineer</x:t>
        </x:is>
      </x:c>
      <x:c r="S28" s="4" t="inlineStr">
        <x:is>
          <x:t xml:space="preserve">—</x:t>
        </x:is>
      </x:c>
    </x:row>
    <x:row r="29">
      <x:c r="A29" s="19" t="inlineStr">
        <x:is>
          <x:t xml:space="preserve">MET-28</x:t>
        </x:is>
      </x:c>
      <x:c r="B29" s="6" t="inlineStr">
        <x:is>
          <x:t xml:space="preserve">items_sold</x:t>
        </x:is>
      </x:c>
      <x:c r="C29" s="6" t="inlineStr">
        <x:is>
          <x:t xml:space="preserve">تعداد اقلام فروخته‌شده</x:t>
        </x:is>
      </x:c>
      <x:c r="D29" s="6" t="inlineStr">
        <x:is>
          <x:t xml:space="preserve">مجموع quantity</x:t>
        </x:is>
      </x:c>
      <x:c r="E29" s="6" t="inlineStr">
        <x:is>
          <x:t xml:space="preserve">Raw</x:t>
        </x:is>
      </x:c>
      <x:c r="F29" s="6" t="inlineStr">
        <x:is>
          <x:t xml:space="preserve">SUM</x:t>
        </x:is>
      </x:c>
      <x:c r="G29" s="6" t="inlineStr">
        <x:is>
          <x:t xml:space="preserve">—</x:t>
        </x:is>
      </x:c>
      <x:c r="H29" s="6" t="inlineStr">
        <x:is>
          <x:t xml:space="preserve">—</x:t>
        </x:is>
      </x:c>
      <x:c r="I29" s="6" t="inlineStr">
        <x:is>
          <x:t xml:space="preserve">SUM(order_item_quantity_sold)</x:t>
        </x:is>
      </x:c>
      <x:c r="J29" s="6" t="inlineStr">
        <x:is>
          <x:t xml:space="preserve">units</x:t>
        </x:is>
      </x:c>
      <x:c r="K29" s="6" t="inlineStr">
        <x:is>
          <x:t xml:space="preserve">order item</x:t>
        </x:is>
      </x:c>
      <x:c r="L29" s="6" t="inlineStr">
        <x:is>
          <x:t xml:space="preserve">DWH</x:t>
        </x:is>
      </x:c>
      <x:c r="M29" s="6" t="inlineStr">
        <x:is>
          <x:t xml:space="preserve">order_item_quantity_sold</x:t>
        </x:is>
      </x:c>
      <x:c r="N29" s="6" t="inlineStr">
        <x:is>
          <x:t xml:space="preserve">EVT-13</x:t>
        </x:is>
      </x:c>
      <x:c r="O29" s="6" t="inlineStr">
        <x:is>
          <x:t xml:space="preserve">DIM-16,17</x:t>
        </x:is>
      </x:c>
      <x:c r="P29" s="6" t="inlineStr">
        <x:is>
          <x:t xml:space="preserve">روزانه</x:t>
        </x:is>
      </x:c>
      <x:c r="Q29" s="19" t="inlineStr">
        <x:is>
          <x:t xml:space="preserve">W4</x:t>
        </x:is>
      </x:c>
      <x:c r="R29" s="19" t="inlineStr">
        <x:is>
          <x:t xml:space="preserve">Data Engineer</x:t>
        </x:is>
      </x:c>
      <x:c r="S29" s="6" t="inlineStr">
        <x:is>
          <x:t xml:space="preserve">&gt; 0</x:t>
        </x:is>
      </x:c>
    </x:row>
    <x:row r="30">
      <x:c r="A30" s="17" t="inlineStr">
        <x:is>
          <x:t xml:space="preserve">MET-29</x:t>
        </x:is>
      </x:c>
      <x:c r="B30" s="4" t="inlineStr">
        <x:is>
          <x:t xml:space="preserve">order_count</x:t>
        </x:is>
      </x:c>
      <x:c r="C30" s="4" t="inlineStr">
        <x:is>
          <x:t xml:space="preserve">تعداد سفارش‌ها</x:t>
        </x:is>
      </x:c>
      <x:c r="D30" s="4" t="inlineStr">
        <x:is>
          <x:t xml:space="preserve">فاکتورهای نهایی</x:t>
        </x:is>
      </x:c>
      <x:c r="E30" s="4" t="inlineStr">
        <x:is>
          <x:t xml:space="preserve">Raw</x:t>
        </x:is>
      </x:c>
      <x:c r="F30" s="4" t="inlineStr">
        <x:is>
          <x:t xml:space="preserve">COUNT</x:t>
        </x:is>
      </x:c>
      <x:c r="G30" s="4" t="inlineStr">
        <x:is>
          <x:t xml:space="preserve">—</x:t>
        </x:is>
      </x:c>
      <x:c r="H30" s="4" t="inlineStr">
        <x:is>
          <x:t xml:space="preserve">—</x:t>
        </x:is>
      </x:c>
      <x:c r="I30" s="4" t="inlineStr">
        <x:is>
          <x:t xml:space="preserve">COUNT(DISTINCT order_id)</x:t>
        </x:is>
      </x:c>
      <x:c r="J30" s="4" t="inlineStr">
        <x:is>
          <x:t xml:space="preserve">count</x:t>
        </x:is>
      </x:c>
      <x:c r="K30" s="4" t="inlineStr">
        <x:is>
          <x:t xml:space="preserve">order</x:t>
        </x:is>
      </x:c>
      <x:c r="L30" s="4" t="inlineStr">
        <x:is>
          <x:t xml:space="preserve">DWH</x:t>
        </x:is>
      </x:c>
      <x:c r="M30" s="4" t="inlineStr">
        <x:is>
          <x:t xml:space="preserve">order_id</x:t>
        </x:is>
      </x:c>
      <x:c r="N30" s="4" t="inlineStr">
        <x:is>
          <x:t xml:space="preserve">EVT-13</x:t>
        </x:is>
      </x:c>
      <x:c r="O30" s="4" t="inlineStr">
        <x:is>
          <x:t xml:space="preserve">DIM-01,17,21,29</x:t>
        </x:is>
      </x:c>
      <x:c r="P30" s="4" t="inlineStr">
        <x:is>
          <x:t xml:space="preserve">روزانه</x:t>
        </x:is>
      </x:c>
      <x:c r="Q30" s="17" t="inlineStr">
        <x:is>
          <x:t xml:space="preserve">W4</x:t>
        </x:is>
      </x:c>
      <x:c r="R30" s="17" t="inlineStr">
        <x:is>
          <x:t xml:space="preserve">Data Engineer</x:t>
        </x:is>
      </x:c>
      <x:c r="S30" s="4" t="inlineStr">
        <x:is>
          <x:t xml:space="preserve">بدون گپ فاکتور</x:t>
        </x:is>
      </x:c>
    </x:row>
    <x:row r="31">
      <x:c r="A31" s="19" t="inlineStr">
        <x:is>
          <x:t xml:space="preserve">MET-30</x:t>
        </x:is>
      </x:c>
      <x:c r="B31" s="6" t="inlineStr">
        <x:is>
          <x:t xml:space="preserve">repeat_purchases</x:t>
        </x:is>
      </x:c>
      <x:c r="C31" s="6" t="inlineStr">
        <x:is>
          <x:t xml:space="preserve">خریدهای تکراری</x:t>
        </x:is>
      </x:c>
      <x:c r="D31" s="6" t="inlineStr">
        <x:is>
          <x:t xml:space="preserve">فاکتورهای دوم به بعد</x:t>
        </x:is>
      </x:c>
      <x:c r="E31" s="6" t="inlineStr">
        <x:is>
          <x:t xml:space="preserve">Derived</x:t>
        </x:is>
      </x:c>
      <x:c r="F31" s="6" t="inlineStr">
        <x:is>
          <x:t xml:space="preserve">COUNT</x:t>
        </x:is>
      </x:c>
      <x:c r="G31" s="6" t="inlineStr">
        <x:is>
          <x:t xml:space="preserve">—</x:t>
        </x:is>
      </x:c>
      <x:c r="H31" s="6" t="inlineStr">
        <x:is>
          <x:t xml:space="preserve">—</x:t>
        </x:is>
      </x:c>
      <x:c r="I31" s="6" t="inlineStr">
        <x:is>
          <x:t xml:space="preserve">COUNT(purchase_sequence &gt;= 2)</x:t>
        </x:is>
      </x:c>
      <x:c r="J31" s="6" t="inlineStr">
        <x:is>
          <x:t xml:space="preserve">count</x:t>
        </x:is>
      </x:c>
      <x:c r="K31" s="6" t="inlineStr">
        <x:is>
          <x:t xml:space="preserve">order</x:t>
        </x:is>
      </x:c>
      <x:c r="L31" s="6" t="inlineStr">
        <x:is>
          <x:t xml:space="preserve">DWH</x:t>
        </x:is>
      </x:c>
      <x:c r="M31" s="6" t="inlineStr">
        <x:is>
          <x:t xml:space="preserve">purchase_sequence_number</x:t>
        </x:is>
      </x:c>
      <x:c r="N31" s="6" t="inlineStr">
        <x:is>
          <x:t xml:space="preserve">EVT-15</x:t>
        </x:is>
      </x:c>
      <x:c r="O31" s="6" t="inlineStr">
        <x:is>
          <x:t xml:space="preserve">DIM-17,20,27</x:t>
        </x:is>
      </x:c>
      <x:c r="P31" s="6" t="inlineStr">
        <x:is>
          <x:t xml:space="preserve">روزانه</x:t>
        </x:is>
      </x:c>
      <x:c r="Q31" s="19" t="inlineStr">
        <x:is>
          <x:t xml:space="preserve">W4</x:t>
        </x:is>
      </x:c>
      <x:c r="R31" s="19" t="inlineStr">
        <x:is>
          <x:t xml:space="preserve">Data Analyst</x:t>
        </x:is>
      </x:c>
      <x:c r="S31" s="6" t="inlineStr">
        <x:is>
          <x:t xml:space="preserve">—</x:t>
        </x:is>
      </x:c>
    </x:row>
    <x:row r="32">
      <x:c r="A32" s="17" t="inlineStr">
        <x:is>
          <x:t xml:space="preserve">MET-31</x:t>
        </x:is>
      </x:c>
      <x:c r="B32" s="4" t="inlineStr">
        <x:is>
          <x:t xml:space="preserve">active_customers</x:t>
        </x:is>
      </x:c>
      <x:c r="C32" s="4" t="inlineStr">
        <x:is>
          <x:t xml:space="preserve">مشتریان فعال</x:t>
        </x:is>
      </x:c>
      <x:c r="D32" s="4" t="inlineStr">
        <x:is>
          <x:t xml:space="preserve">خریدار در دوره</x:t>
        </x:is>
      </x:c>
      <x:c r="E32" s="4" t="inlineStr">
        <x:is>
          <x:t xml:space="preserve">Derived</x:t>
        </x:is>
      </x:c>
      <x:c r="F32" s="4" t="inlineStr">
        <x:is>
          <x:t xml:space="preserve">COUNT</x:t>
        </x:is>
      </x:c>
      <x:c r="G32" s="4" t="inlineStr">
        <x:is>
          <x:t xml:space="preserve">—</x:t>
        </x:is>
      </x:c>
      <x:c r="H32" s="4" t="inlineStr">
        <x:is>
          <x:t xml:space="preserve">—</x:t>
        </x:is>
      </x:c>
      <x:c r="I32" s="4" t="inlineStr">
        <x:is>
          <x:t xml:space="preserve">COUNT(DISTINCT buyer in period)</x:t>
        </x:is>
      </x:c>
      <x:c r="J32" s="4" t="inlineStr">
        <x:is>
          <x:t xml:space="preserve">count</x:t>
        </x:is>
      </x:c>
      <x:c r="K32" s="4" t="inlineStr">
        <x:is>
          <x:t xml:space="preserve">customer</x:t>
        </x:is>
      </x:c>
      <x:c r="L32" s="4" t="inlineStr">
        <x:is>
          <x:t xml:space="preserve">DWH</x:t>
        </x:is>
      </x:c>
      <x:c r="M32" s="4" t="inlineStr">
        <x:is>
          <x:t xml:space="preserve">master_customer_id</x:t>
        </x:is>
      </x:c>
      <x:c r="N32" s="4" t="inlineStr">
        <x:is>
          <x:t xml:space="preserve">EVT-13</x:t>
        </x:is>
      </x:c>
      <x:c r="O32" s="4" t="inlineStr">
        <x:is>
          <x:t xml:space="preserve">DIM-19,20,21,28</x:t>
        </x:is>
      </x:c>
      <x:c r="P32" s="4" t="inlineStr">
        <x:is>
          <x:t xml:space="preserve">ماهانه</x:t>
        </x:is>
      </x:c>
      <x:c r="Q32" s="17" t="inlineStr">
        <x:is>
          <x:t xml:space="preserve">W4</x:t>
        </x:is>
      </x:c>
      <x:c r="R32" s="17" t="inlineStr">
        <x:is>
          <x:t xml:space="preserve">Data Analyst</x:t>
        </x:is>
      </x:c>
      <x:c r="S32" s="4" t="inlineStr">
        <x:is>
          <x:t xml:space="preserve">—</x:t>
        </x:is>
      </x:c>
    </x:row>
    <x:row r="33">
      <x:c r="A33" s="19" t="inlineStr">
        <x:is>
          <x:t xml:space="preserve">MET-32</x:t>
        </x:is>
      </x:c>
      <x:c r="B33" s="6" t="inlineStr">
        <x:is>
          <x:t xml:space="preserve">lost_customers</x:t>
        </x:is>
      </x:c>
      <x:c r="C33" s="6" t="inlineStr">
        <x:is>
          <x:t xml:space="preserve">مشتریان ریزش‌کرده</x:t>
        </x:is>
      </x:c>
      <x:c r="D33" s="6" t="inlineStr">
        <x:is>
          <x:t xml:space="preserve">بی‌خرید در دوره</x:t>
        </x:is>
      </x:c>
      <x:c r="E33" s="6" t="inlineStr">
        <x:is>
          <x:t xml:space="preserve">Derived</x:t>
        </x:is>
      </x:c>
      <x:c r="F33" s="6" t="inlineStr">
        <x:is>
          <x:t xml:space="preserve">COUNT</x:t>
        </x:is>
      </x:c>
      <x:c r="G33" s="6" t="inlineStr">
        <x:is>
          <x:t xml:space="preserve">—</x:t>
        </x:is>
      </x:c>
      <x:c r="H33" s="6" t="inlineStr">
        <x:is>
          <x:t xml:space="preserve">—</x:t>
        </x:is>
      </x:c>
      <x:c r="I33" s="6" t="inlineStr">
        <x:is>
          <x:t xml:space="preserve">COUNT(inactive in period)</x:t>
        </x:is>
      </x:c>
      <x:c r="J33" s="6" t="inlineStr">
        <x:is>
          <x:t xml:space="preserve">count</x:t>
        </x:is>
      </x:c>
      <x:c r="K33" s="6" t="inlineStr">
        <x:is>
          <x:t xml:space="preserve">customer</x:t>
        </x:is>
      </x:c>
      <x:c r="L33" s="6" t="inlineStr">
        <x:is>
          <x:t xml:space="preserve">DWH</x:t>
        </x:is>
      </x:c>
      <x:c r="M33" s="6" t="inlineStr">
        <x:is>
          <x:t xml:space="preserve">—</x:t>
        </x:is>
      </x:c>
      <x:c r="N33" s="6" t="inlineStr">
        <x:is>
          <x:t xml:space="preserve">EVT-13</x:t>
        </x:is>
      </x:c>
      <x:c r="O33" s="6" t="inlineStr">
        <x:is>
          <x:t xml:space="preserve">DIM-19,20,21</x:t>
        </x:is>
      </x:c>
      <x:c r="P33" s="6" t="inlineStr">
        <x:is>
          <x:t xml:space="preserve">ماهانه</x:t>
        </x:is>
      </x:c>
      <x:c r="Q33" s="19" t="inlineStr">
        <x:is>
          <x:t xml:space="preserve">W4</x:t>
        </x:is>
      </x:c>
      <x:c r="R33" s="19" t="inlineStr">
        <x:is>
          <x:t xml:space="preserve">Data Analyst</x:t>
        </x:is>
      </x:c>
      <x:c r="S33" s="6" t="inlineStr">
        <x:is>
          <x:t xml:space="preserve">تعریف چورن بر اساس چرخه مصرف</x:t>
        </x:is>
      </x:c>
    </x:row>
    <x:row r="34">
      <x:c r="A34" s="17" t="inlineStr">
        <x:is>
          <x:t xml:space="preserve">MET-33</x:t>
        </x:is>
      </x:c>
      <x:c r="B34" s="4" t="inlineStr">
        <x:is>
          <x:t xml:space="preserve">unique_reach</x:t>
        </x:is>
      </x:c>
      <x:c r="C34" s="4" t="inlineStr">
        <x:is>
          <x:t xml:space="preserve">دسترسی یکتا (Reach)</x:t>
        </x:is>
      </x:c>
      <x:c r="D34" s="4" t="inlineStr">
        <x:is>
          <x:t xml:space="preserve">اشخاص یکتای درگیر</x:t>
        </x:is>
      </x:c>
      <x:c r="E34" s="4" t="inlineStr">
        <x:is>
          <x:t xml:space="preserve">Raw</x:t>
        </x:is>
      </x:c>
      <x:c r="F34" s="4" t="inlineStr">
        <x:is>
          <x:t xml:space="preserve">COUNT</x:t>
        </x:is>
      </x:c>
      <x:c r="G34" s="4" t="inlineStr">
        <x:is>
          <x:t xml:space="preserve">—</x:t>
        </x:is>
      </x:c>
      <x:c r="H34" s="4" t="inlineStr">
        <x:is>
          <x:t xml:space="preserve">—</x:t>
        </x:is>
      </x:c>
      <x:c r="I34" s="4" t="inlineStr">
        <x:is>
          <x:t xml:space="preserve">COUNT(DISTINCT user exposed)</x:t>
        </x:is>
      </x:c>
      <x:c r="J34" s="4" t="inlineStr">
        <x:is>
          <x:t xml:space="preserve">users</x:t>
        </x:is>
      </x:c>
      <x:c r="K34" s="4" t="inlineStr">
        <x:is>
          <x:t xml:space="preserve">campaign</x:t>
        </x:is>
      </x:c>
      <x:c r="L34" s="4" t="inlineStr">
        <x:is>
          <x:t xml:space="preserve">Meta/Google API</x:t>
        </x:is>
      </x:c>
      <x:c r="M34" s="4" t="inlineStr">
        <x:is>
          <x:t xml:space="preserve">reach</x:t>
        </x:is>
      </x:c>
      <x:c r="N34" s="4" t="inlineStr">
        <x:is>
          <x:t xml:space="preserve">—</x:t>
        </x:is>
      </x:c>
      <x:c r="O34" s="4" t="inlineStr">
        <x:is>
          <x:t xml:space="preserve">DIM-01,04,10</x:t>
        </x:is>
      </x:c>
      <x:c r="P34" s="4" t="inlineStr">
        <x:is>
          <x:t xml:space="preserve">هفتگی</x:t>
        </x:is>
      </x:c>
      <x:c r="Q34" s="17" t="inlineStr">
        <x:is>
          <x:t xml:space="preserve">W4</x:t>
        </x:is>
      </x:c>
      <x:c r="R34" s="17" t="inlineStr">
        <x:is>
          <x:t xml:space="preserve">Data Engineer</x:t>
        </x:is>
      </x:c>
      <x:c r="S34" s="4" t="inlineStr">
        <x:is>
          <x:t xml:space="preserve">غیرتجمیعی در طول زمان</x:t>
        </x:is>
      </x:c>
    </x:row>
    <x:row r="35">
      <x:c r="A35" s="19" t="inlineStr">
        <x:is>
          <x:t xml:space="preserve">MET-34</x:t>
        </x:is>
      </x:c>
      <x:c r="B35" s="6" t="inlineStr">
        <x:is>
          <x:t xml:space="preserve">bot_flagged_sessions</x:t>
        </x:is>
      </x:c>
      <x:c r="C35" s="6" t="inlineStr">
        <x:is>
          <x:t xml:space="preserve">سشن‌های نامعتبر</x:t>
        </x:is>
      </x:c>
      <x:c r="D35" s="6" t="inlineStr">
        <x:is>
          <x:t xml:space="preserve">خروجی فیلتر بات</x:t>
        </x:is>
      </x:c>
      <x:c r="E35" s="6" t="inlineStr">
        <x:is>
          <x:t xml:space="preserve">Operational</x:t>
        </x:is>
      </x:c>
      <x:c r="F35" s="6" t="inlineStr">
        <x:is>
          <x:t xml:space="preserve">COUNT</x:t>
        </x:is>
      </x:c>
      <x:c r="G35" s="6" t="inlineStr">
        <x:is>
          <x:t xml:space="preserve">—</x:t>
        </x:is>
      </x:c>
      <x:c r="H35" s="6" t="inlineStr">
        <x:is>
          <x:t xml:space="preserve">—</x:t>
        </x:is>
      </x:c>
      <x:c r="I35" s="6" t="inlineStr">
        <x:is>
          <x:t xml:space="preserve">COUNT(bot_score &gt; threshold)</x:t>
        </x:is>
      </x:c>
      <x:c r="J35" s="6" t="inlineStr">
        <x:is>
          <x:t xml:space="preserve">count</x:t>
        </x:is>
      </x:c>
      <x:c r="K35" s="6" t="inlineStr">
        <x:is>
          <x:t xml:space="preserve">session</x:t>
        </x:is>
      </x:c>
      <x:c r="L35" s="6" t="inlineStr">
        <x:is>
          <x:t xml:space="preserve">Web Firewall + MOD-15</x:t>
        </x:is>
      </x:c>
      <x:c r="M35" s="6" t="inlineStr">
        <x:is>
          <x:t xml:space="preserve">session_ip_asn_organization</x:t>
        </x:is>
      </x:c>
      <x:c r="N35" s="6" t="inlineStr">
        <x:is>
          <x:t xml:space="preserve">EVT-01</x:t>
        </x:is>
      </x:c>
      <x:c r="O35" s="6" t="inlineStr">
        <x:is>
          <x:t xml:space="preserve">DIM-01,23</x:t>
        </x:is>
      </x:c>
      <x:c r="P35" s="6" t="inlineStr">
        <x:is>
          <x:t xml:space="preserve">روزانه</x:t>
        </x:is>
      </x:c>
      <x:c r="Q35" s="19" t="inlineStr">
        <x:is>
          <x:t xml:space="preserve">W5</x:t>
        </x:is>
      </x:c>
      <x:c r="R35" s="19" t="inlineStr">
        <x:is>
          <x:t xml:space="preserve">Data Engineer</x:t>
        </x:is>
      </x:c>
      <x:c r="S35" s="6" t="inlineStr">
        <x:is>
          <x:t xml:space="preserve">False Positive &lt; 0.5٪</x:t>
        </x:is>
      </x:c>
    </x:row>
    <x:row r="36">
      <x:c r="A36" s="17" t="inlineStr">
        <x:is>
          <x:t xml:space="preserve">MET-35</x:t>
        </x:is>
      </x:c>
      <x:c r="B36" s="4" t="inlineStr">
        <x:is>
          <x:t xml:space="preserve">missing_events_count</x:t>
        </x:is>
      </x:c>
      <x:c r="C36" s="4" t="inlineStr">
        <x:is>
          <x:t xml:space="preserve">رویدادهای گمشده</x:t>
        </x:is>
      </x:c>
      <x:c r="D36" s="4" t="inlineStr">
        <x:is>
          <x:t xml:space="preserve">تفاوت بک‌اند و پلتفرم</x:t>
        </x:is>
      </x:c>
      <x:c r="E36" s="4" t="inlineStr">
        <x:is>
          <x:t xml:space="preserve">Operational</x:t>
        </x:is>
      </x:c>
      <x:c r="F36" s="4" t="inlineStr">
        <x:is>
          <x:t xml:space="preserve">COUNT</x:t>
        </x:is>
      </x:c>
      <x:c r="G36" s="4" t="inlineStr">
        <x:is>
          <x:t xml:space="preserve">—</x:t>
        </x:is>
      </x:c>
      <x:c r="H36" s="4" t="inlineStr">
        <x:is>
          <x:t xml:space="preserve">—</x:t>
        </x:is>
      </x:c>
      <x:c r="I36" s="4" t="inlineStr">
        <x:is>
          <x:t xml:space="preserve">COUNT(db_actions − tracked)</x:t>
        </x:is>
      </x:c>
      <x:c r="J36" s="4" t="inlineStr">
        <x:is>
          <x:t xml:space="preserve">count</x:t>
        </x:is>
      </x:c>
      <x:c r="K36" s="4" t="inlineStr">
        <x:is>
          <x:t xml:space="preserve">event</x:t>
        </x:is>
      </x:c>
      <x:c r="L36" s="4" t="inlineStr">
        <x:is>
          <x:t xml:space="preserve">DWH + CAPI Diagnostics</x:t>
        </x:is>
      </x:c>
      <x:c r="M36" s="4" t="inlineStr">
        <x:is>
          <x:t xml:space="preserve">—</x:t>
        </x:is>
      </x:c>
      <x:c r="N36" s="4" t="inlineStr">
        <x:is>
          <x:t xml:space="preserve">EVT-13,EVT-16,EVT-10</x:t>
        </x:is>
      </x:c>
      <x:c r="O36" s="4" t="inlineStr">
        <x:is>
          <x:t xml:space="preserve">DIM-32</x:t>
        </x:is>
      </x:c>
      <x:c r="P36" s="4" t="inlineStr">
        <x:is>
          <x:t xml:space="preserve">روزانه</x:t>
        </x:is>
      </x:c>
      <x:c r="Q36" s="17" t="inlineStr">
        <x:is>
          <x:t xml:space="preserve">W4</x:t>
        </x:is>
      </x:c>
      <x:c r="R36" s="17" t="inlineStr">
        <x:is>
          <x:t xml:space="preserve">Data Engineer</x:t>
        </x:is>
      </x:c>
      <x:c r="S36" s="4" t="inlineStr">
        <x:is>
          <x:t xml:space="preserve">—</x:t>
        </x:is>
      </x:c>
    </x:row>
    <x:row r="37">
      <x:c r="A37" s="19" t="inlineStr">
        <x:is>
          <x:t xml:space="preserve">MET-36</x:t>
        </x:is>
      </x:c>
      <x:c r="B37" s="6" t="inlineStr">
        <x:is>
          <x:t xml:space="preserve">duplicate_events_count</x:t>
        </x:is>
      </x:c>
      <x:c r="C37" s="6" t="inlineStr">
        <x:is>
          <x:t xml:space="preserve">رویدادهای تکراری</x:t>
        </x:is>
      </x:c>
      <x:c r="D37" s="6" t="inlineStr">
        <x:is>
          <x:t xml:space="preserve">ثبت مضاعف</x:t>
        </x:is>
      </x:c>
      <x:c r="E37" s="6" t="inlineStr">
        <x:is>
          <x:t xml:space="preserve">Operational</x:t>
        </x:is>
      </x:c>
      <x:c r="F37" s="6" t="inlineStr">
        <x:is>
          <x:t xml:space="preserve">COUNT</x:t>
        </x:is>
      </x:c>
      <x:c r="G37" s="6" t="inlineStr">
        <x:is>
          <x:t xml:space="preserve">—</x:t>
        </x:is>
      </x:c>
      <x:c r="H37" s="6" t="inlineStr">
        <x:is>
          <x:t xml:space="preserve">—</x:t>
        </x:is>
      </x:c>
      <x:c r="I37" s="6" t="inlineStr">
        <x:is>
          <x:t xml:space="preserve">COUNT(events − unique tx ids)</x:t>
        </x:is>
      </x:c>
      <x:c r="J37" s="6" t="inlineStr">
        <x:is>
          <x:t xml:space="preserve">count</x:t>
        </x:is>
      </x:c>
      <x:c r="K37" s="6" t="inlineStr">
        <x:is>
          <x:t xml:space="preserve">event</x:t>
        </x:is>
      </x:c>
      <x:c r="L37" s="6" t="inlineStr">
        <x:is>
          <x:t xml:space="preserve">DWH</x:t>
        </x:is>
      </x:c>
      <x:c r="M37" s="6" t="inlineStr">
        <x:is>
          <x:t xml:space="preserve">event_id/transaction_id</x:t>
        </x:is>
      </x:c>
      <x:c r="N37" s="6" t="inlineStr">
        <x:is>
          <x:t xml:space="preserve">EVT-13,EVT-16</x:t>
        </x:is>
      </x:c>
      <x:c r="O37" s="6" t="inlineStr">
        <x:is>
          <x:t xml:space="preserve">DIM-32</x:t>
        </x:is>
      </x:c>
      <x:c r="P37" s="6" t="inlineStr">
        <x:is>
          <x:t xml:space="preserve">روزانه</x:t>
        </x:is>
      </x:c>
      <x:c r="Q37" s="19" t="inlineStr">
        <x:is>
          <x:t xml:space="preserve">W4</x:t>
        </x:is>
      </x:c>
      <x:c r="R37" s="19" t="inlineStr">
        <x:is>
          <x:t xml:space="preserve">Data Engineer</x:t>
        </x:is>
      </x:c>
      <x:c r="S37" s="6" t="inlineStr">
        <x:is>
          <x:t xml:space="preserve">هدف: ۰.۰٪ برای purchase</x:t>
        </x:is>
      </x:c>
    </x:row>
    <x:row r="38">
      <x:c r="A38" s="17" t="inlineStr">
        <x:is>
          <x:t xml:space="preserve">MET-37</x:t>
        </x:is>
      </x:c>
      <x:c r="B38" s="4" t="inlineStr">
        <x:is>
          <x:t xml:space="preserve">utm_valid_sessions</x:t>
        </x:is>
      </x:c>
      <x:c r="C38" s="4" t="inlineStr">
        <x:is>
          <x:t xml:space="preserve">سشن‌های UTM-کامل</x:t>
        </x:is>
      </x:c>
      <x:c r="D38" s="4" t="inlineStr">
        <x:is>
          <x:t xml:space="preserve">۵ پارامتر صحیح</x:t>
        </x:is>
      </x:c>
      <x:c r="E38" s="4" t="inlineStr">
        <x:is>
          <x:t xml:space="preserve">Operational</x:t>
        </x:is>
      </x:c>
      <x:c r="F38" s="4" t="inlineStr">
        <x:is>
          <x:t xml:space="preserve">COUNT</x:t>
        </x:is>
      </x:c>
      <x:c r="G38" s="4" t="inlineStr">
        <x:is>
          <x:t xml:space="preserve">—</x:t>
        </x:is>
      </x:c>
      <x:c r="H38" s="4" t="inlineStr">
        <x:is>
          <x:t xml:space="preserve">—</x:t>
        </x:is>
      </x:c>
      <x:c r="I38" s="4" t="inlineStr">
        <x:is>
          <x:t xml:space="preserve">COUNT(paid sessions w/ 5 valid UTMs)</x:t>
        </x:is>
      </x:c>
      <x:c r="J38" s="4" t="inlineStr">
        <x:is>
          <x:t xml:space="preserve">count</x:t>
        </x:is>
      </x:c>
      <x:c r="K38" s="4" t="inlineStr">
        <x:is>
          <x:t xml:space="preserve">session</x:t>
        </x:is>
      </x:c>
      <x:c r="L38" s="4" t="inlineStr">
        <x:is>
          <x:t xml:space="preserve">GA4</x:t>
        </x:is>
      </x:c>
      <x:c r="M38" s="4" t="inlineStr">
        <x:is>
          <x:t xml:space="preserve">utm_*</x:t>
        </x:is>
      </x:c>
      <x:c r="N38" s="4" t="inlineStr">
        <x:is>
          <x:t xml:space="preserve">EVT-01</x:t>
        </x:is>
      </x:c>
      <x:c r="O38" s="4" t="inlineStr">
        <x:is>
          <x:t xml:space="preserve">DIM-02,03,04</x:t>
        </x:is>
      </x:c>
      <x:c r="P38" s="4" t="inlineStr">
        <x:is>
          <x:t xml:space="preserve">هفتگی</x:t>
        </x:is>
      </x:c>
      <x:c r="Q38" s="17" t="inlineStr">
        <x:is>
          <x:t xml:space="preserve">W4</x:t>
        </x:is>
      </x:c>
      <x:c r="R38" s="17" t="inlineStr">
        <x:is>
          <x:t xml:space="preserve">Data Engineer</x:t>
        </x:is>
      </x:c>
      <x:c r="S38" s="4" t="inlineStr">
        <x:is>
          <x:t xml:space="preserve">هدف ≥ ۹۸٪</x:t>
        </x:is>
      </x:c>
    </x:row>
  </x:sheetData>
  <x:pageMargins left="0.7" right="0.7" top="0.75" bottom="0.75" header="0.3" footer="0.3"/>
  <x:tableParts count="1">
    <x:tablePart xmlns:r="http://schemas.openxmlformats.org/officeDocument/2006/relationships" r:id="R2476a3704aba4e77"/>
  </x:tableParts>
</x:worksheet>
</file>

<file path=xl/worksheets/sheet8.xml><?xml version="1.0" encoding="utf-8"?>
<x:worksheet xmlns:x="http://schemas.openxmlformats.org/spreadsheetml/2006/main">
  <x:sheetPr>
    <x:tabColor rgb="FF1F4E78"/>
  </x:sheetPr>
  <x:sheetViews>
    <x:sheetView workbookViewId="0">
      <x:pane xSplit="2" ySplit="1" topLeftCell="C2" activePane="bottomRight" state="frozen"/>
    </x:sheetView>
  </x:sheetViews>
  <x:sheetFormatPr baseColWidth="8" defaultRowHeight="15"/>
  <x:cols>
    <x:col min="1" max="1" width="9" customWidth="1"/>
    <x:col min="2" max="2" width="24" customWidth="1"/>
    <x:col min="3" max="3" width="26" customWidth="1"/>
    <x:col min="4" max="4" width="12" customWidth="1"/>
    <x:col min="5" max="5" width="18" customWidth="1"/>
    <x:col min="6" max="6" width="36" customWidth="1"/>
    <x:col min="7" max="7" width="34" customWidth="1"/>
    <x:col min="8" max="8" width="18" customWidth="1"/>
    <x:col min="9" max="9" width="14" customWidth="1"/>
    <x:col min="10" max="10" width="12" customWidth="1"/>
    <x:col min="11" max="11" width="12" customWidth="1"/>
    <x:col min="12" max="12" width="18" customWidth="1"/>
    <x:col min="13" max="13" width="26" customWidth="1"/>
    <x:col min="14" max="14" width="20" customWidth="1"/>
    <x:col min="15" max="15" width="18" customWidth="1"/>
    <x:col min="16" max="16" width="22" customWidth="1"/>
    <x:col min="17" max="17" width="16" customWidth="1"/>
    <x:col min="18" max="18" width="34" customWidth="1"/>
    <x:col min="19" max="19" width="34" customWidth="1"/>
    <x:col min="20" max="20" width="22" customWidth="1"/>
    <x:col min="21" max="21" width="30" customWidth="1"/>
    <x:col min="22" max="22" width="30" customWidth="1"/>
    <x:col min="23" max="23" width="26" customWidth="1"/>
    <x:col min="24" max="24" width="30" customWidth="1"/>
    <x:col min="25" max="25" width="34" customWidth="1"/>
    <x:col min="26" max="26" width="7" customWidth="1"/>
    <x:col min="27" max="27" width="10" customWidth="1"/>
    <x:col min="28" max="28" width="20" customWidth="1"/>
    <x:col min="29" max="29" width="26" customWidth="1"/>
    <x:col min="30" max="30" width="18" hidden="0" customWidth="1"/>
    <x:col min="31" max="31" width="18" hidden="0" customWidth="1"/>
  </x:cols>
  <x:sheetData>
    <x:row r="1" ht="30" customHeight="1">
      <x:c r="A1" s="5" t="inlineStr">
        <x:is>
          <x:t xml:space="preserve">KPI_ID</x:t>
        </x:is>
      </x:c>
      <x:c r="B1" s="5" t="inlineStr">
        <x:is>
          <x:t xml:space="preserve">Name_EN</x:t>
        </x:is>
      </x:c>
      <x:c r="C1" s="5" t="inlineStr">
        <x:is>
          <x:t xml:space="preserve">Name_FA</x:t>
        </x:is>
      </x:c>
      <x:c r="D1" s="5" t="inlineStr">
        <x:is>
          <x:t xml:space="preserve">Abbrev</x:t>
        </x:is>
      </x:c>
      <x:c r="E1" s="5" t="inlineStr">
        <x:is>
          <x:t xml:space="preserve">Family</x:t>
        </x:is>
      </x:c>
      <x:c r="F1" s="5" t="inlineStr">
        <x:is>
          <x:t xml:space="preserve">Definition_FA</x:t>
        </x:is>
      </x:c>
      <x:c r="G1" s="5" t="inlineStr">
        <x:is>
          <x:t xml:space="preserve">Formula_Text</x:t>
        </x:is>
      </x:c>
      <x:c r="H1" s="5" t="inlineStr">
        <x:is>
          <x:t xml:space="preserve">Numerator</x:t>
        </x:is>
      </x:c>
      <x:c r="I1" s="5" t="inlineStr">
        <x:is>
          <x:t xml:space="preserve">Denominator</x:t>
        </x:is>
      </x:c>
      <x:c r="J1" s="5" t="inlineStr">
        <x:is>
          <x:t xml:space="preserve">Unit</x:t>
        </x:is>
      </x:c>
      <x:c r="K1" s="5" t="inlineStr">
        <x:is>
          <x:t xml:space="preserve">KPI_Type</x:t>
        </x:is>
      </x:c>
      <x:c r="L1" s="5" t="inlineStr">
        <x:is>
          <x:t xml:space="preserve">Grain</x:t>
        </x:is>
      </x:c>
      <x:c r="M1" s="5" t="inlineStr">
        <x:is>
          <x:t xml:space="preserve">Data_Sources</x:t>
        </x:is>
      </x:c>
      <x:c r="N1" s="5" t="inlineStr">
        <x:is>
          <x:t xml:space="preserve">Required_Events</x:t>
        </x:is>
      </x:c>
      <x:c r="O1" s="5" t="inlineStr">
        <x:is>
          <x:t xml:space="preserve">Required_Metrics</x:t>
        </x:is>
      </x:c>
      <x:c r="P1" s="5" t="inlineStr">
        <x:is>
          <x:t xml:space="preserve">Dimensions</x:t>
        </x:is>
      </x:c>
      <x:c r="Q1" s="5" t="inlineStr">
        <x:is>
          <x:t xml:space="preserve">Time_Window</x:t>
        </x:is>
      </x:c>
      <x:c r="R1" s="5" t="inlineStr">
        <x:is>
          <x:t xml:space="preserve">Increases_When</x:t>
        </x:is>
      </x:c>
      <x:c r="S1" s="5" t="inlineStr">
        <x:is>
          <x:t xml:space="preserve">Decreases_When</x:t>
        </x:is>
      </x:c>
      <x:c r="T1" s="5" t="inlineStr">
        <x:is>
          <x:t xml:space="preserve">Related_KPIs</x:t>
        </x:is>
      </x:c>
      <x:c r="U1" s="5" t="inlineStr">
        <x:is>
          <x:t xml:space="preserve">Common_Errors</x:t>
        </x:is>
      </x:c>
      <x:c r="V1" s="5" t="inlineStr">
        <x:is>
          <x:t xml:space="preserve">Limitations</x:t>
        </x:is>
      </x:c>
      <x:c r="W1" s="5" t="inlineStr">
        <x:is>
          <x:t xml:space="preserve">Benchmark</x:t>
        </x:is>
      </x:c>
      <x:c r="X1" s="5" t="inlineStr">
        <x:is>
          <x:t xml:space="preserve">Bench_Validation_Status</x:t>
        </x:is>
      </x:c>
      <x:c r="Y1" s="5" t="inlineStr">
        <x:is>
          <x:t xml:space="preserve">Recommended_Action</x:t>
        </x:is>
      </x:c>
      <x:c r="Z1" s="5" t="inlineStr">
        <x:is>
          <x:t xml:space="preserve">Wave</x:t>
        </x:is>
      </x:c>
      <x:c r="AA1" s="5" t="inlineStr">
        <x:is>
          <x:t xml:space="preserve">Priority</x:t>
        </x:is>
      </x:c>
      <x:c r="AB1" s="5" t="inlineStr">
        <x:is>
          <x:t xml:space="preserve">Owner_Role</x:t>
        </x:is>
      </x:c>
      <x:c r="AC1" s="5" t="inlineStr">
        <x:is>
          <x:t xml:space="preserve">Acceptance_Criteria</x:t>
        </x:is>
      </x:c>
      <x:c r="AD1" s="27" t="str">
        <x:v>KPI_ID_Link</x:v>
      </x:c>
      <x:c r="AE1" s="27" t="str">
        <x:v>Status</x:v>
      </x:c>
    </x:row>
    <x:row r="2">
      <x:c r="A2" s="17" t="inlineStr">
        <x:is>
          <x:t xml:space="preserve">KPI-01</x:t>
        </x:is>
      </x:c>
      <x:c r="B2" s="4" t="inlineStr">
        <x:is>
          <x:t xml:space="preserve">Impressions</x:t>
        </x:is>
      </x:c>
      <x:c r="C2" s="4" t="inlineStr">
        <x:is>
          <x:t xml:space="preserve">نمایش تبلیغ</x:t>
        </x:is>
      </x:c>
      <x:c r="D2" s="4" t="inlineStr">
        <x:is>
          <x:t xml:space="preserve">Impr</x:t>
        </x:is>
      </x:c>
      <x:c r="E2" s="4" t="inlineStr">
        <x:is>
          <x:t xml:space="preserve">مدیا و تبلیغات</x:t>
        </x:is>
      </x:c>
      <x:c r="F2" s="4" t="inlineStr">
        <x:is>
          <x:t xml:space="preserve">تعداد بارگذاری آگهی در معرض دید مخاطب</x:t>
        </x:is>
      </x:c>
      <x:c r="G2" s="4" t="inlineStr">
        <x:is>
          <x:t xml:space="preserve">SUM(Ad Views Rendered)</x:t>
        </x:is>
      </x:c>
      <x:c r="H2" s="4" t="inlineStr">
        <x:is>
          <x:t xml:space="preserve">—</x:t>
        </x:is>
      </x:c>
      <x:c r="I2" s="4" t="inlineStr">
        <x:is>
          <x:t xml:space="preserve">—</x:t>
        </x:is>
      </x:c>
      <x:c r="J2" s="4" t="inlineStr">
        <x:is>
          <x:t xml:space="preserve">عدد صحیح</x:t>
        </x:is>
      </x:c>
      <x:c r="K2" s="4" t="inlineStr">
        <x:is>
          <x:t xml:space="preserve">Volume</x:t>
        </x:is>
      </x:c>
      <x:c r="L2" s="4" t="inlineStr">
        <x:is>
          <x:t xml:space="preserve">Ad/AdSet/Campaign/Channel</x:t>
        </x:is>
      </x:c>
      <x:c r="M2" s="4" t="inlineStr">
        <x:is>
          <x:t xml:space="preserve">Google Ads, Meta Ads, TikTok Ads</x:t>
        </x:is>
      </x:c>
      <x:c r="N2" s="4" t="inlineStr">
        <x:is>
          <x:t xml:space="preserve">—</x:t>
        </x:is>
      </x:c>
      <x:c r="O2" s="4" t="inlineStr">
        <x:is>
          <x:t xml:space="preserve">MET-01</x:t>
        </x:is>
      </x:c>
      <x:c r="P2" s="4" t="inlineStr">
        <x:is>
          <x:t xml:space="preserve">DIM-01,08,11</x:t>
        </x:is>
      </x:c>
      <x:c r="Q2" s="4" t="inlineStr">
        <x:is>
          <x:t xml:space="preserve">ساعتی/هفتگی</x:t>
        </x:is>
      </x:c>
      <x:c r="R2" s="4" t="inlineStr">
        <x:is>
          <x:t xml:space="preserve">افزایش ظرفیت دسترسی؛ بدون رشد کلیک = نمایش به مخاطب نامرتبط</x:t>
        </x:is>
      </x:c>
      <x:c r="S2" s="4" t="inlineStr">
        <x:is>
          <x:t xml:space="preserve">افت بودجه/مزایده فشرده/خروج از رقابت</x:t>
        </x:is>
      </x:c>
      <x:c r="T2" s="4" t="inlineStr">
        <x:is>
          <x:t xml:space="preserve">KPI-03,KPI-06,KPI-09</x:t>
        </x:is>
      </x:c>
      <x:c r="U2" s="4" t="inlineStr">
        <x:is>
          <x:t xml:space="preserve">شمارش نمایش Non-Viewable</x:t>
        </x:is>
      </x:c>
      <x:c r="V2" s="4" t="inlineStr">
        <x:is>
          <x:t xml:space="preserve">Vanity Metric — تضمین علاقه نمی‌کند</x:t>
        </x:is>
      </x:c>
      <x:c r="W2" s="4" t="inlineStr">
        <x:is>
          <x:t xml:space="preserve">رشد هفتگی ۵-۱۰٪ در کمپین‌های آگاهی</x:t>
        </x:is>
      </x:c>
      <x:c r="X2" s="4" t="inlineStr">
        <x:is>
          <x:t xml:space="preserve">فرض اولیه — نیازمند اعتبارسنجی با داده واقعی Titana</x:t>
        </x:is>
      </x:c>
      <x:c r="Y2" s="4" t="inlineStr">
        <x:is>
          <x:t xml:space="preserve">در افت شدید: بررسی سقف Bid و تارگتینگ و وضعیت تاییدیه ادز</x:t>
        </x:is>
      </x:c>
      <x:c r="Z2" s="17" t="inlineStr">
        <x:is>
          <x:t xml:space="preserve">W4</x:t>
        </x:is>
      </x:c>
      <x:c r="AA2" s="17" t="inlineStr">
        <x:is>
          <x:t xml:space="preserve">High</x:t>
        </x:is>
      </x:c>
      <x:c r="AB2" s="4" t="inlineStr">
        <x:is>
          <x:t xml:space="preserve">کارشناس مدیا</x:t>
        </x:is>
      </x:c>
      <x:c r="AC2" s="4" t="inlineStr">
        <x:is>
          <x:t xml:space="preserve">فرمول در metric layer + تطبیق با پنل پلتفرم</x:t>
        </x:is>
      </x:c>
      <x:c r="AD2" s="30" t="str">
        <x:v>KPI-01</x:v>
      </x:c>
      <x:c r="AE2" s="30" t="str">
        <x:v>Proposed</x:v>
      </x:c>
    </x:row>
    <x:row r="3">
      <x:c r="A3" s="19" t="inlineStr">
        <x:is>
          <x:t xml:space="preserve">KPI-02</x:t>
        </x:is>
      </x:c>
      <x:c r="B3" s="6" t="inlineStr">
        <x:is>
          <x:t xml:space="preserve">Reach</x:t>
        </x:is>
      </x:c>
      <x:c r="C3" s="6" t="inlineStr">
        <x:is>
          <x:t xml:space="preserve">دسترسی یکتا</x:t>
        </x:is>
      </x:c>
      <x:c r="D3" s="6" t="inlineStr">
        <x:is>
          <x:t xml:space="preserve">Reach</x:t>
        </x:is>
      </x:c>
      <x:c r="E3" s="6" t="inlineStr">
        <x:is>
          <x:t xml:space="preserve">مدیا و تبلیغات</x:t>
        </x:is>
      </x:c>
      <x:c r="F3" s="6" t="inlineStr">
        <x:is>
          <x:t xml:space="preserve">تعداد اشخاص یکتای حداقل یک‌بار در معرض تبلیغ</x:t>
        </x:is>
      </x:c>
      <x:c r="G3" s="6" t="inlineStr">
        <x:is>
          <x:t xml:space="preserve">COUNT(Unique Users Exposed)</x:t>
        </x:is>
      </x:c>
      <x:c r="H3" s="6" t="inlineStr">
        <x:is>
          <x:t xml:space="preserve">—</x:t>
        </x:is>
      </x:c>
      <x:c r="I3" s="6" t="inlineStr">
        <x:is>
          <x:t xml:space="preserve">—</x:t>
        </x:is>
      </x:c>
      <x:c r="J3" s="6" t="inlineStr">
        <x:is>
          <x:t xml:space="preserve">کاربر یکتا</x:t>
        </x:is>
      </x:c>
      <x:c r="K3" s="6" t="inlineStr">
        <x:is>
          <x:t xml:space="preserve">Volume</x:t>
        </x:is>
      </x:c>
      <x:c r="L3" s="6" t="inlineStr">
        <x:is>
          <x:t xml:space="preserve">AdSet/Campaign/Channel</x:t>
        </x:is>
      </x:c>
      <x:c r="M3" s="6" t="inlineStr">
        <x:is>
          <x:t xml:space="preserve">Meta, Google Unique Reach</x:t>
        </x:is>
      </x:c>
      <x:c r="N3" s="6" t="inlineStr">
        <x:is>
          <x:t xml:space="preserve">—</x:t>
        </x:is>
      </x:c>
      <x:c r="O3" s="6" t="inlineStr">
        <x:is>
          <x:t xml:space="preserve">MET-33</x:t>
        </x:is>
      </x:c>
      <x:c r="P3" s="6" t="inlineStr">
        <x:is>
          <x:t xml:space="preserve">DIM-01,04,10</x:t>
        </x:is>
      </x:c>
      <x:c r="Q3" s="6" t="inlineStr">
        <x:is>
          <x:t xml:space="preserve">هفتگی/ماهانه</x:t>
        </x:is>
      </x:c>
      <x:c r="R3" s="6" t="inlineStr">
        <x:is>
          <x:t xml:space="preserve">ورود به مطب‌های جدید و کشف بخش دست‌نخورده</x:t>
        </x:is>
      </x:c>
      <x:c r="S3" s="6" t="inlineStr">
        <x:is>
          <x:t xml:space="preserve">اشباع جامعه هدف یا تارگتینگ باریک</x:t>
        </x:is>
      </x:c>
      <x:c r="T3" s="6" t="inlineStr">
        <x:is>
          <x:t xml:space="preserve">KPI-03</x:t>
        </x:is>
      </x:c>
      <x:c r="U3" s="6" t="inlineStr">
        <x:is>
          <x:t xml:space="preserve">تجمیع جبری ریچ روزانه برای ماهانه (غیرتجمیعی)</x:t>
        </x:is>
      </x:c>
      <x:c r="V3" s="6" t="inlineStr">
        <x:is>
          <x:t xml:space="preserve">دقت افت‌کرده به دلیل iOS 14.5+</x:t>
        </x:is>
      </x:c>
      <x:c r="W3" s="6" t="inlineStr">
        <x:is>
          <x:t xml:space="preserve">دستیابی به ۶۰٪ جامعه فعال در استان‌های تارگت ظرف ۳ ماه</x:t>
        </x:is>
      </x:c>
      <x:c r="X3" s="6" t="inlineStr">
        <x:is>
          <x:t xml:space="preserve">فرض اولیه — نیازمند اعتبارسنجی با داده واقعی Titana</x:t>
        </x:is>
      </x:c>
      <x:c r="Y3" s="6" t="inlineStr">
        <x:is>
          <x:t xml:space="preserve">Lookalike ۵٪ خریداران + broad match کنترل‌شده</x:t>
        </x:is>
      </x:c>
      <x:c r="Z3" s="19" t="inlineStr">
        <x:is>
          <x:t xml:space="preserve">W4</x:t>
        </x:is>
      </x:c>
      <x:c r="AA3" s="19" t="inlineStr">
        <x:is>
          <x:t xml:space="preserve">Medium</x:t>
        </x:is>
      </x:c>
      <x:c r="AB3" s="6" t="inlineStr">
        <x:is>
          <x:t xml:space="preserve">کارشناس مدیا</x:t>
        </x:is>
      </x:c>
      <x:c r="AC3" s="6" t="inlineStr">
        <x:is>
          <x:t xml:space="preserve">—</x:t>
        </x:is>
      </x:c>
      <x:c r="AD3" s="30" t="str">
        <x:v>KPI-02</x:v>
      </x:c>
      <x:c r="AE3" s="30" t="str">
        <x:v>Proposed</x:v>
      </x:c>
    </x:row>
    <x:row r="4">
      <x:c r="A4" s="17" t="inlineStr">
        <x:is>
          <x:t xml:space="preserve">KPI-03</x:t>
        </x:is>
      </x:c>
      <x:c r="B4" s="4" t="inlineStr">
        <x:is>
          <x:t xml:space="preserve">Frequency</x:t>
        </x:is>
      </x:c>
      <x:c r="C4" s="4" t="inlineStr">
        <x:is>
          <x:t xml:space="preserve">تکرار نمایش</x:t>
        </x:is>
      </x:c>
      <x:c r="D4" s="4" t="inlineStr">
        <x:is>
          <x:t xml:space="preserve">Freq</x:t>
        </x:is>
      </x:c>
      <x:c r="E4" s="4" t="inlineStr">
        <x:is>
          <x:t xml:space="preserve">مدیا و تبلیغات</x:t>
        </x:is>
      </x:c>
      <x:c r="F4" s="4" t="inlineStr">
        <x:is>
          <x:t xml:space="preserve">میانگین دفعات مشاهده هر فرد یکتا</x:t>
        </x:is>
      </x:c>
      <x:c r="G4" s="4" t="inlineStr">
        <x:is>
          <x:t xml:space="preserve">Impressions / Reach</x:t>
        </x:is>
      </x:c>
      <x:c r="H4" s="4" t="inlineStr">
        <x:is>
          <x:t xml:space="preserve">Impressions</x:t>
        </x:is>
      </x:c>
      <x:c r="I4" s="4" t="inlineStr">
        <x:is>
          <x:t xml:space="preserve">Reach</x:t>
        </x:is>
      </x:c>
      <x:c r="J4" s="4" t="inlineStr">
        <x:is>
          <x:t xml:space="preserve">مرتب (اعشاری)</x:t>
        </x:is>
      </x:c>
      <x:c r="K4" s="4" t="inlineStr">
        <x:is>
          <x:t xml:space="preserve">Rate/Avg</x:t>
        </x:is>
      </x:c>
      <x:c r="L4" s="4" t="inlineStr">
        <x:is>
          <x:t xml:space="preserve">AdSet/Campaign</x:t>
        </x:is>
      </x:c>
      <x:c r="M4" s="4" t="inlineStr">
        <x:is>
          <x:t xml:space="preserve">Meta, Google Display</x:t>
        </x:is>
      </x:c>
      <x:c r="N4" s="4" t="inlineStr">
        <x:is>
          <x:t xml:space="preserve">—</x:t>
        </x:is>
      </x:c>
      <x:c r="O4" s="4" t="inlineStr">
        <x:is>
          <x:t xml:space="preserve">MET-01/MET-33</x:t>
        </x:is>
      </x:c>
      <x:c r="P4" s="4" t="inlineStr">
        <x:is>
          <x:t xml:space="preserve">DIM-08,09,17</x:t>
        </x:is>
      </x:c>
      <x:c r="Q4" s="4" t="inlineStr">
        <x:is>
          <x:t xml:space="preserve">۷/۱۴/۳۰ روزه</x:t>
        </x:is>
      </x:c>
      <x:c r="R4" s="4" t="inlineStr">
        <x:is>
          <x:t xml:space="preserve">افزایش نفوذ ذهنی؛ عبور از آستانه = خستگی تبلیغ</x:t>
        </x:is>
      </x:c>
      <x:c r="S4" s="4" t="inlineStr">
        <x:is>
          <x:t xml:space="preserve">پخش پراکنده بدون تمرکز</x:t>
        </x:is>
      </x:c>
      <x:c r="T4" s="4" t="inlineStr">
        <x:is>
          <x:t xml:space="preserve">KPI-06,KPI-62</x:t>
        </x:is>
      </x:c>
      <x:c r="U4" s="4" t="inlineStr">
        <x:is>
          <x:t xml:space="preserve">پایش کل دوره به جای پنجره ۷ روزه غلتان</x:t>
        </x:is>
      </x:c>
      <x:c r="V4" s="4" t="inlineStr">
        <x:is>
          <x:t xml:space="preserve">فرکانس بالاتر برای تجهیزات سنگین قابل تحمل است</x:t>
        </x:is>
      </x:c>
      <x:c r="W4" s="4" t="inlineStr">
        <x:is>
          <x:t xml:space="preserve">۲.۲ تا ۳.۵ در ۷ روز برای ریتارگتینگ</x:t>
        </x:is>
      </x:c>
      <x:c r="X4" s="4" t="inlineStr">
        <x:is>
          <x:t xml:space="preserve">فرض اولیه — نیازمند اعتبارسنجی با داده واقعی Titana</x:t>
        </x:is>
      </x:c>
      <x:c r="Y4" s="4" t="inlineStr">
        <x:is>
          <x:t xml:space="preserve">Frequency&gt;4 با افت CTR ۲۰٪ → تعویض فوریت کریتیو</x:t>
        </x:is>
      </x:c>
      <x:c r="Z4" s="17" t="inlineStr">
        <x:is>
          <x:t xml:space="preserve">W4</x:t>
        </x:is>
      </x:c>
      <x:c r="AA4" s="17" t="inlineStr">
        <x:is>
          <x:t xml:space="preserve">High</x:t>
        </x:is>
      </x:c>
      <x:c r="AB4" s="4" t="inlineStr">
        <x:is>
          <x:t xml:space="preserve">کارشناس مدیا</x:t>
        </x:is>
      </x:c>
      <x:c r="AC4" s="4" t="inlineStr">
        <x:is>
          <x:t xml:space="preserve">—</x:t>
        </x:is>
      </x:c>
      <x:c r="AD4" s="30" t="str">
        <x:v>KPI-03</x:v>
      </x:c>
      <x:c r="AE4" s="30" t="str">
        <x:v>Proposed</x:v>
      </x:c>
    </x:row>
    <x:row r="5">
      <x:c r="A5" s="19" t="inlineStr">
        <x:is>
          <x:t xml:space="preserve">KPI-04</x:t>
        </x:is>
      </x:c>
      <x:c r="B5" s="6" t="inlineStr">
        <x:is>
          <x:t xml:space="preserve">Total Clicks</x:t>
        </x:is>
      </x:c>
      <x:c r="C5" s="6" t="inlineStr">
        <x:is>
          <x:t xml:space="preserve">کلیک ناخالص</x:t>
        </x:is>
      </x:c>
      <x:c r="D5" s="6" t="inlineStr">
        <x:is>
          <x:t xml:space="preserve">Clicks</x:t>
        </x:is>
      </x:c>
      <x:c r="E5" s="6" t="inlineStr">
        <x:is>
          <x:t xml:space="preserve">مدیا و تبلیغات</x:t>
        </x:is>
      </x:c>
      <x:c r="F5" s="6" t="inlineStr">
        <x:is>
          <x:t xml:space="preserve">مجموع تمام کلیک‌های تعاملی روی ادز</x:t>
        </x:is>
      </x:c>
      <x:c r="G5" s="6" t="inlineStr">
        <x:is>
          <x:t xml:space="preserve">SUM(All Registered Click Actions)</x:t>
        </x:is>
      </x:c>
      <x:c r="H5" s="6" t="inlineStr">
        <x:is>
          <x:t xml:space="preserve">—</x:t>
        </x:is>
      </x:c>
      <x:c r="I5" s="6" t="inlineStr">
        <x:is>
          <x:t xml:space="preserve">—</x:t>
        </x:is>
      </x:c>
      <x:c r="J5" s="6" t="inlineStr">
        <x:is>
          <x:t xml:space="preserve">عدد صحیح</x:t>
        </x:is>
      </x:c>
      <x:c r="K5" s="6" t="inlineStr">
        <x:is>
          <x:t xml:space="preserve">Volume</x:t>
        </x:is>
      </x:c>
      <x:c r="L5" s="6" t="inlineStr">
        <x:is>
          <x:t xml:space="preserve">Ad/AdGroup/Keyword/Campaign</x:t>
        </x:is>
      </x:c>
      <x:c r="M5" s="6" t="inlineStr">
        <x:is>
          <x:t xml:space="preserve">Google/Meta Ads</x:t>
        </x:is>
      </x:c>
      <x:c r="N5" s="6" t="inlineStr">
        <x:is>
          <x:t xml:space="preserve">—</x:t>
        </x:is>
      </x:c>
      <x:c r="O5" s="6" t="inlineStr">
        <x:is>
          <x:t xml:space="preserve">MET-02</x:t>
        </x:is>
      </x:c>
      <x:c r="P5" s="6" t="inlineStr">
        <x:is>
          <x:t xml:space="preserve">DIM-04,07,12</x:t>
        </x:is>
      </x:c>
      <x:c r="Q5" s="6" t="inlineStr">
        <x:is>
          <x:t xml:space="preserve">روزانه</x:t>
        </x:is>
      </x:c>
      <x:c r="R5" s="6" t="inlineStr">
        <x:is>
          <x:t xml:space="preserve">افزایش تعامل فیزیکی با آگهی</x:t>
        </x:is>
      </x:c>
      <x:c r="S5" s="6" t="inlineStr">
        <x:is>
          <x:t xml:space="preserve">افت جذابیت عنوان/موقعیت نمایش</x:t>
        </x:is>
      </x:c>
      <x:c r="T5" s="6" t="inlineStr">
        <x:is>
          <x:t xml:space="preserve">KPI-06</x:t>
        </x:is>
      </x:c>
      <x:c r="U5" s="6" t="inlineStr">
        <x:is>
          <x:t xml:space="preserve">اشتباه کلیک کل با کلیک لینک</x:t>
        </x:is>
      </x:c>
      <x:c r="V5" s="6" t="inlineStr">
        <x:is>
          <x:t xml:space="preserve">بخش کلیک‌ها روی پروفایل/اکستنشن است نه ورود به سایت</x:t>
        </x:is>
      </x:c>
      <x:c r="W5" s="6" t="inlineStr">
        <x:is>
          <x:t xml:space="preserve">پایش روند موازی با هزینه</x:t>
        </x:is>
      </x:c>
      <x:c r="X5" s="6" t="inlineStr">
        <x:is>
          <x:t xml:space="preserve">فرض اولیه — نیازمند اعتبارسنجی با داده واقعی Titana</x:t>
        </x:is>
      </x:c>
      <x:c r="Y5" s="6" t="inlineStr">
        <x:is>
          <x:t xml:space="preserve">تفکیک انواع کلیک برای یافتن مسیر هدررفت</x:t>
        </x:is>
      </x:c>
      <x:c r="Z5" s="19" t="inlineStr">
        <x:is>
          <x:t xml:space="preserve">W4</x:t>
        </x:is>
      </x:c>
      <x:c r="AA5" s="19" t="inlineStr">
        <x:is>
          <x:t xml:space="preserve">Medium</x:t>
        </x:is>
      </x:c>
      <x:c r="AB5" s="6" t="inlineStr">
        <x:is>
          <x:t xml:space="preserve">کارشناس مدیا</x:t>
        </x:is>
      </x:c>
      <x:c r="AC5" s="6" t="inlineStr">
        <x:is>
          <x:t xml:space="preserve">—</x:t>
        </x:is>
      </x:c>
      <x:c r="AD5" s="30" t="str">
        <x:v>KPI-04</x:v>
      </x:c>
      <x:c r="AE5" s="30" t="str">
        <x:v>Proposed</x:v>
      </x:c>
    </x:row>
    <x:row r="6">
      <x:c r="A6" s="17" t="inlineStr">
        <x:is>
          <x:t xml:space="preserve">KPI-05</x:t>
        </x:is>
      </x:c>
      <x:c r="B6" s="4" t="inlineStr">
        <x:is>
          <x:t xml:space="preserve">Link Clicks</x:t>
        </x:is>
      </x:c>
      <x:c r="C6" s="4" t="inlineStr">
        <x:is>
          <x:t xml:space="preserve">کلیک پیوند خروجی</x:t>
        </x:is>
      </x:c>
      <x:c r="D6" s="4" t="inlineStr">
        <x:is>
          <x:t xml:space="preserve">Outbound Clicks</x:t>
        </x:is>
      </x:c>
      <x:c r="E6" s="4" t="inlineStr">
        <x:is>
          <x:t xml:space="preserve">مدیا و تبلیغات</x:t>
        </x:is>
      </x:c>
      <x:c r="F6" s="4" t="inlineStr">
        <x:is>
          <x:t xml:space="preserve">کلیک‌های هدایت مستقیم به URL تیتانا</x:t>
        </x:is>
      </x:c>
      <x:c r="G6" s="4" t="inlineStr">
        <x:is>
          <x:t xml:space="preserve">SUM(Clicks on Destination URL)</x:t>
        </x:is>
      </x:c>
      <x:c r="H6" s="4" t="inlineStr">
        <x:is>
          <x:t xml:space="preserve">—</x:t>
        </x:is>
      </x:c>
      <x:c r="I6" s="4" t="inlineStr">
        <x:is>
          <x:t xml:space="preserve">—</x:t>
        </x:is>
      </x:c>
      <x:c r="J6" s="4" t="inlineStr">
        <x:is>
          <x:t xml:space="preserve">عدد صحیح</x:t>
        </x:is>
      </x:c>
      <x:c r="K6" s="4" t="inlineStr">
        <x:is>
          <x:t xml:space="preserve">Volume</x:t>
        </x:is>
      </x:c>
      <x:c r="L6" s="4" t="inlineStr">
        <x:is>
          <x:t xml:space="preserve">Creative/Ad/Campaign</x:t>
        </x:is>
      </x:c>
      <x:c r="M6" s="4" t="inlineStr">
        <x:is>
          <x:t xml:space="preserve">Meta/Google/TikTok</x:t>
        </x:is>
      </x:c>
      <x:c r="N6" s="4" t="inlineStr">
        <x:is>
          <x:t xml:space="preserve">—</x:t>
        </x:is>
      </x:c>
      <x:c r="O6" s="4" t="inlineStr">
        <x:is>
          <x:t xml:space="preserve">MET-04</x:t>
        </x:is>
      </x:c>
      <x:c r="P6" s="4" t="inlineStr">
        <x:is>
          <x:t xml:space="preserve">DIM-04,08</x:t>
        </x:is>
      </x:c>
      <x:c r="Q6" s="4" t="inlineStr">
        <x:is>
          <x:t xml:space="preserve">ساعتی/هفتگی</x:t>
        </x:is>
      </x:c>
      <x:c r="R6" s="4" t="inlineStr">
        <x:is>
          <x:t xml:space="preserve">اثربخشی CTA برای مشاهده تخفیف/کاتالوگ</x:t>
        </x:is>
      </x:c>
      <x:c r="S6" s="4" t="inlineStr">
        <x:is>
          <x:t xml:space="preserve">ضعف انگیزه ترک پلتفرم اجتماعی</x:t>
        </x:is>
      </x:c>
      <x:c r="T6" s="4" t="inlineStr">
        <x:is>
          <x:t xml:space="preserve">KPI-21,KPI-10</x:t>
        </x:is>
      </x:c>
      <x:c r="U6" s="4" t="inlineStr">
        <x:is>
          <x:t xml:space="preserve">مقایسه با سشن‌های GA4 بدون لحاظ ریزش لودینگ</x:t>
        </x:is>
      </x:c>
      <x:c r="V6" s="4" t="inlineStr">
        <x:is>
          <x:t xml:space="preserve">کلیک ≠ صبر برای لود کامل صفحه</x:t>
        </x:is>
      </x:c>
      <x:c r="W6" s="4" t="inlineStr">
        <x:is>
          <x:t xml:space="preserve">حداقل ۷۵٪ کل کلیک‌های ترافیکی Link Click باشند</x:t>
        </x:is>
      </x:c>
      <x:c r="X6" s="4" t="inlineStr">
        <x:is>
          <x:t xml:space="preserve">فرض اولیه — نیازمند اعتبارسنجی با داده واقعی Titana</x:t>
        </x:is>
      </x:c>
      <x:c r="Y6" s="4" t="inlineStr">
        <x:is>
          <x:t xml:space="preserve">تقویت CTA و وعده ارزشی شفاف</x:t>
        </x:is>
      </x:c>
      <x:c r="Z6" s="17" t="inlineStr">
        <x:is>
          <x:t xml:space="preserve">W4</x:t>
        </x:is>
      </x:c>
      <x:c r="AA6" s="17" t="inlineStr">
        <x:is>
          <x:t xml:space="preserve">High</x:t>
        </x:is>
      </x:c>
      <x:c r="AB6" s="4" t="inlineStr">
        <x:is>
          <x:t xml:space="preserve">کارشناس مدیا</x:t>
        </x:is>
      </x:c>
      <x:c r="AC6" s="4" t="inlineStr">
        <x:is>
          <x:t xml:space="preserve">—</x:t>
        </x:is>
      </x:c>
      <x:c r="AD6" s="30" t="str">
        <x:v>KPI-05</x:v>
      </x:c>
      <x:c r="AE6" s="30" t="str">
        <x:v>Proposed</x:v>
      </x:c>
    </x:row>
    <x:row r="7">
      <x:c r="A7" s="19" t="inlineStr">
        <x:is>
          <x:t xml:space="preserve">KPI-06</x:t>
        </x:is>
      </x:c>
      <x:c r="B7" s="6" t="inlineStr">
        <x:is>
          <x:t xml:space="preserve">Click-Through Rate</x:t>
        </x:is>
      </x:c>
      <x:c r="C7" s="6" t="inlineStr">
        <x:is>
          <x:t xml:space="preserve">نرخ کلیک</x:t>
        </x:is>
      </x:c>
      <x:c r="D7" s="6" t="inlineStr">
        <x:is>
          <x:t xml:space="preserve">CTR</x:t>
        </x:is>
      </x:c>
      <x:c r="E7" s="6" t="inlineStr">
        <x:is>
          <x:t xml:space="preserve">مدیا و تبلیغات</x:t>
        </x:is>
      </x:c>
      <x:c r="F7" s="6" t="inlineStr">
        <x:is>
          <x:t xml:space="preserve">درصد نمایش‌ها منجر به کلیک</x:t>
        </x:is>
      </x:c>
      <x:c r="G7" s="6" t="inlineStr">
        <x:is>
          <x:t xml:space="preserve">(Total Clicks / Impressions) × 100</x:t>
        </x:is>
      </x:c>
      <x:c r="H7" s="6" t="inlineStr">
        <x:is>
          <x:t xml:space="preserve">Total Clicks</x:t>
        </x:is>
      </x:c>
      <x:c r="I7" s="6" t="inlineStr">
        <x:is>
          <x:t xml:space="preserve">Impressions</x:t>
        </x:is>
      </x:c>
      <x:c r="J7" s="6" t="inlineStr">
        <x:is>
          <x:t xml:space="preserve">%</x:t>
        </x:is>
      </x:c>
      <x:c r="K7" s="6" t="inlineStr">
        <x:is>
          <x:t xml:space="preserve">Rate/Quality</x:t>
        </x:is>
      </x:c>
      <x:c r="L7" s="6" t="inlineStr">
        <x:is>
          <x:t xml:space="preserve">Keyword/Ad/AdSet/Placement</x:t>
        </x:is>
      </x:c>
      <x:c r="M7" s="6" t="inlineStr">
        <x:is>
          <x:t xml:space="preserve">Google/Meta Ads</x:t>
        </x:is>
      </x:c>
      <x:c r="N7" s="6" t="inlineStr">
        <x:is>
          <x:t xml:space="preserve">—</x:t>
        </x:is>
      </x:c>
      <x:c r="O7" s="6" t="inlineStr">
        <x:is>
          <x:t xml:space="preserve">MET-02/MET-01</x:t>
        </x:is>
      </x:c>
      <x:c r="P7" s="6" t="inlineStr">
        <x:is>
          <x:t xml:space="preserve">DIM-11,12,07,08</x:t>
        </x:is>
      </x:c>
      <x:c r="Q7" s="6" t="inlineStr">
        <x:is>
          <x:t xml:space="preserve">روزانه/هفتگی</x:t>
        </x:is>
      </x:c>
      <x:c r="R7" s="6" t="inlineStr">
        <x:is>
          <x:t xml:space="preserve">تطابق پیام با قصد جستجو؛ بهبود Quality Score</x:t>
        </x:is>
      </x:c>
      <x:c r="S7" s="6" t="inlineStr">
        <x:is>
          <x:t xml:space="preserve">بی‌ارتباطی متن/کپی ضعیف/بنر بی‌ربط</x:t>
        </x:is>
      </x:c>
      <x:c r="T7" s="6" t="inlineStr">
        <x:is>
          <x:t xml:space="preserve">KPI-04,KPI-08</x:t>
        </x:is>
      </x:c>
      <x:c r="U7" s="6" t="inlineStr">
        <x:is>
          <x:t xml:space="preserve">اتکا به CTR بدون بررسی بانس (دام کلیک‌بیت)</x:t>
        </x:is>
      </x:c>
      <x:c r="V7" s="6" t="inlineStr">
        <x:is>
          <x:t xml:space="preserve">سرچ ۳-۶ برابر بالاتر از سوشال — مقایسه یکسان ممنوع</x:t>
        </x:is>
      </x:c>
      <x:c r="W7" s="6" t="inlineStr">
        <x:is>
          <x:t xml:space="preserve">گوگل سرچ &gt; 4.5٪ | اینستاگرام &gt; 1.2٪</x:t>
        </x:is>
      </x:c>
      <x:c r="X7" s="6" t="inlineStr">
        <x:is>
          <x:t xml:space="preserve">فرض اولیه — نیازمند اعتبارسنجی با داده واقعی Titana</x:t>
        </x:is>
      </x:c>
      <x:c r="Y7" s="6" t="inlineStr">
        <x:is>
          <x:t xml:space="preserve">در زیر ۳٪ سرچ: بازنویسی عنوان + اکستنشن قیمت</x:t>
        </x:is>
      </x:c>
      <x:c r="Z7" s="19" t="inlineStr">
        <x:is>
          <x:t xml:space="preserve">W4</x:t>
        </x:is>
      </x:c>
      <x:c r="AA7" s="19" t="inlineStr">
        <x:is>
          <x:t xml:space="preserve">Critical</x:t>
        </x:is>
      </x:c>
      <x:c r="AB7" s="6" t="inlineStr">
        <x:is>
          <x:t xml:space="preserve">کارشناس مدیا</x:t>
        </x:is>
      </x:c>
      <x:c r="AC7" s="6" t="inlineStr">
        <x:is>
          <x:t xml:space="preserve">—</x:t>
        </x:is>
      </x:c>
      <x:c r="AD7" s="30" t="str">
        <x:v>KPI-06</x:v>
      </x:c>
      <x:c r="AE7" s="30" t="str">
        <x:v>Proposed</x:v>
      </x:c>
    </x:row>
    <x:row r="8">
      <x:c r="A8" s="17" t="inlineStr">
        <x:is>
          <x:t xml:space="preserve">KPI-07</x:t>
        </x:is>
      </x:c>
      <x:c r="B8" s="4" t="inlineStr">
        <x:is>
          <x:t xml:space="preserve">Unique CTR</x:t>
        </x:is>
      </x:c>
      <x:c r="C8" s="4" t="inlineStr">
        <x:is>
          <x:t xml:space="preserve">نرخ کلیک یکتا</x:t>
        </x:is>
      </x:c>
      <x:c r="D8" s="4" t="inlineStr">
        <x:is>
          <x:t xml:space="preserve">uCTR</x:t>
        </x:is>
      </x:c>
      <x:c r="E8" s="4" t="inlineStr">
        <x:is>
          <x:t xml:space="preserve">مدیا و تبلیغات</x:t>
        </x:is>
      </x:c>
      <x:c r="F8" s="4" t="inlineStr">
        <x:is>
          <x:t xml:space="preserve">درصد اشخاص یکتای کلیک‌کننده حداقل یک‌بار</x:t>
        </x:is>
      </x:c>
      <x:c r="G8" s="4" t="inlineStr">
        <x:is>
          <x:t xml:space="preserve">(Unique Clicks / Reach) × 100</x:t>
        </x:is>
      </x:c>
      <x:c r="H8" s="4" t="inlineStr">
        <x:is>
          <x:t xml:space="preserve">Unique Clicks</x:t>
        </x:is>
      </x:c>
      <x:c r="I8" s="4" t="inlineStr">
        <x:is>
          <x:t xml:space="preserve">Reach</x:t>
        </x:is>
      </x:c>
      <x:c r="J8" s="4" t="inlineStr">
        <x:is>
          <x:t xml:space="preserve">%</x:t>
        </x:is>
      </x:c>
      <x:c r="K8" s="4" t="inlineStr">
        <x:is>
          <x:t xml:space="preserve">Rate Net</x:t>
        </x:is>
      </x:c>
      <x:c r="L8" s="4" t="inlineStr">
        <x:is>
          <x:t xml:space="preserve">AdSet/Campaign</x:t>
        </x:is>
      </x:c>
      <x:c r="M8" s="4" t="inlineStr">
        <x:is>
          <x:t xml:space="preserve">Meta</x:t>
        </x:is>
      </x:c>
      <x:c r="N8" s="4" t="inlineStr">
        <x:is>
          <x:t xml:space="preserve">—</x:t>
        </x:is>
      </x:c>
      <x:c r="O8" s="4" t="inlineStr">
        <x:is>
          <x:t xml:space="preserve">—</x:t>
        </x:is>
      </x:c>
      <x:c r="P8" s="4" t="inlineStr">
        <x:is>
          <x:t xml:space="preserve">DIM-10</x:t>
        </x:is>
      </x:c>
      <x:c r="Q8" s="4" t="inlineStr">
        <x:is>
          <x:t xml:space="preserve">هفتگی</x:t>
        </x:is>
      </x:c>
      <x:c r="R8" s="4" t="inlineStr">
        <x:is>
          <x:t xml:space="preserve">قدرت پیام در جلب اشخاص جدید</x:t>
        </x:is>
      </x:c>
      <x:c r="S8" s="4" t="inlineStr">
        <x:is>
          <x:t xml:space="preserve">اشباع/تکراری‌شدن پیام</x:t>
        </x:is>
      </x:c>
      <x:c r="T8" s="4" t="inlineStr">
        <x:is>
          <x:t xml:space="preserve">KPI-06</x:t>
        </x:is>
      </x:c>
      <x:c r="U8" s="4" t="inlineStr">
        <x:is>
          <x:t xml:space="preserve">قضاوت با CTR عمومی در فرکانس بالا</x:t>
        </x:is>
      </x:c>
      <x:c r="V8" s="4" t="inlineStr">
        <x:is>
          <x:t xml:space="preserve">در گوگل سرچ در دسترس نیست</x:t>
        </x:is>
      </x:c>
      <x:c r="W8" s="4" t="inlineStr">
        <x:is>
          <x:t xml:space="preserve">بالای ۰.۹٪ در اینستاگرام</x:t>
        </x:is>
      </x:c>
      <x:c r="X8" s="4" t="inlineStr">
        <x:is>
          <x:t xml:space="preserve">فرض اولیه — نیازمند اعتبارسنجی با داده واقعی Titana</x:t>
        </x:is>
      </x:c>
      <x:c r="Y8" s="4" t="inlineStr">
        <x:is>
          <x:t xml:space="preserve">در زیر ۰.۶٪: تغییر زاویه از تخفیف به ضمانت اصالت</x:t>
        </x:is>
      </x:c>
      <x:c r="Z8" s="17" t="inlineStr">
        <x:is>
          <x:t xml:space="preserve">W4</x:t>
        </x:is>
      </x:c>
      <x:c r="AA8" s="17" t="inlineStr">
        <x:is>
          <x:t xml:space="preserve">Medium</x:t>
        </x:is>
      </x:c>
      <x:c r="AB8" s="4" t="inlineStr">
        <x:is>
          <x:t xml:space="preserve">کارشناس مدیا</x:t>
        </x:is>
      </x:c>
      <x:c r="AC8" s="4" t="inlineStr">
        <x:is>
          <x:t xml:space="preserve">—</x:t>
        </x:is>
      </x:c>
      <x:c r="AD8" s="30" t="str">
        <x:v>KPI-07</x:v>
      </x:c>
      <x:c r="AE8" s="30" t="str">
        <x:v>Proposed</x:v>
      </x:c>
    </x:row>
    <x:row r="9">
      <x:c r="A9" s="19" t="inlineStr">
        <x:is>
          <x:t xml:space="preserve">KPI-08</x:t>
        </x:is>
      </x:c>
      <x:c r="B9" s="6" t="inlineStr">
        <x:is>
          <x:t xml:space="preserve">Cost Per Click</x:t>
        </x:is>
      </x:c>
      <x:c r="C9" s="6" t="inlineStr">
        <x:is>
          <x:t xml:space="preserve">هزینه هر کلیک</x:t>
        </x:is>
      </x:c>
      <x:c r="D9" s="6" t="inlineStr">
        <x:is>
          <x:t xml:space="preserve">CPC</x:t>
        </x:is>
      </x:c>
      <x:c r="E9" s="6" t="inlineStr">
        <x:is>
          <x:t xml:space="preserve">مدیا و تبلیغات</x:t>
        </x:is>
      </x:c>
      <x:c r="F9" s="6" t="inlineStr">
        <x:is>
          <x:t xml:space="preserve">میانگین هزینه به ازای هر کلیک</x:t>
        </x:is>
      </x:c>
      <x:c r="G9" s="6" t="inlineStr">
        <x:is>
          <x:t xml:space="preserve">Total Spend / Total Clicks</x:t>
        </x:is>
      </x:c>
      <x:c r="H9" s="6" t="inlineStr">
        <x:is>
          <x:t xml:space="preserve">Total Spend</x:t>
        </x:is>
      </x:c>
      <x:c r="I9" s="6" t="inlineStr">
        <x:is>
          <x:t xml:space="preserve">Total Clicks</x:t>
        </x:is>
      </x:c>
      <x:c r="J9" s="6" t="inlineStr">
        <x:is>
          <x:t xml:space="preserve">ریال/سنت</x:t>
        </x:is>
      </x:c>
      <x:c r="K9" s="6" t="inlineStr">
        <x:is>
          <x:t xml:space="preserve">Cost</x:t>
        </x:is>
      </x:c>
      <x:c r="L9" s="6" t="inlineStr">
        <x:is>
          <x:t xml:space="preserve">Keyword/SearchTerm/AdGroup/Campaign</x:t>
        </x:is>
      </x:c>
      <x:c r="M9" s="6" t="inlineStr">
        <x:is>
          <x:t xml:space="preserve">Google/Meta Ads</x:t>
        </x:is>
      </x:c>
      <x:c r="N9" s="6" t="inlineStr">
        <x:is>
          <x:t xml:space="preserve">—</x:t>
        </x:is>
      </x:c>
      <x:c r="O9" s="6" t="inlineStr">
        <x:is>
          <x:t xml:space="preserve">MET-03/MET-02</x:t>
        </x:is>
      </x:c>
      <x:c r="P9" s="6" t="inlineStr">
        <x:is>
          <x:t xml:space="preserve">DIM-12,13,14</x:t>
        </x:is>
      </x:c>
      <x:c r="Q9" s="6" t="inlineStr">
        <x:is>
          <x:t xml:space="preserve">ساعتی/هفتگی</x:t>
        </x:is>
      </x:c>
      <x:c r="R9" s="6" t="inlineStr">
        <x:is>
          <x:t xml:space="preserve">افزایش رقابت/افت Quality Score</x:t>
        </x:is>
      </x:c>
      <x:c r="S9" s="6" t="inlineStr">
        <x:is>
          <x:t xml:space="preserve">بهبود QS/کلمات دم‌دراز مقرون‌به‌صرفه</x:t>
        </x:is>
      </x:c>
      <x:c r="T9" s="6" t="inlineStr">
        <x:is>
          <x:t xml:space="preserve">KPI-06,KPI-16,KPI-40</x:t>
        </x:is>
      </x:c>
      <x:c r="U9" s="6" t="inlineStr">
        <x:is>
          <x:t xml:space="preserve">کاهش تعمدی CPC با Bid دستی → از دست رفتن IS</x:t>
        </x:is>
      </x:c>
      <x:c r="V9" s="6" t="inlineStr">
        <x:is>
          <x:t xml:space="preserve">CPC پایین بدون خرید ارزشی نیست</x:t>
        </x:is>
      </x:c>
      <x:c r="W9" s="6" t="inlineStr">
        <x:is>
          <x:t xml:space="preserve">تجهیزات سرچ &lt; 25,000 ریال | مواد &lt; 12,000 ریال</x:t>
        </x:is>
      </x:c>
      <x:c r="X9" s="6" t="inlineStr">
        <x:is>
          <x:t xml:space="preserve">فرض اولیه — نیازمند اعتبارسنجی با داده واقعی Titana</x:t>
        </x:is>
      </x:c>
      <x:c r="Y9" s="6" t="inlineStr">
        <x:is>
          <x:t xml:space="preserve">در جهش غیرعادی: منفی‌کردن واژگان دانشجویی</x:t>
        </x:is>
      </x:c>
      <x:c r="Z9" s="19" t="inlineStr">
        <x:is>
          <x:t xml:space="preserve">W4</x:t>
        </x:is>
      </x:c>
      <x:c r="AA9" s="19" t="inlineStr">
        <x:is>
          <x:t xml:space="preserve">Critical</x:t>
        </x:is>
      </x:c>
      <x:c r="AB9" s="6" t="inlineStr">
        <x:is>
          <x:t xml:space="preserve">کارشناس سرچ</x:t>
        </x:is>
      </x:c>
      <x:c r="AC9" s="6" t="inlineStr">
        <x:is>
          <x:t xml:space="preserve">—</x:t>
        </x:is>
      </x:c>
      <x:c r="AD9" s="30" t="str">
        <x:v>KPI-08</x:v>
      </x:c>
      <x:c r="AE9" s="30" t="str">
        <x:v>Proposed</x:v>
      </x:c>
    </x:row>
    <x:row r="10">
      <x:c r="A10" s="17" t="inlineStr">
        <x:is>
          <x:t xml:space="preserve">KPI-09</x:t>
        </x:is>
      </x:c>
      <x:c r="B10" s="4" t="inlineStr">
        <x:is>
          <x:t xml:space="preserve">Cost Per Mille</x:t>
        </x:is>
      </x:c>
      <x:c r="C10" s="4" t="inlineStr">
        <x:is>
          <x:t xml:space="preserve">هزینه هر هزار نمایش</x:t>
        </x:is>
      </x:c>
      <x:c r="D10" s="4" t="inlineStr">
        <x:is>
          <x:t xml:space="preserve">CPM</x:t>
        </x:is>
      </x:c>
      <x:c r="E10" s="4" t="inlineStr">
        <x:is>
          <x:t xml:space="preserve">مدیا و تبلیغات</x:t>
        </x:is>
      </x:c>
      <x:c r="F10" s="4" t="inlineStr">
        <x:is>
          <x:t xml:space="preserve">هزینه نمایش ۱۰۰ مرتبه‌ای</x:t>
        </x:is>
      </x:c>
      <x:c r="G10" s="4" t="inlineStr">
        <x:is>
          <x:t xml:space="preserve">(Total Spend / Impressions) × 1000</x:t>
        </x:is>
      </x:c>
      <x:c r="H10" s="4" t="inlineStr">
        <x:is>
          <x:t xml:space="preserve">Total Spend</x:t>
        </x:is>
      </x:c>
      <x:c r="I10" s="4" t="inlineStr">
        <x:is>
          <x:t xml:space="preserve">Impressions/1000</x:t>
        </x:is>
      </x:c>
      <x:c r="J10" s="4" t="inlineStr">
        <x:is>
          <x:t xml:space="preserve">ریال/دلار</x:t>
        </x:is>
      </x:c>
      <x:c r="K10" s="4" t="inlineStr">
        <x:is>
          <x:t xml:space="preserve">Cost Base Media</x:t>
        </x:is>
      </x:c>
      <x:c r="L10" s="4" t="inlineStr">
        <x:is>
          <x:t xml:space="preserve">AdSet/Campaign/Country</x:t>
        </x:is>
      </x:c>
      <x:c r="M10" s="4" t="inlineStr">
        <x:is>
          <x:t xml:space="preserve">Meta, Google Display/YouTube</x:t>
        </x:is>
      </x:c>
      <x:c r="N10" s="4" t="inlineStr">
        <x:is>
          <x:t xml:space="preserve">—</x:t>
        </x:is>
      </x:c>
      <x:c r="O10" s="4" t="inlineStr">
        <x:is>
          <x:t xml:space="preserve">MET-03/MET-01</x:t>
        </x:is>
      </x:c>
      <x:c r="P10" s="4" t="inlineStr">
        <x:is>
          <x:t xml:space="preserve">DIM-01,04,10</x:t>
        </x:is>
      </x:c>
      <x:c r="Q10" s="4" t="inlineStr">
        <x:is>
          <x:t xml:space="preserve">روزانه/ماهانه</x:t>
        </x:is>
      </x:c>
      <x:c r="R10" s="4" t="inlineStr">
        <x:is>
          <x:t xml:space="preserve">گرانی بازار/فصول اوج (اکسیدا)</x:t>
        </x:is>
      </x:c>
      <x:c r="S10" s="4" t="inlineStr">
        <x:is>
          <x:t xml:space="preserve">گسترش جامعه هدف/Relevancy بالا</x:t>
        </x:is>
      </x:c>
      <x:c r="T10" s="4" t="inlineStr">
        <x:is>
          <x:t xml:space="preserve">KPI-03,KPI-06</x:t>
        </x:is>
      </x:c>
      <x:c r="U10" s="4" t="inlineStr">
        <x:is>
          <x:t xml:space="preserve">فرض مخاطب گران = مشتری وفادارتر</x:t>
        </x:is>
      </x:c>
      <x:c r="V10" s="4" t="inlineStr">
        <x:is>
          <x:t xml:space="preserve">مستقلاً تحت تأثیر نرخ ارز</x:t>
        </x:is>
      </x:c>
      <x:c r="W10" s="4" t="inlineStr">
        <x:is>
          <x:t xml:space="preserve">متا دندان‌پزشکی: ۳.۵ تا ۶.۵ دلار</x:t>
        </x:is>
      </x:c>
      <x:c r="X10" s="4" t="inlineStr">
        <x:is>
          <x:t xml:space="preserve">فرض اولیه — نیازمند اعتبارسنجی با داده واقعی Titana</x:t>
        </x:is>
      </x:c>
      <x:c r="Y10" s="4" t="inlineStr">
        <x:is>
          <x:t xml:space="preserve">در جهش: ادغام ادست‌های کوچک با Broad</x:t>
        </x:is>
      </x:c>
      <x:c r="Z10" s="17" t="inlineStr">
        <x:is>
          <x:t xml:space="preserve">W4</x:t>
        </x:is>
      </x:c>
      <x:c r="AA10" s="17" t="inlineStr">
        <x:is>
          <x:t xml:space="preserve">Medium</x:t>
        </x:is>
      </x:c>
      <x:c r="AB10" s="4" t="inlineStr">
        <x:is>
          <x:t xml:space="preserve">کارشناس مدیا</x:t>
        </x:is>
      </x:c>
      <x:c r="AC10" s="4" t="inlineStr">
        <x:is>
          <x:t xml:space="preserve">—</x:t>
        </x:is>
      </x:c>
      <x:c r="AD10" s="30" t="str">
        <x:v>KPI-09</x:v>
      </x:c>
      <x:c r="AE10" s="30" t="str">
        <x:v>Proposed</x:v>
      </x:c>
    </x:row>
    <x:row r="11">
      <x:c r="A11" s="19" t="inlineStr">
        <x:is>
          <x:t xml:space="preserve">KPI-10</x:t>
        </x:is>
      </x:c>
      <x:c r="B11" s="6" t="inlineStr">
        <x:is>
          <x:t xml:space="preserve">Cost per Landing Page View</x:t>
        </x:is>
      </x:c>
      <x:c r="C11" s="6" t="inlineStr">
        <x:is>
          <x:t xml:space="preserve">هزینه هر مشاهده لندینگ</x:t>
        </x:is>
      </x:c>
      <x:c r="D11" s="6" t="inlineStr">
        <x:is>
          <x:t xml:space="preserve">CPLPV</x:t>
        </x:is>
      </x:c>
      <x:c r="E11" s="6" t="inlineStr">
        <x:is>
          <x:t xml:space="preserve">مدیا و تبلیغات</x:t>
        </x:is>
      </x:c>
      <x:c r="F11" s="6" t="inlineStr">
        <x:is>
          <x:t xml:space="preserve">هزینه به ازای هر کاربر منتظر لود کامل لندینگ</x:t>
        </x:is>
      </x:c>
      <x:c r="G11" s="6" t="inlineStr">
        <x:is>
          <x:t xml:space="preserve">Total Spend / Landing Page Views</x:t>
        </x:is>
      </x:c>
      <x:c r="H11" s="6" t="inlineStr">
        <x:is>
          <x:t xml:space="preserve">Total Spend</x:t>
        </x:is>
      </x:c>
      <x:c r="I11" s="6" t="inlineStr">
        <x:is>
          <x:t xml:space="preserve">Landing Page Views</x:t>
        </x:is>
      </x:c>
      <x:c r="J11" s="6" t="inlineStr">
        <x:is>
          <x:t xml:space="preserve">ریال/ارز</x:t>
        </x:is>
      </x:c>
      <x:c r="K11" s="6" t="inlineStr">
        <x:is>
          <x:t xml:space="preserve">Cost Quality Traffic</x:t>
        </x:is>
      </x:c>
      <x:c r="L11" s="6" t="inlineStr">
        <x:is>
          <x:t xml:space="preserve">Ad/AdSet/Campaign</x:t>
        </x:is>
      </x:c>
      <x:c r="M11" s="6" t="inlineStr">
        <x:is>
          <x:t xml:space="preserve">Meta (pixel), GA4</x:t>
        </x:is>
      </x:c>
      <x:c r="N11" s="6" t="inlineStr">
        <x:is>
          <x:t xml:space="preserve">EVT-01</x:t>
        </x:is>
      </x:c>
      <x:c r="O11" s="6" t="inlineStr">
        <x:is>
          <x:t xml:space="preserve">MET-03/MET-09</x:t>
        </x:is>
      </x:c>
      <x:c r="P11" s="6" t="inlineStr">
        <x:is>
          <x:t xml:space="preserve">DIM-04,07,15</x:t>
        </x:is>
      </x:c>
      <x:c r="Q11" s="6" t="inlineStr">
        <x:is>
          <x:t xml:space="preserve">روزانه/هفتگی</x:t>
        </x:is>
      </x:c>
      <x:c r="R11" s="6" t="inlineStr">
        <x:is>
          <x:t xml:space="preserve">کندی سرور/ریزش فیلترینگ/عدم همخوانی آگهی</x:t>
        </x:is>
      </x:c>
      <x:c r="S11" s="6" t="inlineStr">
        <x:is>
          <x:t xml:space="preserve">لود روان زیر ۲.۵ ثانیه/پایداری زیرساخت</x:t>
        </x:is>
      </x:c>
      <x:c r="T11" s="6" t="inlineStr">
        <x:is>
          <x:t xml:space="preserve">KPI-08,KPI-21</x:t>
        </x:is>
      </x:c>
      <x:c r="U11" s="6" t="inlineStr">
        <x:is>
          <x:t xml:space="preserve">ارزیابی لندینگ با CPC به جای CPLPV</x:t>
        </x:is>
      </x:c>
      <x:c r="V11" s="6" t="inlineStr">
        <x:is>
          <x:t xml:space="preserve">اختلال GTM → ایونت شمرده نمی‌شود</x:t>
        </x:is>
      </x:c>
      <x:c r="W11" s="6" t="inlineStr">
        <x:is>
          <x:t xml:space="preserve">حداکثر ۱.۲۵ برابر CPC لینک</x:t>
        </x:is>
      </x:c>
      <x:c r="X11" s="6" t="inlineStr">
        <x:is>
          <x:t xml:space="preserve">فرض اولیه — نیازمند اعتبارسنجی با داده واقعی Titana</x:t>
        </x:is>
      </x:c>
      <x:c r="Y11" s="6" t="inlineStr">
        <x:is>
          <x:t xml:space="preserve">بالای ۱.۵ برابر CPC → فشرده‌سازی تصاویر + CDN</x:t>
        </x:is>
      </x:c>
      <x:c r="Z11" s="19" t="inlineStr">
        <x:is>
          <x:t xml:space="preserve">W4</x:t>
        </x:is>
      </x:c>
      <x:c r="AA11" s="19" t="inlineStr">
        <x:is>
          <x:t xml:space="preserve">High</x:t>
        </x:is>
      </x:c>
      <x:c r="AB11" s="6" t="inlineStr">
        <x:is>
          <x:t xml:space="preserve">کارشناس مدیا</x:t>
        </x:is>
      </x:c>
      <x:c r="AC11" s="6" t="inlineStr">
        <x:is>
          <x:t xml:space="preserve">—</x:t>
        </x:is>
      </x:c>
      <x:c r="AD11" s="30" t="str">
        <x:v>KPI-10</x:v>
      </x:c>
      <x:c r="AE11" s="30" t="str">
        <x:v>Proposed</x:v>
      </x:c>
    </x:row>
    <x:row r="12">
      <x:c r="A12" s="17" t="inlineStr">
        <x:is>
          <x:t xml:space="preserve">KPI-11</x:t>
        </x:is>
      </x:c>
      <x:c r="B12" s="4" t="inlineStr">
        <x:is>
          <x:t xml:space="preserve">Engagement Rate</x:t>
        </x:is>
      </x:c>
      <x:c r="C12" s="4" t="inlineStr">
        <x:is>
          <x:t xml:space="preserve">نرخ تعامل تبلیغاتی</x:t>
        </x:is>
      </x:c>
      <x:c r="D12" s="4" t="inlineStr">
        <x:is>
          <x:t xml:space="preserve">ER</x:t>
        </x:is>
      </x:c>
      <x:c r="E12" s="4" t="inlineStr">
        <x:is>
          <x:t xml:space="preserve">مدیا و تبلیغات</x:t>
        </x:is>
      </x:c>
      <x:c r="F12" s="4" t="inlineStr">
        <x:is>
          <x:t xml:space="preserve">نسبت تعاملی‌ها (لایک/کامنت/سیو/اشتراک/کلیک)</x:t>
        </x:is>
      </x:c>
      <x:c r="G12" s="4" t="inlineStr">
        <x:is>
          <x:t xml:space="preserve">(Total Engagements / Impressions) × 100</x:t>
        </x:is>
      </x:c>
      <x:c r="H12" s="4" t="inlineStr">
        <x:is>
          <x:t xml:space="preserve">Engagements</x:t>
        </x:is>
      </x:c>
      <x:c r="I12" s="4" t="inlineStr">
        <x:is>
          <x:t xml:space="preserve">Impressions</x:t>
        </x:is>
      </x:c>
      <x:c r="J12" s="4" t="inlineStr">
        <x:is>
          <x:t xml:space="preserve">%</x:t>
        </x:is>
      </x:c>
      <x:c r="K12" s="4" t="inlineStr">
        <x:is>
          <x:t xml:space="preserve">Content Quality</x:t>
        </x:is>
      </x:c>
      <x:c r="L12" s="4" t="inlineStr">
        <x:is>
          <x:t xml:space="preserve">Post/Ad/Page</x:t>
        </x:is>
      </x:c>
      <x:c r="M12" s="4" t="inlineStr">
        <x:is>
          <x:t xml:space="preserve">Meta, Instagram Insights</x:t>
        </x:is>
      </x:c>
      <x:c r="N12" s="4" t="inlineStr">
        <x:is>
          <x:t xml:space="preserve">—</x:t>
        </x:is>
      </x:c>
      <x:c r="O12" s="4" t="inlineStr">
        <x:is>
          <x:t xml:space="preserve">MET-01</x:t>
        </x:is>
      </x:c>
      <x:c r="P12" s="4" t="inlineStr">
        <x:is>
          <x:t xml:space="preserve">DIM-08</x:t>
        </x:is>
      </x:c>
      <x:c r="Q12" s="4" t="inlineStr">
        <x:is>
          <x:t xml:space="preserve">هفتگی/ماهانه</x:t>
        </x:is>
      </x:c>
      <x:c r="R12" s="4" t="inlineStr">
        <x:is>
          <x:t xml:space="preserve">استقبال از محتوای تخصصی؛ اعتبار ارگانیک</x:t>
        </x:is>
      </x:c>
      <x:c r="S12" s="4" t="inlineStr">
        <x:is>
          <x:t xml:space="preserve">محتوای صرفاً ترویجی/لحن نامناسب</x:t>
        </x:is>
      </x:c>
      <x:c r="T12" s="4" t="inlineStr">
        <x:is>
          <x:t xml:space="preserve">KPI-06</x:t>
        </x:is>
      </x:c>
      <x:c r="U12" s="4" t="inlineStr">
        <x:is>
          <x:t xml:space="preserve">برابردانستن کامنت منفی با تعامل مثبت</x:t>
        </x:is>
      </x:c>
      <x:c r="V12" s="4" t="inlineStr">
        <x:is>
          <x:t xml:space="preserve">Vanity در غیاب ردیابی لید</x:t>
        </x:is>
      </x:c>
      <x:c r="W12" s="4" t="inlineStr">
        <x:is>
          <x:t xml:space="preserve">بالای ۲.۸٪ در اینستاگرام تخصصی</x:t>
        </x:is>
      </x:c>
      <x:c r="X12" s="4" t="inlineStr">
        <x:is>
          <x:t xml:space="preserve">فرض اولیه — نیازمند اعتبارسنجی با داده واقعی Titana</x:t>
        </x:is>
      </x:c>
      <x:c r="Y12" s="4" t="inlineStr">
        <x:is>
          <x:t xml:space="preserve">محتوای مقایسه‌ای کیس کلینیکی با اساتید</x:t>
        </x:is>
      </x:c>
      <x:c r="Z12" s="17" t="inlineStr">
        <x:is>
          <x:t xml:space="preserve">W4</x:t>
        </x:is>
      </x:c>
      <x:c r="AA12" s="17" t="inlineStr">
        <x:is>
          <x:t xml:space="preserve">Medium</x:t>
        </x:is>
      </x:c>
      <x:c r="AB12" s="4" t="inlineStr">
        <x:is>
          <x:t xml:space="preserve">کارشناس محتوا</x:t>
        </x:is>
      </x:c>
      <x:c r="AC12" s="4" t="inlineStr">
        <x:is>
          <x:t xml:space="preserve">—</x:t>
        </x:is>
      </x:c>
      <x:c r="AD12" s="30" t="str">
        <x:v>KPI-11</x:v>
      </x:c>
      <x:c r="AE12" s="30" t="str">
        <x:v>Proposed</x:v>
      </x:c>
    </x:row>
    <x:row r="13">
      <x:c r="A13" s="19" t="inlineStr">
        <x:is>
          <x:t xml:space="preserve">KPI-12</x:t>
        </x:is>
      </x:c>
      <x:c r="B13" s="6" t="inlineStr">
        <x:is>
          <x:t xml:space="preserve">Video View Rate</x:t>
        </x:is>
      </x:c>
      <x:c r="C13" s="6" t="inlineStr">
        <x:is>
          <x:t xml:space="preserve">نرخ مشاهده ویدیو</x:t>
        </x:is>
      </x:c>
      <x:c r="D13" s="6" t="inlineStr">
        <x:is>
          <x:t xml:space="preserve">VVR</x:t>
        </x:is>
      </x:c>
      <x:c r="E13" s="6" t="inlineStr">
        <x:is>
          <x:t xml:space="preserve">مدیا و تبلیغات</x:t>
        </x:is>
      </x:c>
      <x:c r="F13" s="6" t="inlineStr">
        <x:is>
          <x:t xml:space="preserve">درصد ایمپرشن‌های تبدیل‌شده به تماشای ≥۲/۳ ثانیه</x:t>
        </x:is>
      </x:c>
      <x:c r="G13" s="6" t="inlineStr">
        <x:is>
          <x:t xml:space="preserve">(Video Views ≥3s / Video Impressions) × 100</x:t>
        </x:is>
      </x:c>
      <x:c r="H13" s="6" t="inlineStr">
        <x:is>
          <x:t xml:space="preserve">3s Views</x:t>
        </x:is>
      </x:c>
      <x:c r="I13" s="6" t="inlineStr">
        <x:is>
          <x:t xml:space="preserve">Video Impressions</x:t>
        </x:is>
      </x:c>
      <x:c r="J13" s="6" t="inlineStr">
        <x:is>
          <x:t xml:space="preserve">%</x:t>
        </x:is>
      </x:c>
      <x:c r="K13" s="6" t="inlineStr">
        <x:is>
          <x:t xml:space="preserve">Attention Rate</x:t>
        </x:is>
      </x:c>
      <x:c r="L13" s="6" t="inlineStr">
        <x:is>
          <x:t xml:space="preserve">Creative/Ad</x:t>
        </x:is>
      </x:c>
      <x:c r="M13" s="6" t="inlineStr">
        <x:is>
          <x:t xml:space="preserve">Meta, YouTube</x:t>
        </x:is>
      </x:c>
      <x:c r="N13" s="6" t="inlineStr">
        <x:is>
          <x:t xml:space="preserve">—</x:t>
        </x:is>
      </x:c>
      <x:c r="O13" s="6" t="inlineStr">
        <x:is>
          <x:t xml:space="preserve">MET-05/MET-01</x:t>
        </x:is>
      </x:c>
      <x:c r="P13" s="6" t="inlineStr">
        <x:is>
          <x:t xml:space="preserve">DIM-08,09</x:t>
        </x:is>
      </x:c>
      <x:c r="Q13" s="6" t="inlineStr">
        <x:is>
          <x:t xml:space="preserve">روزانه/هفتگی</x:t>
        </x:is>
      </x:c>
      <x:c r="R13" s="6" t="inlineStr">
        <x:is>
          <x:t xml:space="preserve">عملکرد قلاب بصری</x:t>
        </x:is>
      </x:c>
      <x:c r="S13" s="6" t="inlineStr">
        <x:is>
          <x:t xml:space="preserve">ثانیه‌های آغازین کسل‌کننده/لوگوموشن طولانی</x:t>
        </x:is>
      </x:c>
      <x:c r="T13" s="6" t="inlineStr">
        <x:is>
          <x:t xml:space="preserve">KPI-60,KPI-14</x:t>
        </x:is>
      </x:c>
      <x:c r="U13" s="6" t="inlineStr">
        <x:is>
          <x:t xml:space="preserve">ارزیابی بدون صدا بدون زیرنویس</x:t>
        </x:is>
      </x:c>
      <x:c r="V13" s="6" t="inlineStr">
        <x:is>
          <x:t xml:space="preserve">۳ ثانیه ≠ دریافت پیام آفر</x:t>
        </x:is>
      </x:c>
      <x:c r="W13" s="6" t="inlineStr">
        <x:is>
          <x:t xml:space="preserve">&gt; 30٪ در ریلز/استوری</x:t>
        </x:is>
      </x:c>
      <x:c r="X13" s="6" t="inlineStr">
        <x:is>
          <x:t xml:space="preserve">فرض اولیه — نیازمند اعتبارسنجی با داده واقعی Titana</x:t>
        </x:is>
      </x:c>
      <x:c r="Y13" s="6" t="inlineStr">
        <x:is>
          <x:t xml:space="preserve">اصلاح ۳ ثانیه اول با کلوزآپ چالش بالینی</x:t>
        </x:is>
      </x:c>
      <x:c r="Z13" s="19" t="inlineStr">
        <x:is>
          <x:t xml:space="preserve">W4</x:t>
        </x:is>
      </x:c>
      <x:c r="AA13" s="19" t="inlineStr">
        <x:is>
          <x:t xml:space="preserve">High</x:t>
        </x:is>
      </x:c>
      <x:c r="AB13" s="6" t="inlineStr">
        <x:is>
          <x:t xml:space="preserve">کارشناس مدیا</x:t>
        </x:is>
      </x:c>
      <x:c r="AC13" s="6" t="inlineStr">
        <x:is>
          <x:t xml:space="preserve">—</x:t>
        </x:is>
      </x:c>
      <x:c r="AD13" s="30" t="str">
        <x:v>KPI-12</x:v>
      </x:c>
      <x:c r="AE13" s="30" t="str">
        <x:v>Proposed</x:v>
      </x:c>
    </x:row>
    <x:row r="14">
      <x:c r="A14" s="17" t="inlineStr">
        <x:is>
          <x:t xml:space="preserve">KPI-13</x:t>
        </x:is>
      </x:c>
      <x:c r="B14" s="4" t="inlineStr">
        <x:is>
          <x:t xml:space="preserve">ThruPlay Rate</x:t>
        </x:is>
      </x:c>
      <x:c r="C14" s="4" t="inlineStr">
        <x:is>
          <x:t xml:space="preserve">تماشای کامل ویدیو</x:t>
        </x:is>
      </x:c>
      <x:c r="D14" s="4" t="inlineStr">
        <x:is>
          <x:t xml:space="preserve">ThruPlay%</x:t>
        </x:is>
      </x:c>
      <x:c r="E14" s="4" t="inlineStr">
        <x:is>
          <x:t xml:space="preserve">مدیا و تبلیغات</x:t>
        </x:is>
      </x:c>
      <x:c r="F14" s="4" t="inlineStr">
        <x:is>
          <x:t xml:space="preserve">نسبت تماشای تا انتها (یا ≥۱۵ ثانیه)</x:t>
        </x:is>
      </x:c>
      <x:c r="G14" s="4" t="inlineStr">
        <x:is>
          <x:t xml:space="preserve">(ThruPlays / 3s Views) × 100</x:t>
        </x:is>
      </x:c>
      <x:c r="H14" s="4" t="inlineStr">
        <x:is>
          <x:t xml:space="preserve">ThruPlays</x:t>
        </x:is>
      </x:c>
      <x:c r="I14" s="4" t="inlineStr">
        <x:is>
          <x:t xml:space="preserve">3s Views</x:t>
        </x:is>
      </x:c>
      <x:c r="J14" s="4" t="inlineStr">
        <x:is>
          <x:t xml:space="preserve">%</x:t>
        </x:is>
      </x:c>
      <x:c r="K14" s="4" t="inlineStr">
        <x:is>
          <x:t xml:space="preserve">Retention Viewer</x:t>
        </x:is>
      </x:c>
      <x:c r="L14" s="4" t="inlineStr">
        <x:is>
          <x:t xml:space="preserve">Video Creative</x:t>
        </x:is>
      </x:c>
      <x:c r="M14" s="4" t="inlineStr">
        <x:is>
          <x:t xml:space="preserve">Meta</x:t>
        </x:is>
      </x:c>
      <x:c r="N14" s="4" t="inlineStr">
        <x:is>
          <x:t xml:space="preserve">—</x:t>
        </x:is>
      </x:c>
      <x:c r="O14" s="4" t="inlineStr">
        <x:is>
          <x:t xml:space="preserve">MET-06/MET-05</x:t>
        </x:is>
      </x:c>
      <x:c r="P14" s="4" t="inlineStr">
        <x:is>
          <x:t xml:space="preserve">DIM-08</x:t>
        </x:is>
      </x:c>
      <x:c r="Q14" s="4" t="inlineStr">
        <x:is>
          <x:t xml:space="preserve">هفتگی</x:t>
        </x:is>
      </x:c>
      <x:c r="R14" s="4" t="inlineStr">
        <x:is>
          <x:t xml:space="preserve">جذابیت خط روایی و تمایل به یادگیری</x:t>
        </x:is>
      </x:c>
      <x:c r="S14" s="4" t="inlineStr">
        <x:is>
          <x:t xml:space="preserve">افت هیجان میانه/توضیح تئوریک</x:t>
        </x:is>
      </x:c>
      <x:c r="T14" s="4" t="inlineStr">
        <x:is>
          <x:t xml:space="preserve">KPI-61</x:t>
        </x:is>
      </x:c>
      <x:c r="U14" s="4" t="inlineStr">
        <x:is>
          <x:t xml:space="preserve">مقایسه ویدیوهای زیر ۱۵ ثانیه (همیشه ۱۰۰٪)</x:t>
        </x:is>
      </x:c>
      <x:c r="V14" s="4" t="inlineStr">
        <x:is>
          <x:t xml:space="preserve">نیاز به نرمال‌سازی طول</x:t>
        </x:is>
      </x:c>
      <x:c r="W14" s="4" t="inlineStr">
        <x:is>
          <x:t xml:space="preserve">&gt; 25٪ برای ۳۰ ثانیه‌ها</x:t>
        </x:is>
      </x:c>
      <x:c r="X14" s="4" t="inlineStr">
        <x:is>
          <x:t xml:space="preserve">فرض اولیه — نیازمند اعتبارسنجی با داده واقعی Titana</x:t>
        </x:is>
      </x:c>
      <x:c r="Y14" s="4" t="inlineStr">
        <x:is>
          <x:t xml:space="preserve">کات ریتم + CTA در ثانیه ۲۰ به بعد</x:t>
        </x:is>
      </x:c>
      <x:c r="Z14" s="17" t="inlineStr">
        <x:is>
          <x:t xml:space="preserve">W4</x:t>
        </x:is>
      </x:c>
      <x:c r="AA14" s="17" t="inlineStr">
        <x:is>
          <x:t xml:space="preserve">Medium</x:t>
        </x:is>
      </x:c>
      <x:c r="AB14" s="4" t="inlineStr">
        <x:is>
          <x:t xml:space="preserve">کارشناس مدیا</x:t>
        </x:is>
      </x:c>
      <x:c r="AC14" s="4" t="inlineStr">
        <x:is>
          <x:t xml:space="preserve">—</x:t>
        </x:is>
      </x:c>
      <x:c r="AD14" s="30" t="str">
        <x:v>KPI-13</x:v>
      </x:c>
      <x:c r="AE14" s="30" t="str">
        <x:v>Proposed</x:v>
      </x:c>
    </x:row>
    <x:row r="15">
      <x:c r="A15" s="19" t="inlineStr">
        <x:is>
          <x:t xml:space="preserve">KPI-14</x:t>
        </x:is>
      </x:c>
      <x:c r="B15" s="6" t="inlineStr">
        <x:is>
          <x:t xml:space="preserve">Cost Per Video View</x:t>
        </x:is>
      </x:c>
      <x:c r="C15" s="6" t="inlineStr">
        <x:is>
          <x:t xml:space="preserve">هزینه هر مشاهده ویدیو</x:t>
        </x:is>
      </x:c>
      <x:c r="D15" s="6" t="inlineStr">
        <x:is>
          <x:t xml:space="preserve">CPV</x:t>
        </x:is>
      </x:c>
      <x:c r="E15" s="6" t="inlineStr">
        <x:is>
          <x:t xml:space="preserve">مدیا و تبلیغات</x:t>
        </x:is>
      </x:c>
      <x:c r="F15" s="6" t="inlineStr">
        <x:is>
          <x:t xml:space="preserve">میانگین هزینه هر مشاهده معتبر ویدیو</x:t>
        </x:is>
      </x:c>
      <x:c r="G15" s="6" t="inlineStr">
        <x:is>
          <x:t xml:space="preserve">Total Video Spend / Total Valid Views</x:t>
        </x:is>
      </x:c>
      <x:c r="H15" s="6" t="inlineStr">
        <x:is>
          <x:t xml:space="preserve">Video Spend</x:t>
        </x:is>
      </x:c>
      <x:c r="I15" s="6" t="inlineStr">
        <x:is>
          <x:t xml:space="preserve">Video Views (or ThruPlays)</x:t>
        </x:is>
      </x:c>
      <x:c r="J15" s="6" t="inlineStr">
        <x:is>
          <x:t xml:space="preserve">ریال/سنت</x:t>
        </x:is>
      </x:c>
      <x:c r="K15" s="6" t="inlineStr">
        <x:is>
          <x:t xml:space="preserve">Cost Media</x:t>
        </x:is>
      </x:c>
      <x:c r="L15" s="6" t="inlineStr">
        <x:is>
          <x:t xml:space="preserve">Ad/Campaign</x:t>
        </x:is>
      </x:c>
      <x:c r="M15" s="6" t="inlineStr">
        <x:is>
          <x:t xml:space="preserve">Meta, YouTube</x:t>
        </x:is>
      </x:c>
      <x:c r="N15" s="6" t="inlineStr">
        <x:is>
          <x:t xml:space="preserve">—</x:t>
        </x:is>
      </x:c>
      <x:c r="O15" s="6" t="inlineStr">
        <x:is>
          <x:t xml:space="preserve">MET-03/MET-05</x:t>
        </x:is>
      </x:c>
      <x:c r="P15" s="6" t="inlineStr">
        <x:is>
          <x:t xml:space="preserve">DIM-08,09</x:t>
        </x:is>
      </x:c>
      <x:c r="Q15" s="6" t="inlineStr">
        <x:is>
          <x:t xml:space="preserve">هفتگی/ماهانه</x:t>
        </x:is>
      </x:c>
      <x:c r="R15" s="6" t="inlineStr">
        <x:is>
          <x:t xml:space="preserve">خستگی محتوا/رقابت ویدیویی</x:t>
        </x:is>
      </x:c>
      <x:c r="S15" s="6" t="inlineStr">
        <x:is>
          <x:t xml:space="preserve">کیفیت بصری/اشتراک ارگانیک</x:t>
        </x:is>
      </x:c>
      <x:c r="T15" s="6" t="inlineStr">
        <x:is>
          <x:t xml:space="preserve">KPI-12</x:t>
        </x:is>
      </x:c>
      <x:c r="U15" s="6" t="inlineStr">
        <x:is>
          <x:t xml:space="preserve">مقایسه ویو ۲ ثانیه با ThruPlay یوتیوب</x:t>
        </x:is>
      </x:c>
      <x:c r="V15" s="6" t="inlineStr">
        <x:is>
          <x:t xml:space="preserve">CPV ارزان ≠ موفقیت تجاری</x:t>
        </x:is>
      </x:c>
      <x:c r="W15" s="6" t="inlineStr">
        <x:is>
          <x:t xml:space="preserve">ThruPlay CPV &lt; 0.04 دلار</x:t>
        </x:is>
      </x:c>
      <x:c r="X15" s="6" t="inlineStr">
        <x:is>
          <x:t xml:space="preserve">فرض اولیه — نیازمند اعتبارسنجی با داده واقعی Titana</x:t>
        </x:is>
      </x:c>
      <x:c r="Y15" s="6" t="inlineStr">
        <x:is>
          <x:t xml:space="preserve">ریتارگتینگ بینندگان &gt;۵۰٪ ویدیو با آفر</x:t>
        </x:is>
      </x:c>
      <x:c r="Z15" s="19" t="inlineStr">
        <x:is>
          <x:t xml:space="preserve">W4</x:t>
        </x:is>
      </x:c>
      <x:c r="AA15" s="19" t="inlineStr">
        <x:is>
          <x:t xml:space="preserve">Medium</x:t>
        </x:is>
      </x:c>
      <x:c r="AB15" s="6" t="inlineStr">
        <x:is>
          <x:t xml:space="preserve">کارشناس مدیا</x:t>
        </x:is>
      </x:c>
      <x:c r="AC15" s="6" t="inlineStr">
        <x:is>
          <x:t xml:space="preserve">—</x:t>
        </x:is>
      </x:c>
      <x:c r="AD15" s="30" t="str">
        <x:v>KPI-14</x:v>
      </x:c>
      <x:c r="AE15" s="30" t="str">
        <x:v>Proposed</x:v>
      </x:c>
    </x:row>
    <x:row r="16">
      <x:c r="A16" s="17" t="inlineStr">
        <x:is>
          <x:t xml:space="preserve">KPI-15</x:t>
        </x:is>
      </x:c>
      <x:c r="B16" s="4" t="inlineStr">
        <x:is>
          <x:t xml:space="preserve">Total Leads</x:t>
        </x:is>
      </x:c>
      <x:c r="C16" s="4" t="inlineStr">
        <x:is>
          <x:t xml:space="preserve">تعداد سرنخ‌های خام</x:t>
        </x:is>
      </x:c>
      <x:c r="D16" s="4" t="inlineStr">
        <x:is>
          <x:t xml:space="preserve">Leads</x:t>
        </x:is>
      </x:c>
      <x:c r="E16" s="4" t="inlineStr">
        <x:is>
          <x:t xml:space="preserve">لید و پایپ‌لاین B2B</x:t>
        </x:is>
      </x:c>
      <x:c r="F16" s="4" t="inlineStr">
        <x:is>
          <x:t xml:space="preserve">کل فرم‌های استعلام/کاتالوگ/لید ادز تکمیل‌شده</x:t>
        </x:is>
      </x:c>
      <x:c r="G16" s="4" t="inlineStr">
        <x:is>
          <x:t xml:space="preserve">SUM(Lead Form Submissions + Inbound Inquiries)</x:t>
        </x:is>
      </x:c>
      <x:c r="H16" s="4" t="inlineStr">
        <x:is>
          <x:t xml:space="preserve">—</x:t>
        </x:is>
      </x:c>
      <x:c r="I16" s="4" t="inlineStr">
        <x:is>
          <x:t xml:space="preserve">—</x:t>
        </x:is>
      </x:c>
      <x:c r="J16" s="4" t="inlineStr">
        <x:is>
          <x:t xml:space="preserve">عدد صحیح</x:t>
        </x:is>
      </x:c>
      <x:c r="K16" s="4" t="inlineStr">
        <x:is>
          <x:t xml:space="preserve">Volume Mid-Funnel</x:t>
        </x:is>
      </x:c>
      <x:c r="L16" s="4" t="inlineStr">
        <x:is>
          <x:t xml:space="preserve">Campaign/AdSet/LandingPage/Channel</x:t>
        </x:is>
      </x:c>
      <x:c r="M16" s="4" t="inlineStr">
        <x:is>
          <x:t xml:space="preserve">Meta Forms, Web CRM, Webhook</x:t>
        </x:is>
      </x:c>
      <x:c r="N16" s="4" t="inlineStr">
        <x:is>
          <x:t xml:space="preserve">EVT-16</x:t>
        </x:is>
      </x:c>
      <x:c r="O16" s="4" t="inlineStr">
        <x:is>
          <x:t xml:space="preserve">MET-11</x:t>
        </x:is>
      </x:c>
      <x:c r="P16" s="4" t="inlineStr">
        <x:is>
          <x:t xml:space="preserve">DIM-01,04,15</x:t>
        </x:is>
      </x:c>
      <x:c r="Q16" s="4" t="inlineStr">
        <x:is>
          <x:t xml:space="preserve">روزانه/هفتگی</x:t>
        </x:is>
      </x:c>
      <x:c r="R16" s="4" t="inlineStr">
        <x:is>
          <x:t xml:space="preserve">جذابیت پیشنهاد تجاری/ترافیک هدفمند</x:t>
        </x:is>
      </x:c>
      <x:c r="S16" s="4" t="inlineStr">
        <x:is>
          <x:t xml:space="preserve">پیچیدگی فرم/افت ترافیک</x:t>
        </x:is>
      </x:c>
      <x:c r="T16" s="4" t="inlineStr">
        <x:is>
          <x:t xml:space="preserve">KPI-16,KPI-28</x:t>
        </x:is>
      </x:c>
      <x:c r="U16" s="4" t="inlineStr">
        <x:is>
          <x:t xml:space="preserve">افتخار به لید خام بدون بررسی اسپم</x:t>
        </x:is>
      </x:c>
      <x:c r="V16" s="4" t="inlineStr">
        <x:is>
          <x:t xml:space="preserve">اطلاعاتی از توان مالی نمی‌دهد</x:t>
        </x:is>
      </x:c>
      <x:c r="W16" s="4" t="inlineStr">
        <x:is>
          <x:t xml:space="preserve">حداقل ۲۵۰ لید ماهانه تجهیزات سرمایه‌ای</x:t>
        </x:is>
      </x:c>
      <x:c r="X16" s="4" t="inlineStr">
        <x:is>
          <x:t xml:space="preserve">فرض اولیه — نیازمند اعتبارسنجی با داده واقعی Titana</x:t>
        </x:is>
      </x:c>
      <x:c r="Y16" s="4" t="inlineStr">
        <x:is>
          <x:t xml:space="preserve">اعتبارسنجی روزانه شماره و کد نظام پزشکی</x:t>
        </x:is>
      </x:c>
      <x:c r="Z16" s="17" t="inlineStr">
        <x:is>
          <x:t xml:space="preserve">W4</x:t>
        </x:is>
      </x:c>
      <x:c r="AA16" s="17" t="inlineStr">
        <x:is>
          <x:t xml:space="preserve">Critical</x:t>
        </x:is>
      </x:c>
      <x:c r="AB16" s="4" t="inlineStr">
        <x:is>
          <x:t xml:space="preserve">کارشناس لیدجنریشن</x:t>
        </x:is>
      </x:c>
      <x:c r="AC16" s="4" t="inlineStr">
        <x:is>
          <x:t xml:space="preserve">—</x:t>
        </x:is>
      </x:c>
      <x:c r="AD16" s="30" t="str">
        <x:v>KPI-15</x:v>
      </x:c>
      <x:c r="AE16" s="30" t="str">
        <x:v>Proposed</x:v>
      </x:c>
    </x:row>
    <x:row r="17">
      <x:c r="A17" s="19" t="inlineStr">
        <x:is>
          <x:t xml:space="preserve">KPI-16</x:t>
        </x:is>
      </x:c>
      <x:c r="B17" s="6" t="inlineStr">
        <x:is>
          <x:t xml:space="preserve">Cost Per Lead</x:t>
        </x:is>
      </x:c>
      <x:c r="C17" s="6" t="inlineStr">
        <x:is>
          <x:t xml:space="preserve">هزینه هر سرنخ خام</x:t>
        </x:is>
      </x:c>
      <x:c r="D17" s="6" t="inlineStr">
        <x:is>
          <x:t xml:space="preserve">CPL</x:t>
        </x:is>
      </x:c>
      <x:c r="E17" s="6" t="inlineStr">
        <x:is>
          <x:t xml:space="preserve">لید و پایپ‌لاین B2B</x:t>
        </x:is>
      </x:c>
      <x:c r="F17" s="6" t="inlineStr">
        <x:is>
          <x:t xml:space="preserve">میانگین هزینه تولید یک رکورد تماس</x:t>
        </x:is>
      </x:c>
      <x:c r="G17" s="6" t="inlineStr">
        <x:is>
          <x:t xml:space="preserve">Spend on Lead Campaigns / Generated Leads</x:t>
        </x:is>
      </x:c>
      <x:c r="H17" s="6" t="inlineStr">
        <x:is>
          <x:t xml:space="preserve">Lead Spend</x:t>
        </x:is>
      </x:c>
      <x:c r="I17" s="6" t="inlineStr">
        <x:is>
          <x:t xml:space="preserve">Raw Leads</x:t>
        </x:is>
      </x:c>
      <x:c r="J17" s="6" t="inlineStr">
        <x:is>
          <x:t xml:space="preserve">ریال</x:t>
        </x:is>
      </x:c>
      <x:c r="K17" s="6" t="inlineStr">
        <x:is>
          <x:t xml:space="preserve">Cost Mid-Acquisition</x:t>
        </x:is>
      </x:c>
      <x:c r="L17" s="6" t="inlineStr">
        <x:is>
          <x:t xml:space="preserve">AdSet/Campaign/Channel</x:t>
        </x:is>
      </x:c>
      <x:c r="M17" s="6" t="inlineStr">
        <x:is>
          <x:t xml:space="preserve">پلتفرم‌ها + CRM</x:t>
        </x:is>
      </x:c>
      <x:c r="N17" s="6" t="inlineStr">
        <x:is>
          <x:t xml:space="preserve">EVT-16</x:t>
        </x:is>
      </x:c>
      <x:c r="O17" s="6" t="inlineStr">
        <x:is>
          <x:t xml:space="preserve">MET-03/MET-11</x:t>
        </x:is>
      </x:c>
      <x:c r="P17" s="6" t="inlineStr">
        <x:is>
          <x:t xml:space="preserve">DIM-01,04,15</x:t>
        </x:is>
      </x:c>
      <x:c r="Q17" s="6" t="inlineStr">
        <x:is>
          <x:t xml:space="preserve">هفتگی/ماهانه</x:t>
        </x:is>
      </x:c>
      <x:c r="R17" s="6" t="inlineStr">
        <x:is>
          <x:t xml:space="preserve">خستگی آفر/مقاومت در ارائه اطلاعات</x:t>
        </x:is>
      </x:c>
      <x:c r="S17" s="6" t="inlineStr">
        <x:is>
          <x:t xml:space="preserve">ساده‌سازی فرم/پیشنهاد جذاب</x:t>
        </x:is>
      </x:c>
      <x:c r="T17" s="6" t="inlineStr">
        <x:is>
          <x:t xml:space="preserve">KPI-19,KPI-20</x:t>
        </x:is>
      </x:c>
      <x:c r="U17" s="6" t="inlineStr">
        <x:is>
          <x:t xml:space="preserve">حذف فیلدهای ضروری (کد نظام) → داده بی‌ارزش</x:t>
        </x:is>
      </x:c>
      <x:c r="V17" s="6" t="inlineStr">
        <x:is>
          <x:t xml:space="preserve">لید ارزان فرم فیسبوک اغلب پاسخ تلفنی پایین</x:t>
        </x:is>
      </x:c>
      <x:c r="W17" s="6" t="inlineStr">
        <x:is>
          <x:t xml:space="preserve">&lt; 1,200,000 ریال (لید وب‌سایت)</x:t>
        </x:is>
      </x:c>
      <x:c r="X17" s="6" t="inlineStr">
        <x:is>
          <x:t xml:space="preserve">فرض اولیه — نیازمند اعتبارسنجی با داده واقعی Titana</x:t>
        </x:is>
      </x:c>
      <x:c r="Y17" s="6" t="inlineStr">
        <x:is>
          <x:t xml:space="preserve">بالای ۱.۸ میلیون تومان → بازطراحی فرم و قلاب</x:t>
        </x:is>
      </x:c>
      <x:c r="Z17" s="19" t="inlineStr">
        <x:is>
          <x:t xml:space="preserve">W4</x:t>
        </x:is>
      </x:c>
      <x:c r="AA17" s="19" t="inlineStr">
        <x:is>
          <x:t xml:space="preserve">Critical</x:t>
        </x:is>
      </x:c>
      <x:c r="AB17" s="6" t="inlineStr">
        <x:is>
          <x:t xml:space="preserve">کارشناس لیدجنریشن</x:t>
        </x:is>
      </x:c>
      <x:c r="AC17" s="6" t="inlineStr">
        <x:is>
          <x:t xml:space="preserve">—</x:t>
        </x:is>
      </x:c>
      <x:c r="AD17" s="30" t="str">
        <x:v>KPI-16</x:v>
      </x:c>
      <x:c r="AE17" s="30" t="str">
        <x:v>Proposed</x:v>
      </x:c>
    </x:row>
    <x:row r="18">
      <x:c r="A18" s="17" t="inlineStr">
        <x:is>
          <x:t xml:space="preserve">KPI-17</x:t>
        </x:is>
      </x:c>
      <x:c r="B18" s="4" t="inlineStr">
        <x:is>
          <x:t xml:space="preserve">Marketing Qualified Leads</x:t>
        </x:is>
      </x:c>
      <x:c r="C18" s="4" t="inlineStr">
        <x:is>
          <x:t xml:space="preserve">لیدهای واجد شرایط بازاریابی</x:t>
        </x:is>
      </x:c>
      <x:c r="D18" s="4" t="inlineStr">
        <x:is>
          <x:t xml:space="preserve">MQL</x:t>
        </x:is>
      </x:c>
      <x:c r="E18" s="4" t="inlineStr">
        <x:is>
          <x:t xml:space="preserve">لید و پایپ‌لاین B2B</x:t>
        </x:is>
      </x:c>
      <x:c r="F18" s="4" t="inlineStr">
        <x:is>
          <x:t xml:space="preserve">لیدهایی با کد نظام معتبر، مطب فعال، شماره صحیح</x:t>
        </x:is>
      </x:c>
      <x:c r="G18" s="4" t="inlineStr">
        <x:is>
          <x:t xml:space="preserve">SUM(Leads Meeting Criteria)</x:t>
        </x:is>
      </x:c>
      <x:c r="H18" s="4" t="inlineStr">
        <x:is>
          <x:t xml:space="preserve">—</x:t>
        </x:is>
      </x:c>
      <x:c r="I18" s="4" t="inlineStr">
        <x:is>
          <x:t xml:space="preserve">—</x:t>
        </x:is>
      </x:c>
      <x:c r="J18" s="4" t="inlineStr">
        <x:is>
          <x:t xml:space="preserve">عدد صحیح</x:t>
        </x:is>
      </x:c>
      <x:c r="K18" s="4" t="inlineStr">
        <x:is>
          <x:t xml:space="preserve">Volume Quality</x:t>
        </x:is>
      </x:c>
      <x:c r="L18" s="4" t="inlineStr">
        <x:is>
          <x:t xml:space="preserve">Campaign/Source/Channel</x:t>
        </x:is>
      </x:c>
      <x:c r="M18" s="4" t="inlineStr">
        <x:is>
          <x:t xml:space="preserve">CRM + پنل غنی‌سازی</x:t>
        </x:is>
      </x:c>
      <x:c r="N18" s="4" t="inlineStr">
        <x:is>
          <x:t xml:space="preserve">EVT-16</x:t>
        </x:is>
      </x:c>
      <x:c r="O18" s="4" t="inlineStr">
        <x:is>
          <x:t xml:space="preserve">MET-12</x:t>
        </x:is>
      </x:c>
      <x:c r="P18" s="4" t="inlineStr">
        <x:is>
          <x:t xml:space="preserve">DIM-01,02,19</x:t>
        </x:is>
      </x:c>
      <x:c r="Q18" s="4" t="inlineStr">
        <x:is>
          <x:t xml:space="preserve">هفتگی/ماهانه</x:t>
        </x:is>
      </x:c>
      <x:c r="R18" s="4" t="inlineStr">
        <x:is>
          <x:t xml:space="preserve">هدایت به جامعه واقعی درمانگران</x:t>
        </x:is>
      </x:c>
      <x:c r="S18" s="4" t="inlineStr">
        <x:is>
          <x:t xml:space="preserve">هدررفت روی عموم مردم/فیلتر اشتباه</x:t>
        </x:is>
      </x:c>
      <x:c r="T18" s="4" t="inlineStr">
        <x:is>
          <x:t xml:space="preserve">KPI-28,KPI-29</x:t>
        </x:is>
      </x:c>
      <x:c r="U18" s="4" t="inlineStr">
        <x:is>
          <x:t xml:space="preserve">معیار بیش‌ازحد سهل‌گیر/سخت‌گیر</x:t>
        </x:is>
      </x:c>
      <x:c r="V18" s="4" t="inlineStr">
        <x:is>
          <x:t xml:space="preserve">صلاحیت پرسوناست نه بودجه لحظه‌ای</x:t>
        </x:is>
      </x:c>
      <x:c r="W18" s="4" t="inlineStr">
        <x:is>
          <x:t xml:space="preserve">تبدیل ۶۵٪ لیدهای وب به MQL</x:t>
        </x:is>
      </x:c>
      <x:c r="X18" s="4" t="inlineStr">
        <x:is>
          <x:t xml:space="preserve">فرض اولیه — نیازمند اعتبارسنجی با داده واقعی Titana</x:t>
        </x:is>
      </x:c>
      <x:c r="Y18" s="4" t="inlineStr">
        <x:is>
          <x:t xml:space="preserve">الزامی‌کردن کد نظام/نام کلینیک در فرم</x:t>
        </x:is>
      </x:c>
      <x:c r="Z18" s="17" t="inlineStr">
        <x:is>
          <x:t xml:space="preserve">W4</x:t>
        </x:is>
      </x:c>
      <x:c r="AA18" s="17" t="inlineStr">
        <x:is>
          <x:t xml:space="preserve">Critical</x:t>
        </x:is>
      </x:c>
      <x:c r="AB18" s="4" t="inlineStr">
        <x:is>
          <x:t xml:space="preserve">مدیر CRM</x:t>
        </x:is>
      </x:c>
      <x:c r="AC18" s="4" t="inlineStr">
        <x:is>
          <x:t xml:space="preserve">—</x:t>
        </x:is>
      </x:c>
      <x:c r="AD18" s="30" t="str">
        <x:v>KPI-17</x:v>
      </x:c>
      <x:c r="AE18" s="30" t="str">
        <x:v>Proposed</x:v>
      </x:c>
    </x:row>
    <x:row r="19">
      <x:c r="A19" s="19" t="inlineStr">
        <x:is>
          <x:t xml:space="preserve">KPI-18</x:t>
        </x:is>
      </x:c>
      <x:c r="B19" s="6" t="inlineStr">
        <x:is>
          <x:t xml:space="preserve">Sales Qualified Leads</x:t>
        </x:is>
      </x:c>
      <x:c r="C19" s="6" t="inlineStr">
        <x:is>
          <x:t xml:space="preserve">لیدهای واجد شرایط فروش</x:t>
        </x:is>
      </x:c>
      <x:c r="D19" s="6" t="inlineStr">
        <x:is>
          <x:t xml:space="preserve">SQL</x:t>
        </x:is>
      </x:c>
      <x:c r="E19" s="6" t="inlineStr">
        <x:is>
          <x:t xml:space="preserve">لید و پایپ‌لاین B2B</x:t>
        </x:is>
      </x:c>
      <x:c r="F19" s="6" t="inlineStr">
        <x:is>
          <x:t xml:space="preserve">دندان‌پزشک با قصد جدی، بازه زمانی و بودجه احراز‌شده</x:t>
        </x:is>
      </x:c>
      <x:c r="G19" s="6" t="inlineStr">
        <x:is>
          <x:t xml:space="preserve">SUM(MQLs Validated by Sales)</x:t>
        </x:is>
      </x:c>
      <x:c r="H19" s="6" t="inlineStr">
        <x:is>
          <x:t xml:space="preserve">—</x:t>
        </x:is>
      </x:c>
      <x:c r="I19" s="6" t="inlineStr">
        <x:is>
          <x:t xml:space="preserve">—</x:t>
        </x:is>
      </x:c>
      <x:c r="J19" s="6" t="inlineStr">
        <x:is>
          <x:t xml:space="preserve">عدد صحیح</x:t>
        </x:is>
      </x:c>
      <x:c r="K19" s="6" t="inlineStr">
        <x:is>
          <x:t xml:space="preserve">B2B Sales Quality</x:t>
        </x:is>
      </x:c>
      <x:c r="L19" s="6" t="inlineStr">
        <x:is>
          <x:t xml:space="preserve">SalesRep/Campaign/Category</x:t>
        </x:is>
      </x:c>
      <x:c r="M19" s="6" t="inlineStr">
        <x:is>
          <x:t xml:space="preserve">CRM (Deals/Qualified)</x:t>
        </x:is>
      </x:c>
      <x:c r="N19" s="6" t="inlineStr">
        <x:is>
          <x:t xml:space="preserve">EVT-16,EVT-17</x:t>
        </x:is>
      </x:c>
      <x:c r="O19" s="6" t="inlineStr">
        <x:is>
          <x:t xml:space="preserve">MET-13</x:t>
        </x:is>
      </x:c>
      <x:c r="P19" s="6" t="inlineStr">
        <x:is>
          <x:t xml:space="preserve">DIM-04,17,25</x:t>
        </x:is>
      </x:c>
      <x:c r="Q19" s="6" t="inlineStr">
        <x:is>
          <x:t xml:space="preserve">هفتگی/ماهانه</x:t>
        </x:is>
      </x:c>
      <x:c r="R19" s="6" t="inlineStr">
        <x:is>
          <x:t xml:space="preserve">همسویی تبلیغ با نیاز واقعی</x:t>
        </x:is>
      </x:c>
      <x:c r="S19" s="6" t="inlineStr">
        <x:is>
          <x:t xml:space="preserve">قیمت‌ها/زمان‌بندی تماس/عملکرد ضعیف</x:t>
        </x:is>
      </x:c>
      <x:c r="T19" s="6" t="inlineStr">
        <x:is>
          <x:t xml:space="preserve">KPI-19,KPI-30</x:t>
        </x:is>
      </x:c>
      <x:c r="U19" s="6" t="inlineStr">
        <x:is>
          <x:t xml:space="preserve">ثبت لید کنجکاو به‌عنوان SQL برای پر تارگت</x:t>
        </x:is>
      </x:c>
      <x:c r="V19" s="6" t="inlineStr">
        <x:is>
          <x:t xml:space="preserve">احراز SQL تا ۲ هفته (Lag)</x:t>
        </x:is>
      </x:c>
      <x:c r="W19" s="6" t="inlineStr">
        <x:is>
          <x:t xml:space="preserve">تبدیل ۳۵٪ MQL به SQL</x:t>
        </x:is>
      </x:c>
      <x:c r="X19" s="6" t="inlineStr">
        <x:is>
          <x:t xml:space="preserve">فرض اولیه — نیازمند اعتبارسنجی با داده واقعی Titana</x:t>
        </x:is>
      </x:c>
      <x:c r="Y19" s="6" t="inlineStr">
        <x:is>
          <x:t xml:space="preserve">بررسی دلایل رد صلاحیت + اسکریپت تلفنی جدید</x:t>
        </x:is>
      </x:c>
      <x:c r="Z19" s="19" t="inlineStr">
        <x:is>
          <x:t xml:space="preserve">W4</x:t>
        </x:is>
      </x:c>
      <x:c r="AA19" s="19" t="inlineStr">
        <x:is>
          <x:t xml:space="preserve">Critical</x:t>
        </x:is>
      </x:c>
      <x:c r="AB19" s="6" t="inlineStr">
        <x:is>
          <x:t xml:space="preserve">مدیر فروش B2B</x:t>
        </x:is>
      </x:c>
      <x:c r="AC19" s="6" t="inlineStr">
        <x:is>
          <x:t xml:space="preserve">—</x:t>
        </x:is>
      </x:c>
      <x:c r="AD19" s="30" t="str">
        <x:v>KPI-18</x:v>
      </x:c>
      <x:c r="AE19" s="30" t="str">
        <x:v>Proposed</x:v>
      </x:c>
    </x:row>
    <x:row r="20">
      <x:c r="A20" s="17" t="inlineStr">
        <x:is>
          <x:t xml:space="preserve">KPI-19</x:t>
        </x:is>
      </x:c>
      <x:c r="B20" s="4" t="inlineStr">
        <x:is>
          <x:t xml:space="preserve">Cost per Qualified Lead</x:t>
        </x:is>
      </x:c>
      <x:c r="C20" s="4" t="inlineStr">
        <x:is>
          <x:t xml:space="preserve">هزینه هر لید واجد شرایط</x:t>
        </x:is>
      </x:c>
      <x:c r="D20" s="4" t="inlineStr">
        <x:is>
          <x:t xml:space="preserve">CPQL</x:t>
        </x:is>
      </x:c>
      <x:c r="E20" s="4" t="inlineStr">
        <x:is>
          <x:t xml:space="preserve">لید و پایپ‌لاین B2B</x:t>
        </x:is>
      </x:c>
      <x:c r="F20" s="4" t="inlineStr">
        <x:is>
          <x:t xml:space="preserve">هزینه رساندن یک دندان‌پزشک به SQL</x:t>
        </x:is>
      </x:c>
      <x:c r="G20" s="4" t="inlineStr">
        <x:is>
          <x:t xml:space="preserve">Total Acquisition Spend / Validated SQLs</x:t>
        </x:is>
      </x:c>
      <x:c r="H20" s="4" t="inlineStr">
        <x:is>
          <x:t xml:space="preserve">Acquisition Spend</x:t>
        </x:is>
      </x:c>
      <x:c r="I20" s="4" t="inlineStr">
        <x:is>
          <x:t xml:space="preserve">SQLs</x:t>
        </x:is>
      </x:c>
      <x:c r="J20" s="4" t="inlineStr">
        <x:is>
          <x:t xml:space="preserve">ریال/ارز</x:t>
        </x:is>
      </x:c>
      <x:c r="K20" s="4" t="inlineStr">
        <x:is>
          <x:t xml:space="preserve">Cost Quality Opt</x:t>
        </x:is>
      </x:c>
      <x:c r="L20" s="4" t="inlineStr">
        <x:is>
          <x:t xml:space="preserve">Campaign/AdGroup/Channel</x:t>
        </x:is>
      </x:c>
      <x:c r="M20" s="4" t="inlineStr">
        <x:is>
          <x:t xml:space="preserve">DWH (CRM+Ads)</x:t>
        </x:is>
      </x:c>
      <x:c r="N20" s="4" t="inlineStr">
        <x:is>
          <x:t xml:space="preserve">EVT-16,EVT-17</x:t>
        </x:is>
      </x:c>
      <x:c r="O20" s="4" t="inlineStr">
        <x:is>
          <x:t xml:space="preserve">MET-03/MET-13</x:t>
        </x:is>
      </x:c>
      <x:c r="P20" s="4" t="inlineStr">
        <x:is>
          <x:t xml:space="preserve">DIM-01,04,12</x:t>
        </x:is>
      </x:c>
      <x:c r="Q20" s="4" t="inlineStr">
        <x:is>
          <x:t xml:space="preserve">ماهانه/فصلی</x:t>
        </x:is>
      </x:c>
      <x:c r="R20" s="4" t="inlineStr">
        <x:is>
          <x:t xml:space="preserve">رقابت در کلمات High Intent/افت کیفیت</x:t>
        </x:is>
      </x:c>
      <x:c r="S20" s="4" t="inlineStr">
        <x:is>
          <x:t xml:space="preserve">پالایش مخاطبان/بیدینگ تبدیل عمیق</x:t>
        </x:is>
      </x:c>
      <x:c r="T20" s="4" t="inlineStr">
        <x:is>
          <x:t xml:space="preserve">KPI-16,KPI-20</x:t>
        </x:is>
      </x:c>
      <x:c r="U20" s="4" t="inlineStr">
        <x:is>
          <x:t xml:space="preserve">اکتفا به CPL و فریب لید ارزان غیردندان‌پزشک</x:t>
        </x:is>
      </x:c>
      <x:c r="V20" s="4" t="inlineStr">
        <x:is>
          <x:t xml:space="preserve">نوسان شدید در حجم کم</x:t>
        </x:is>
      </x:c>
      <x:c r="W20" s="4" t="inlineStr">
        <x:is>
          <x:t xml:space="preserve">&lt; 3,500,000 ریال (SQL واقعی)</x:t>
        </x:is>
      </x:c>
      <x:c r="X20" s="4" t="inlineStr">
        <x:is>
          <x:t xml:space="preserve">فرض اولیه — نیازمند اعتبارسنجی با داده واقعی Titana</x:t>
        </x:is>
      </x:c>
      <x:c r="Y20" s="4" t="inlineStr">
        <x:is>
          <x:t xml:space="preserve">انحراف &gt;۴۰٪ → خاموش‌کردن Broad + شیفت به سرچ</x:t>
        </x:is>
      </x:c>
      <x:c r="Z20" s="17" t="inlineStr">
        <x:is>
          <x:t xml:space="preserve">W4</x:t>
        </x:is>
      </x:c>
      <x:c r="AA20" s="17" t="inlineStr">
        <x:is>
          <x:t xml:space="preserve">Critical</x:t>
        </x:is>
      </x:c>
      <x:c r="AB20" s="4" t="inlineStr">
        <x:is>
          <x:t xml:space="preserve">لید پرفورمنس</x:t>
        </x:is>
      </x:c>
      <x:c r="AC20" s="4" t="inlineStr">
        <x:is>
          <x:t xml:space="preserve">—</x:t>
        </x:is>
      </x:c>
      <x:c r="AD20" s="30" t="str">
        <x:v>KPI-19</x:v>
      </x:c>
      <x:c r="AE20" s="30" t="str">
        <x:v>Proposed</x:v>
      </x:c>
    </x:row>
    <x:row r="21">
      <x:c r="A21" s="19" t="inlineStr">
        <x:is>
          <x:t xml:space="preserve">KPI-20</x:t>
        </x:is>
      </x:c>
      <x:c r="B21" s="6" t="inlineStr">
        <x:is>
          <x:t xml:space="preserve">Customer Acquisition Cost</x:t>
        </x:is>
      </x:c>
      <x:c r="C21" s="6" t="inlineStr">
        <x:is>
          <x:t xml:space="preserve">هزینه جذب مشتری</x:t>
        </x:is>
      </x:c>
      <x:c r="D21" s="6" t="inlineStr">
        <x:is>
          <x:t xml:space="preserve">CAC</x:t>
        </x:is>
      </x:c>
      <x:c r="E21" s="6" t="inlineStr">
        <x:is>
          <x:t xml:space="preserve">لید و پایپ‌لاین B2B</x:t>
        </x:is>
      </x:c>
      <x:c r="F21" s="6" t="inlineStr">
        <x:is>
          <x:t xml:space="preserve">تمام هزینه‌های جذب به ازای هر مشتری جدید پرداخت‌کننده</x:t>
        </x:is>
      </x:c>
      <x:c r="G21" s="6" t="inlineStr">
        <x:is>
          <x:t xml:space="preserve">Total Paid Marketing Spend / New Paying Customers</x:t>
        </x:is>
      </x:c>
      <x:c r="H21" s="6" t="inlineStr">
        <x:is>
          <x:t xml:space="preserve">Total Paid Spend</x:t>
        </x:is>
      </x:c>
      <x:c r="I21" s="6" t="inlineStr">
        <x:is>
          <x:t xml:space="preserve">New Paying Customers</x:t>
        </x:is>
      </x:c>
      <x:c r="J21" s="6" t="inlineStr">
        <x:is>
          <x:t xml:space="preserve">ریال/ارز</x:t>
        </x:is>
      </x:c>
      <x:c r="K21" s="6" t="inlineStr">
        <x:is>
          <x:t xml:space="preserve">Unit Economics</x:t>
        </x:is>
      </x:c>
      <x:c r="L21" s="6" t="inlineStr">
        <x:is>
          <x:t xml:space="preserve">Blended/Channel/Campaign</x:t>
        </x:is>
      </x:c>
      <x:c r="M21" s="6" t="inlineStr">
        <x:is>
          <x:t xml:space="preserve">DWH (مالی+مشتری)</x:t>
        </x:is>
      </x:c>
      <x:c r="N21" s="6" t="inlineStr">
        <x:is>
          <x:t xml:space="preserve">EVT-13,EVT-24</x:t>
        </x:is>
      </x:c>
      <x:c r="O21" s="6" t="inlineStr">
        <x:is>
          <x:t xml:space="preserve">MET-03/MET-31</x:t>
        </x:is>
      </x:c>
      <x:c r="P21" s="6" t="inlineStr">
        <x:is>
          <x:t xml:space="preserve">DIM-01,17</x:t>
        </x:is>
      </x:c>
      <x:c r="Q21" s="6" t="inlineStr">
        <x:is>
          <x:t xml:space="preserve">ماهانه/فصلی/سالانه</x:t>
        </x:is>
      </x:c>
      <x:c r="R21" s="6" t="inlineStr">
        <x:is>
          <x:t xml:space="preserve">افت راندمان/افزایش هزینه/طولانی‌شدن تصمیم</x:t>
        </x:is>
      </x:c>
      <x:c r="S21" s="6" t="inlineStr">
        <x:is>
          <x:t xml:space="preserve">مقیاس‌پذیری سالم/رشد تبدیل/دهان‌به‌دهان</x:t>
        </x:is>
      </x:c>
      <x:c r="T21" s="6" t="inlineStr">
        <x:is>
          <x:t xml:space="preserve">KPI-45,KPI-52,KPI-57</x:t>
        </x:is>
      </x:c>
      <x:c r="U21" s="6" t="inlineStr">
        <x:is>
          <x:t xml:space="preserve">شمارش مشتریان بازگشتی در مخرج (کوچک‌نمایی)</x:t>
        </x:is>
      </x:c>
      <x:c r="V21" s="6" t="inlineStr">
        <x:is>
          <x:t xml:space="preserve">بدون حقوق تیم/آژانس = CAC خالص مدیا</x:t>
        </x:is>
      </x:c>
      <x:c r="W21" s="6" t="inlineStr">
        <x:is>
          <x:t xml:space="preserve">مواد &lt; 8,000,000 | تجهیزات &lt; 45,000,000 ریال</x:t>
        </x:is>
      </x:c>
      <x:c r="X21" s="6" t="inlineStr">
        <x:is>
          <x:t xml:space="preserve">فرض اولیه — نیازمند اعتبارسنجی با داده واقعی Titana</x:t>
        </x:is>
      </x:c>
      <x:c r="Y21" s="6" t="inlineStr">
        <x:is>
          <x:t xml:space="preserve">CAC &gt; ۳۵٪ سود ناخالص سال اول → بازنگری سقف قیمت</x:t>
        </x:is>
      </x:c>
      <x:c r="Z21" s="19" t="inlineStr">
        <x:is>
          <x:t xml:space="preserve">W4</x:t>
        </x:is>
      </x:c>
      <x:c r="AA21" s="19" t="inlineStr">
        <x:is>
          <x:t xml:space="preserve">Critical</x:t>
        </x:is>
      </x:c>
      <x:c r="AB21" s="6" t="inlineStr">
        <x:is>
          <x:t xml:space="preserve">لید پرفورمنس</x:t>
        </x:is>
      </x:c>
      <x:c r="AC21" s="6" t="inlineStr">
        <x:is>
          <x:t xml:space="preserve">—</x:t>
        </x:is>
      </x:c>
      <x:c r="AD21" s="30" t="str">
        <x:v>KPI-20</x:v>
      </x:c>
      <x:c r="AE21" s="30" t="str">
        <x:v>Proposed</x:v>
      </x:c>
    </x:row>
    <x:row r="22">
      <x:c r="A22" s="17" t="inlineStr">
        <x:is>
          <x:t xml:space="preserve">KPI-21</x:t>
        </x:is>
      </x:c>
      <x:c r="B22" s="4" t="inlineStr">
        <x:is>
          <x:t xml:space="preserve">Landing Page View Rate</x:t>
        </x:is>
      </x:c>
      <x:c r="C22" s="4" t="inlineStr">
        <x:is>
          <x:t xml:space="preserve">نرخ موفقیت لود لندینگ</x:t>
        </x:is>
      </x:c>
      <x:c r="D22" s="4" t="inlineStr">
        <x:is>
          <x:t xml:space="preserve">LPVR</x:t>
        </x:is>
      </x:c>
      <x:c r="E22" s="4" t="inlineStr">
        <x:is>
          <x:t xml:space="preserve">سایت و قیف CRO</x:t>
        </x:is>
      </x:c>
      <x:c r="F22" s="4" t="inlineStr">
        <x:is>
          <x:t xml:space="preserve">درصد کلیک‌های منجر به بارگذاری کامل صفحه</x:t>
        </x:is>
      </x:c>
      <x:c r="G22" s="4" t="inlineStr">
        <x:is>
          <x:t xml:space="preserve">(Landing Page Views / Link Clicks) × 100</x:t>
        </x:is>
      </x:c>
      <x:c r="H22" s="4" t="inlineStr">
        <x:is>
          <x:t xml:space="preserve">LP Views</x:t>
        </x:is>
      </x:c>
      <x:c r="I22" s="4" t="inlineStr">
        <x:is>
          <x:t xml:space="preserve">Link Clicks</x:t>
        </x:is>
      </x:c>
      <x:c r="J22" s="4" t="inlineStr">
        <x:is>
          <x:t xml:space="preserve">%</x:t>
        </x:is>
      </x:c>
      <x:c r="K22" s="4" t="inlineStr">
        <x:is>
          <x:t xml:space="preserve">Technical Health</x:t>
        </x:is>
      </x:c>
      <x:c r="L22" s="4" t="inlineStr">
        <x:is>
          <x:t xml:space="preserve">LandingURL/Campaign/Device</x:t>
        </x:is>
      </x:c>
      <x:c r="M22" s="4" t="inlineStr">
        <x:is>
          <x:t xml:space="preserve">GA4, Meta</x:t>
        </x:is>
      </x:c>
      <x:c r="N22" s="4" t="inlineStr">
        <x:is>
          <x:t xml:space="preserve">EVT-01</x:t>
        </x:is>
      </x:c>
      <x:c r="O22" s="4" t="inlineStr">
        <x:is>
          <x:t xml:space="preserve">MET-09/MET-04</x:t>
        </x:is>
      </x:c>
      <x:c r="P22" s="4" t="inlineStr">
        <x:is>
          <x:t xml:space="preserve">DIM-15,04,23</x:t>
        </x:is>
      </x:c>
      <x:c r="Q22" s="4" t="inlineStr">
        <x:is>
          <x:t xml:space="preserve">روزانه/ساعتی</x:t>
        </x:is>
      </x:c>
      <x:c r="R22" s="4" t="inlineStr">
        <x:is>
          <x:t xml:space="preserve">میزبانی سریع/اسکریپت سبک/UX روان</x:t>
        </x:is>
      </x:c>
      <x:c r="S22" s="4" t="inlineStr">
        <x:is>
          <x:t xml:space="preserve">کندی/بلاک CDN/تایم‌اوت</x:t>
        </x:is>
      </x:c>
      <x:c r="T22" s="4" t="inlineStr">
        <x:is>
          <x:t xml:space="preserve">KPI-10,KPI-05</x:t>
        </x:is>
      </x:c>
      <x:c r="U22" s="4" t="inlineStr">
        <x:is>
          <x:t xml:space="preserve">فرض ۱۰۰ کلیک = ۱۰ بازدید</x:t>
        </x:is>
      </x:c>
      <x:c r="V22" s="4" t="inlineStr">
        <x:is>
          <x:t xml:space="preserve">تا فایر تگ، صورت مجهول</x:t>
        </x:is>
      </x:c>
      <x:c r="W22" s="4" t="inlineStr">
        <x:is>
          <x:t xml:space="preserve">&gt; 85٪ در اینترنت پایدار ایران</x:t>
        </x:is>
      </x:c>
      <x:c r="X22" s="4" t="inlineStr">
        <x:is>
          <x:t xml:space="preserve">فرض اولیه — نیازمند اعتبارسنجی با داده واقعی Titana</x:t>
        </x:is>
      </x:c>
      <x:c r="Y22" s="4" t="inlineStr">
        <x:is>
          <x:t xml:space="preserve">زیر ۷۰٪ → بررسی CDN + فشرده‌سازی JS</x:t>
        </x:is>
      </x:c>
      <x:c r="Z22" s="17" t="inlineStr">
        <x:is>
          <x:t xml:space="preserve">W4</x:t>
        </x:is>
      </x:c>
      <x:c r="AA22" s="17" t="inlineStr">
        <x:is>
          <x:t xml:space="preserve">Critical</x:t>
        </x:is>
      </x:c>
      <x:c r="AB22" s="4" t="inlineStr">
        <x:is>
          <x:t xml:space="preserve">مهندس وب</x:t>
        </x:is>
      </x:c>
      <x:c r="AC22" s="4" t="inlineStr">
        <x:is>
          <x:t xml:space="preserve">—</x:t>
        </x:is>
      </x:c>
      <x:c r="AD22" s="30" t="str">
        <x:v>KPI-21</x:v>
      </x:c>
      <x:c r="AE22" s="30" t="str">
        <x:v>Proposed</x:v>
      </x:c>
    </x:row>
    <x:row r="23">
      <x:c r="A23" s="19" t="inlineStr">
        <x:is>
          <x:t xml:space="preserve">KPI-22</x:t>
        </x:is>
      </x:c>
      <x:c r="B23" s="6" t="inlineStr">
        <x:is>
          <x:t xml:space="preserve">GA4 Bounce Rate</x:t>
        </x:is>
      </x:c>
      <x:c r="C23" s="6" t="inlineStr">
        <x:is>
          <x:t xml:space="preserve">نرخ پرش معنادار</x:t>
        </x:is>
      </x:c>
      <x:c r="D23" s="6" t="inlineStr">
        <x:is>
          <x:t xml:space="preserve">Bounce%</x:t>
        </x:is>
      </x:c>
      <x:c r="E23" s="6" t="inlineStr">
        <x:is>
          <x:t xml:space="preserve">سایت و قیف CRO</x:t>
        </x:is>
      </x:c>
      <x:c r="F23" s="6" t="inlineStr">
        <x:is>
          <x:t xml:space="preserve">سشن‌های &lt;۱۰ ثانیه، &lt;۲ صفحه، بدون تبدیل</x:t>
        </x:is>
      </x:c>
      <x:c r="G23" s="6" t="inlineStr">
        <x:is>
          <x:t xml:space="preserve">(Non-Engaged Sessions / Total Sessions) × 100</x:t>
        </x:is>
      </x:c>
      <x:c r="H23" s="6" t="inlineStr">
        <x:is>
          <x:t xml:space="preserve">Non-Engaged Sessions</x:t>
        </x:is>
      </x:c>
      <x:c r="I23" s="6" t="inlineStr">
        <x:is>
          <x:t xml:space="preserve">Total Sessions</x:t>
        </x:is>
      </x:c>
      <x:c r="J23" s="6" t="inlineStr">
        <x:is>
          <x:t xml:space="preserve">%</x:t>
        </x:is>
      </x:c>
      <x:c r="K23" s="6" t="inlineStr">
        <x:is>
          <x:t xml:space="preserve">Content Fit</x:t>
        </x:is>
      </x:c>
      <x:c r="L23" s="6" t="inlineStr">
        <x:is>
          <x:t xml:space="preserve">LandingPage/Source/Campaign</x:t>
        </x:is>
      </x:c>
      <x:c r="M23" s="6" t="inlineStr">
        <x:is>
          <x:t xml:space="preserve">GA4</x:t>
        </x:is>
      </x:c>
      <x:c r="N23" s="6" t="inlineStr">
        <x:is>
          <x:t xml:space="preserve">EVT-01</x:t>
        </x:is>
      </x:c>
      <x:c r="O23" s="6" t="inlineStr">
        <x:is>
          <x:t xml:space="preserve">MET-08/MET-07</x:t>
        </x:is>
      </x:c>
      <x:c r="P23" s="6" t="inlineStr">
        <x:is>
          <x:t xml:space="preserve">DIM-02,03,15</x:t>
        </x:is>
      </x:c>
      <x:c r="Q23" s="6" t="inlineStr">
        <x:is>
          <x:t xml:space="preserve">هفتگی/ماهانه</x:t>
        </x:is>
      </x:c>
      <x:c r="R23" s="6" t="inlineStr">
        <x:is>
          <x:t xml:space="preserve">عدم تطابق محتوا/لایوت/قیمت</x:t>
        </x:is>
      </x:c>
      <x:c r="S23" s="6" t="inlineStr">
        <x:is>
          <x:t xml:space="preserve">محتوای گیرا/چیدمان استاندارد</x:t>
        </x:is>
      </x:c>
      <x:c r="T23" s="6" t="inlineStr">
        <x:is>
          <x:t xml:space="preserve">KPI-23,KPI-31</x:t>
        </x:is>
      </x:c>
      <x:c r="U23" s="6" t="inlineStr">
        <x:is>
          <x:t xml:space="preserve">فرمول سنتی UA در صفحات تک‌صفحه‌ای</x:t>
        </x:is>
      </x:c>
      <x:c r="V23" s="6" t="inlineStr">
        <x:is>
          <x:t xml:space="preserve">بانس کاذب در صفحات تماس سریع</x:t>
        </x:is>
      </x:c>
      <x:c r="W23" s="6" t="inlineStr">
        <x:is>
          <x:t xml:space="preserve">لندینگ ادز &lt; 45٪ | بلاگ &lt; 65٪</x:t>
        </x:is>
      </x:c>
      <x:c r="X23" s="6" t="inlineStr">
        <x:is>
          <x:t xml:space="preserve">فرض اولیه — نیازمند اعتبارسنجی با داده واقعی Titana</x:t>
        </x:is>
      </x:c>
      <x:c r="Y23" s="6" t="inlineStr">
        <x:is>
          <x:t xml:space="preserve">بازنگری هدر اول صفحه + دکمه تماس سریع</x:t>
        </x:is>
      </x:c>
      <x:c r="Z23" s="19" t="inlineStr">
        <x:is>
          <x:t xml:space="preserve">W4</x:t>
        </x:is>
      </x:c>
      <x:c r="AA23" s="19" t="inlineStr">
        <x:is>
          <x:t xml:space="preserve">High</x:t>
        </x:is>
      </x:c>
      <x:c r="AB23" s="6" t="inlineStr">
        <x:is>
          <x:t xml:space="preserve">متخصص CRO</x:t>
        </x:is>
      </x:c>
      <x:c r="AC23" s="6" t="inlineStr">
        <x:is>
          <x:t xml:space="preserve">—</x:t>
        </x:is>
      </x:c>
      <x:c r="AD23" s="30" t="str">
        <x:v>KPI-22</x:v>
      </x:c>
      <x:c r="AE23" s="30" t="str">
        <x:v>Proposed</x:v>
      </x:c>
    </x:row>
    <x:row r="24">
      <x:c r="A24" s="17" t="inlineStr">
        <x:is>
          <x:t xml:space="preserve">KPI-23</x:t>
        </x:is>
      </x:c>
      <x:c r="B24" s="4" t="inlineStr">
        <x:is>
          <x:t xml:space="preserve">Average Scroll Depth</x:t>
        </x:is>
      </x:c>
      <x:c r="C24" s="4" t="inlineStr">
        <x:is>
          <x:t xml:space="preserve">میانگین عمق اسکرول</x:t>
        </x:is>
      </x:c>
      <x:c r="D24" s="4" t="inlineStr">
        <x:is>
          <x:t xml:space="preserve">Scroll%</x:t>
        </x:is>
      </x:c>
      <x:c r="E24" s="4" t="inlineStr">
        <x:is>
          <x:t xml:space="preserve">سایت و قیف CRO</x:t>
        </x:is>
      </x:c>
      <x:c r="F24" s="4" t="inlineStr">
        <x:is>
          <x:t xml:space="preserve">میانگین پیمایش عمودی لندینگ</x:t>
        </x:is>
      </x:c>
      <x:c r="G24" s="4" t="inlineStr">
        <x:is>
          <x:t xml:space="preserve">AVG(Max Scroll Threshold per Session)</x:t>
        </x:is>
      </x:c>
      <x:c r="H24" s="4" t="inlineStr">
        <x:is>
          <x:t xml:space="preserve">Σ thresholds</x:t>
        </x:is>
      </x:c>
      <x:c r="I24" s="4" t="inlineStr">
        <x:is>
          <x:t xml:space="preserve">Total Sessions</x:t>
        </x:is>
      </x:c>
      <x:c r="J24" s="4" t="inlineStr">
        <x:is>
          <x:t xml:space="preserve">%</x:t>
        </x:is>
      </x:c>
      <x:c r="K24" s="4" t="inlineStr">
        <x:is>
          <x:t xml:space="preserve">Content Consumption</x:t>
        </x:is>
      </x:c>
      <x:c r="L24" s="4" t="inlineStr">
        <x:is>
          <x:t xml:space="preserve">LandingURL/Device</x:t>
        </x:is>
      </x:c>
      <x:c r="M24" s="4" t="inlineStr">
        <x:is>
          <x:t xml:space="preserve">GA4, PostHog</x:t>
        </x:is>
      </x:c>
      <x:c r="N24" s="4" t="inlineStr">
        <x:is>
          <x:t xml:space="preserve">EVT-01</x:t>
        </x:is>
      </x:c>
      <x:c r="O24" s="4" t="inlineStr">
        <x:is>
          <x:t xml:space="preserve">—</x:t>
        </x:is>
      </x:c>
      <x:c r="P24" s="4" t="inlineStr">
        <x:is>
          <x:t xml:space="preserve">DIM-15,23</x:t>
        </x:is>
      </x:c>
      <x:c r="Q24" s="4" t="inlineStr">
        <x:is>
          <x:t xml:space="preserve">هفتگی</x:t>
        </x:is>
      </x:c>
      <x:c r="R24" s="4" t="inlineStr">
        <x:is>
          <x:t xml:space="preserve">پیوستگی متن/کنجکاوی/مطالعه نظرات</x:t>
        </x:is>
      </x:c>
      <x:c r="S24" s="4" t="inlineStr">
        <x:is>
          <x:t xml:space="preserve">بی‌علاقگی/طولانی‌بی‌دلیل/پاپ‌آپ</x:t>
        </x:is>
      </x:c>
      <x:c r="T24" s="4" t="inlineStr">
        <x:is>
          <x:t xml:space="preserve">KPI-22</x:t>
        </x:is>
      </x:c>
      <x:c r="U24" s="4" t="inlineStr">
        <x:is>
          <x:t xml:space="preserve">قرار دادن CTA در عمق ۹۰٪ با اسکرول میانگین ۴۰٪</x:t>
        </x:is>
      </x:c>
      <x:c r="V24" s="4" t="inlineStr">
        <x:is>
          <x:t xml:space="preserve">اسکرول سریع بدون مطالعه</x:t>
        </x:is>
      </x:c>
      <x:c r="W24" s="4" t="inlineStr">
        <x:is>
          <x:t xml:space="preserve">میانگین &gt; 60٪ صفحات تجهیزات</x:t>
        </x:is>
      </x:c>
      <x:c r="X24" s="4" t="inlineStr">
        <x:is>
          <x:t xml:space="preserve">فرض اولیه — نیازمند اعتبارسنجی با داده واقعی Titana</x:t>
        </x:is>
      </x:c>
      <x:c r="Y24" s="4" t="inlineStr">
        <x:is>
          <x:t xml:space="preserve">جابجایی فرم به عمق ۳۰-۵۰٪ + Sticky CTA</x:t>
        </x:is>
      </x:c>
      <x:c r="Z24" s="17" t="inlineStr">
        <x:is>
          <x:t xml:space="preserve">W4</x:t>
        </x:is>
      </x:c>
      <x:c r="AA24" s="17" t="inlineStr">
        <x:is>
          <x:t xml:space="preserve">Medium</x:t>
        </x:is>
      </x:c>
      <x:c r="AB24" s="4" t="inlineStr">
        <x:is>
          <x:t xml:space="preserve">متخصص CRO</x:t>
        </x:is>
      </x:c>
      <x:c r="AC24" s="4" t="inlineStr">
        <x:is>
          <x:t xml:space="preserve">—</x:t>
        </x:is>
      </x:c>
      <x:c r="AD24" s="30" t="str">
        <x:v>KPI-23</x:v>
      </x:c>
      <x:c r="AE24" s="30" t="str">
        <x:v>Proposed</x:v>
      </x:c>
    </x:row>
    <x:row r="25">
      <x:c r="A25" s="19" t="inlineStr">
        <x:is>
          <x:t xml:space="preserve">KPI-24</x:t>
        </x:is>
      </x:c>
      <x:c r="B25" s="6" t="inlineStr">
        <x:is>
          <x:t xml:space="preserve">Add-to-Cart Rate</x:t>
        </x:is>
      </x:c>
      <x:c r="C25" s="6" t="inlineStr">
        <x:is>
          <x:t xml:space="preserve">نرخ افزودن به سبد</x:t>
        </x:is>
      </x:c>
      <x:c r="D25" s="6" t="inlineStr">
        <x:is>
          <x:t xml:space="preserve">ATCR</x:t>
        </x:is>
      </x:c>
      <x:c r="E25" s="6" t="inlineStr">
        <x:is>
          <x:t xml:space="preserve">سایت و قیف CRO</x:t>
        </x:is>
      </x:c>
      <x:c r="F25" s="6" t="inlineStr">
        <x:is>
          <x:t xml:space="preserve">درصد سشن‌های PDP منجر به افزودن به سبد</x:t>
        </x:is>
      </x:c>
      <x:c r="G25" s="6" t="inlineStr">
        <x:is>
          <x:t xml:space="preserve">(Sessions w/ Add to Cart / Sessions w/ PDP) × 100</x:t>
        </x:is>
      </x:c>
      <x:c r="H25" s="6" t="inlineStr">
        <x:is>
          <x:t xml:space="preserve">ATC Sessions</x:t>
        </x:is>
      </x:c>
      <x:c r="I25" s="6" t="inlineStr">
        <x:is>
          <x:t xml:space="preserve">PDP Sessions</x:t>
        </x:is>
      </x:c>
      <x:c r="J25" s="6" t="inlineStr">
        <x:is>
          <x:t xml:space="preserve">%</x:t>
        </x:is>
      </x:c>
      <x:c r="K25" s="6" t="inlineStr">
        <x:is>
          <x:t xml:space="preserve">Purchase Intent</x:t>
        </x:is>
      </x:c>
      <x:c r="L25" s="6" t="inlineStr">
        <x:is>
          <x:t xml:space="preserve">SKU/Category/Brand/Source</x:t>
        </x:is>
      </x:c>
      <x:c r="M25" s="6" t="inlineStr">
        <x:is>
          <x:t xml:space="preserve">GA4 E-com, Backend</x:t>
        </x:is>
      </x:c>
      <x:c r="N25" s="6" t="inlineStr">
        <x:is>
          <x:t xml:space="preserve">EVT-04,EVT-07</x:t>
        </x:is>
      </x:c>
      <x:c r="O25" s="6" t="inlineStr">
        <x:is>
          <x:t xml:space="preserve">MET-16/MET-15</x:t>
        </x:is>
      </x:c>
      <x:c r="P25" s="6" t="inlineStr">
        <x:is>
          <x:t xml:space="preserve">DIM-16,17,18,02</x:t>
        </x:is>
      </x:c>
      <x:c r="Q25" s="6" t="inlineStr">
        <x:is>
          <x:t xml:space="preserve">روزانه/هفتگی</x:t>
        </x:is>
      </x:c>
      <x:c r="R25" s="6" t="inlineStr">
        <x:is>
          <x:t xml:space="preserve">جذابیت قیمت/شفافیت فنی/موجودی</x:t>
        </x:is>
      </x:c>
      <x:c r="S25" s="6" t="inlineStr">
        <x:is>
          <x:t xml:space="preserve">قیمت بالاتر/عدم شفافیت تاریخ مصرف</x:t>
        </x:is>
      </x:c>
      <x:c r="T25" s="6" t="inlineStr">
        <x:is>
          <x:t xml:space="preserve">KPI-25,KPI-26</x:t>
        </x:is>
      </x:c>
      <x:c r="U25" s="6" t="inlineStr">
        <x:is>
          <x:t xml:space="preserve">شمارش چندباره افزودن یک کالا</x:t>
        </x:is>
      </x:c>
      <x:c r="V25" s="6" t="inlineStr">
        <x:is>
          <x:t xml:space="preserve">برای تجهیزات چندصد میلیونی نادر است</x:t>
        </x:is>
      </x:c>
      <x:c r="W25" s="6" t="inlineStr">
        <x:is>
          <x:t xml:space="preserve">مواد: ۸-۱۲٪</x:t>
        </x:is>
      </x:c>
      <x:c r="X25" s="6" t="inlineStr">
        <x:is>
          <x:t xml:space="preserve">فرض اولیه — نیازمند اعتبارسنجی با داده واقعی Titana</x:t>
        </x:is>
      </x:c>
      <x:c r="Y25" s="6" t="inlineStr">
        <x:is>
          <x:t xml:space="preserve">زیر ۶٪ → تضمین بازگشت ۷ روزه + نمایش تاریخ انقضا</x:t>
        </x:is>
      </x:c>
      <x:c r="Z25" s="19" t="inlineStr">
        <x:is>
          <x:t xml:space="preserve">W4</x:t>
        </x:is>
      </x:c>
      <x:c r="AA25" s="19" t="inlineStr">
        <x:is>
          <x:t xml:space="preserve">Critical</x:t>
        </x:is>
      </x:c>
      <x:c r="AB25" s="6" t="inlineStr">
        <x:is>
          <x:t xml:space="preserve">متخصص CRO</x:t>
        </x:is>
      </x:c>
      <x:c r="AC25" s="6" t="inlineStr">
        <x:is>
          <x:t xml:space="preserve">—</x:t>
        </x:is>
      </x:c>
      <x:c r="AD25" s="30" t="str">
        <x:v>KPI-24</x:v>
      </x:c>
      <x:c r="AE25" s="30" t="str">
        <x:v>Proposed</x:v>
      </x:c>
    </x:row>
    <x:row r="26">
      <x:c r="A26" s="17" t="inlineStr">
        <x:is>
          <x:t xml:space="preserve">KPI-25</x:t>
        </x:is>
      </x:c>
      <x:c r="B26" s="4" t="inlineStr">
        <x:is>
          <x:t xml:space="preserve">Cart Abandonment Rate</x:t>
        </x:is>
      </x:c>
      <x:c r="C26" s="4" t="inlineStr">
        <x:is>
          <x:t xml:space="preserve">نرخ رهاسازی سبد</x:t>
        </x:is>
      </x:c>
      <x:c r="D26" s="4" t="inlineStr">
        <x:is>
          <x:t xml:space="preserve">CAR</x:t>
        </x:is>
      </x:c>
      <x:c r="E26" s="4" t="inlineStr">
        <x:is>
          <x:t xml:space="preserve">سایت و قیف CRO</x:t>
        </x:is>
      </x:c>
      <x:c r="F26" s="4" t="inlineStr">
        <x:is>
          <x:t xml:space="preserve">درصد سبدهای بدون تکمیل پرداخت</x:t>
        </x:is>
      </x:c>
      <x:c r="G26" s="4" t="inlineStr">
        <x:is>
          <x:t xml:space="preserve">(1 − Completed Purchases / ATC Sessions) × 100</x:t>
        </x:is>
      </x:c>
      <x:c r="H26" s="4" t="inlineStr">
        <x:is>
          <x:t xml:space="preserve">(ATC − Purchases)</x:t>
        </x:is>
      </x:c>
      <x:c r="I26" s="4" t="inlineStr">
        <x:is>
          <x:t xml:space="preserve">ATC Sessions</x:t>
        </x:is>
      </x:c>
      <x:c r="J26" s="4" t="inlineStr">
        <x:is>
          <x:t xml:space="preserve">%</x:t>
        </x:is>
      </x:c>
      <x:c r="K26" s="4" t="inlineStr">
        <x:is>
          <x:t xml:space="preserve">Funnel Friction</x:t>
        </x:is>
      </x:c>
      <x:c r="L26" s="4" t="inlineStr">
        <x:is>
          <x:t xml:space="preserve">Segment/Device/Payment</x:t>
        </x:is>
      </x:c>
      <x:c r="M26" s="4" t="inlineStr">
        <x:is>
          <x:t xml:space="preserve">GA4 Funnel, Backend</x:t>
        </x:is>
      </x:c>
      <x:c r="N26" s="4" t="inlineStr">
        <x:is>
          <x:t xml:space="preserve">EVT-07,EVT-13</x:t>
        </x:is>
      </x:c>
      <x:c r="O26" s="4" t="inlineStr">
        <x:is>
          <x:t xml:space="preserve">MET-16/MET-18</x:t>
        </x:is>
      </x:c>
      <x:c r="P26" s="4" t="inlineStr">
        <x:is>
          <x:t xml:space="preserve">DIM-28,23,29</x:t>
        </x:is>
      </x:c>
      <x:c r="Q26" s="4" t="inlineStr">
        <x:is>
          <x:t xml:space="preserve">روزانه/هفتگی</x:t>
        </x:is>
      </x:c>
      <x:c r="R26" s="4" t="inlineStr">
        <x:is>
          <x:t xml:space="preserve">کرایه پیش‌بینی‌نشده/ثبت‌نام طولانی/قطعی درگاه</x:t>
        </x:is>
      </x:c>
      <x:c r="S26" s="4" t="inlineStr">
        <x:is>
          <x:t xml:space="preserve">چک‌اوت یک‌مرحله‌ای/اعتباری/شفافیت</x:t>
        </x:is>
      </x:c>
      <x:c r="T26" s="4" t="inlineStr">
        <x:is>
          <x:t xml:space="preserve">KPI-24,KPI-26</x:t>
        </x:is>
      </x:c>
      <x:c r="U26" s="4" t="inlineStr">
        <x:is>
          <x:t xml:space="preserve">عدم تفکیک سبدهای قطعی‌خورده درگاه</x:t>
        </x:is>
      </x:c>
      <x:c r="V26" s="4" t="inlineStr">
        <x:is>
          <x:t xml:space="preserve">برخی سبد = لیست علاقه‌مندی برای بعد</x:t>
        </x:is>
      </x:c>
      <x:c r="W26" s="4" t="inlineStr">
        <x:is>
          <x:t xml:space="preserve">&lt; 68٪ در فروشگاه تخصصی</x:t>
        </x:is>
      </x:c>
      <x:c r="X26" s="4" t="inlineStr">
        <x:is>
          <x:t xml:space="preserve">فرض اولیه — نیازمند اعتبارسنجی با داده واقعی Titana</x:t>
        </x:is>
      </x:c>
      <x:c r="Y26" s="4" t="inlineStr">
        <x:is>
          <x:t xml:space="preserve">SMS بازگشت ظرف ۱ ساعت با کد تخفیف/ارسال رایگان</x:t>
        </x:is>
      </x:c>
      <x:c r="Z26" s="17" t="inlineStr">
        <x:is>
          <x:t xml:space="preserve">W4</x:t>
        </x:is>
      </x:c>
      <x:c r="AA26" s="17" t="inlineStr">
        <x:is>
          <x:t xml:space="preserve">Critical</x:t>
        </x:is>
      </x:c>
      <x:c r="AB26" s="4" t="inlineStr">
        <x:is>
          <x:t xml:space="preserve">متخصص CRO</x:t>
        </x:is>
      </x:c>
      <x:c r="AC26" s="4" t="inlineStr">
        <x:is>
          <x:t xml:space="preserve">—</x:t>
        </x:is>
      </x:c>
      <x:c r="AD26" s="30" t="str">
        <x:v>KPI-25</x:v>
      </x:c>
      <x:c r="AE26" s="30" t="str">
        <x:v>Proposed</x:v>
      </x:c>
    </x:row>
    <x:row r="27">
      <x:c r="A27" s="19" t="inlineStr">
        <x:is>
          <x:t xml:space="preserve">KPI-26</x:t>
        </x:is>
      </x:c>
      <x:c r="B27" s="6" t="inlineStr">
        <x:is>
          <x:t xml:space="preserve">Checkout Initiation Rate</x:t>
        </x:is>
      </x:c>
      <x:c r="C27" s="6" t="inlineStr">
        <x:is>
          <x:t xml:space="preserve">نرخ ورود به تسویه</x:t>
        </x:is>
      </x:c>
      <x:c r="D27" s="6" t="inlineStr">
        <x:is>
          <x:t xml:space="preserve">CIR</x:t>
        </x:is>
      </x:c>
      <x:c r="E27" s="6" t="inlineStr">
        <x:is>
          <x:t xml:space="preserve">سایت و قیف CRO</x:t>
        </x:is>
      </x:c>
      <x:c r="F27" s="6" t="inlineStr">
        <x:is>
          <x:t xml:space="preserve">نسبت سبدهای واردشونده به فرم پرداخت</x:t>
        </x:is>
      </x:c>
      <x:c r="G27" s="6" t="inlineStr">
        <x:is>
          <x:t xml:space="preserve">(Begin Checkout Sessions / ATC Sessions) × 100</x:t>
        </x:is>
      </x:c>
      <x:c r="H27" s="6" t="inlineStr">
        <x:is>
          <x:t xml:space="preserve">BeginCheckout</x:t>
        </x:is>
      </x:c>
      <x:c r="I27" s="6" t="inlineStr">
        <x:is>
          <x:t xml:space="preserve">AddToCart</x:t>
        </x:is>
      </x:c>
      <x:c r="J27" s="6" t="inlineStr">
        <x:is>
          <x:t xml:space="preserve">%</x:t>
        </x:is>
      </x:c>
      <x:c r="K27" s="6" t="inlineStr">
        <x:is>
          <x:t xml:space="preserve">Funnel Progress</x:t>
        </x:is>
      </x:c>
      <x:c r="L27" s="6" t="inlineStr">
        <x:is>
          <x:t xml:space="preserve">Category/CustomerType</x:t>
        </x:is>
      </x:c>
      <x:c r="M27" s="6" t="inlineStr">
        <x:is>
          <x:t xml:space="preserve">GA4, DB Logs</x:t>
        </x:is>
      </x:c>
      <x:c r="N27" s="6" t="inlineStr">
        <x:is>
          <x:t xml:space="preserve">EVT-07,EVT-10</x:t>
        </x:is>
      </x:c>
      <x:c r="O27" s="6" t="inlineStr">
        <x:is>
          <x:t xml:space="preserve">MET-17/MET-16</x:t>
        </x:is>
      </x:c>
      <x:c r="P27" s="6" t="inlineStr">
        <x:is>
          <x:t xml:space="preserve">DIM-17,28</x:t>
        </x:is>
      </x:c>
      <x:c r="Q27" s="6" t="inlineStr">
        <x:is>
          <x:t xml:space="preserve">هفتگی</x:t>
        </x:is>
      </x:c>
      <x:c r="R27" s="6" t="inlineStr">
        <x:is>
          <x:t xml:space="preserve">آمادگی تسویه/تایید اقلام</x:t>
        </x:is>
      </x:c>
      <x:c r="S27" s="6" t="inlineStr">
        <x:is>
          <x:t xml:space="preserve">تردید: فاکتور/ارزش افزوده/زمان تحویل</x:t>
        </x:is>
      </x:c>
      <x:c r="T27" s="6" t="inlineStr">
        <x:is>
          <x:t xml:space="preserve">KPI-24,KPI-27</x:t>
        </x:is>
      </x:c>
      <x:c r="U27" s="6" t="inlineStr">
        <x:is>
          <x:t xml:space="preserve">شمارش مجدد رفت‌وآمد سبد↔تسویه</x:t>
        </x:is>
      </x:c>
      <x:c r="V27" s="6" t="inlineStr">
        <x:is>
          <x:t xml:space="preserve">نمی‌گوید کجا گیر کرده است</x:t>
        </x:is>
      </x:c>
      <x:c r="W27" s="6" t="inlineStr">
        <x:is>
          <x:t xml:space="preserve">&gt; 55٪ سبدهای مواد</x:t>
        </x:is>
      </x:c>
      <x:c r="X27" s="6" t="inlineStr">
        <x:is>
          <x:t xml:space="preserve">فرض اولیه — نیازمند اعتبارسنجی با داده واقعی Titana</x:t>
        </x:is>
      </x:c>
      <x:c r="Y27" s="6" t="inlineStr">
        <x:is>
          <x:t xml:space="preserve">نمایش خلاصه فاکتور + کرایه آنلاین در سبد</x:t>
        </x:is>
      </x:c>
      <x:c r="Z27" s="19" t="inlineStr">
        <x:is>
          <x:t xml:space="preserve">W4</x:t>
        </x:is>
      </x:c>
      <x:c r="AA27" s="19" t="inlineStr">
        <x:is>
          <x:t xml:space="preserve">High</x:t>
        </x:is>
      </x:c>
      <x:c r="AB27" s="6" t="inlineStr">
        <x:is>
          <x:t xml:space="preserve">متخصص CRO</x:t>
        </x:is>
      </x:c>
      <x:c r="AC27" s="6" t="inlineStr">
        <x:is>
          <x:t xml:space="preserve">—</x:t>
        </x:is>
      </x:c>
      <x:c r="AD27" s="30" t="str">
        <x:v>KPI-26</x:v>
      </x:c>
      <x:c r="AE27" s="30" t="str">
        <x:v>Proposed</x:v>
      </x:c>
    </x:row>
    <x:row r="28">
      <x:c r="A28" s="17" t="inlineStr">
        <x:is>
          <x:t xml:space="preserve">KPI-27</x:t>
        </x:is>
      </x:c>
      <x:c r="B28" s="4" t="inlineStr">
        <x:is>
          <x:t xml:space="preserve">Step-by-Step Funnel Drop-off Rate</x:t>
        </x:is>
      </x:c>
      <x:c r="C28" s="4" t="inlineStr">
        <x:is>
          <x:t xml:space="preserve">نرخ ریزش گام‌های قیف</x:t>
        </x:is>
      </x:c>
      <x:c r="D28" s="4" t="inlineStr">
        <x:is>
          <x:t xml:space="preserve">Drop-off%</x:t>
        </x:is>
      </x:c>
      <x:c r="E28" s="4" t="inlineStr">
        <x:is>
          <x:t xml:space="preserve">سایت و قیف CRO</x:t>
        </x:is>
      </x:c>
      <x:c r="F28" s="4" t="inlineStr">
        <x:is>
          <x:t xml:space="preserve">درصد ترک هر مرحله خاص قیف</x:t>
        </x:is>
      </x:c>
      <x:c r="G28" s="4" t="inlineStr">
        <x:is>
          <x:t xml:space="preserve">(1 − Users Step N+1 / Users Step N) × 100</x:t>
        </x:is>
      </x:c>
      <x:c r="H28" s="4" t="inlineStr">
        <x:is>
          <x:t xml:space="preserve">(StepN − StepN+1)</x:t>
        </x:is>
      </x:c>
      <x:c r="I28" s="4" t="inlineStr">
        <x:is>
          <x:t xml:space="preserve">StepN Users</x:t>
        </x:is>
      </x:c>
      <x:c r="J28" s="4" t="inlineStr">
        <x:is>
          <x:t xml:space="preserve">%</x:t>
        </x:is>
      </x:c>
      <x:c r="K28" s="4" t="inlineStr">
        <x:is>
          <x:t xml:space="preserve">Bottleneck</x:t>
        </x:is>
      </x:c>
      <x:c r="L28" s="4" t="inlineStr">
        <x:is>
          <x:t xml:space="preserve">FunnelStep/Source/Device</x:t>
        </x:is>
      </x:c>
      <x:c r="M28" s="4" t="inlineStr">
        <x:is>
          <x:t xml:space="preserve">GA4 Funnel, PostHog</x:t>
        </x:is>
      </x:c>
      <x:c r="N28" s="4" t="inlineStr">
        <x:is>
          <x:t xml:space="preserve">EVT-01,EVT-07,EVT-10,EVT-13</x:t>
        </x:is>
      </x:c>
      <x:c r="O28" s="4" t="inlineStr">
        <x:is>
          <x:t xml:space="preserve">MET-15..MET-18</x:t>
        </x:is>
      </x:c>
      <x:c r="P28" s="4" t="inlineStr">
        <x:is>
          <x:t xml:space="preserve">DIM-30,02,23</x:t>
        </x:is>
      </x:c>
      <x:c r="Q28" s="4" t="inlineStr">
        <x:is>
          <x:t xml:space="preserve">هفتگی/ماهانه</x:t>
        </x:is>
      </x:c>
      <x:c r="R28" s="4" t="inlineStr">
        <x:is>
          <x:t xml:space="preserve">باگ فنی/فیلد غیرضروری/ابهام/شکست درگاه</x:t>
        </x:is>
      </x:c>
      <x:c r="S28" s="4" t="inlineStr">
        <x:is>
          <x:t xml:space="preserve">UX روان</x:t>
        </x:is>
      </x:c>
      <x:c r="T28" s="4" t="inlineStr">
        <x:is>
          <x:t xml:space="preserve">KPI-24..KPI-31</x:t>
        </x:is>
      </x:c>
      <x:c r="U28" s="4" t="inlineStr">
        <x:is>
          <x:t xml:space="preserve">بررسی بدون تفکیک سورس (ریزش ادز &gt; ارگانیک)</x:t>
        </x:is>
      </x:c>
      <x:c r="V28" s="4" t="inlineStr">
        <x:is>
          <x:t xml:space="preserve">خرید تلفنی به‌عنوان ریزش آنلاین</x:t>
        </x:is>
      </x:c>
      <x:c r="W28" s="4" t="inlineStr">
        <x:is>
          <x:t xml:space="preserve">ریزش آدرس→درگاه &lt; 30٪</x:t>
        </x:is>
      </x:c>
      <x:c r="X28" s="4" t="inlineStr">
        <x:is>
          <x:t xml:space="preserve">فرض اولیه — نیازمند اعتبارسنجی با داده واقعی Titana</x:t>
        </x:is>
      </x:c>
      <x:c r="Y28" s="4" t="inlineStr">
        <x:is>
          <x:t xml:space="preserve">حذف فیلدهای نامعتبر + درگاه پشتیبان (PSP دوم)</x:t>
        </x:is>
      </x:c>
      <x:c r="Z28" s="17" t="inlineStr">
        <x:is>
          <x:t xml:space="preserve">W4</x:t>
        </x:is>
      </x:c>
      <x:c r="AA28" s="17" t="inlineStr">
        <x:is>
          <x:t xml:space="preserve">Critical</x:t>
        </x:is>
      </x:c>
      <x:c r="AB28" s="4" t="inlineStr">
        <x:is>
          <x:t xml:space="preserve">متخصص CRO</x:t>
        </x:is>
      </x:c>
      <x:c r="AC28" s="4" t="inlineStr">
        <x:is>
          <x:t xml:space="preserve">—</x:t>
        </x:is>
      </x:c>
      <x:c r="AD28" s="30" t="str">
        <x:v>KPI-27</x:v>
      </x:c>
      <x:c r="AE28" s="30" t="str">
        <x:v>Proposed</x:v>
      </x:c>
    </x:row>
    <x:row r="29">
      <x:c r="A29" s="19" t="inlineStr">
        <x:is>
          <x:t xml:space="preserve">KPI-28</x:t>
        </x:is>
      </x:c>
      <x:c r="B29" s="6" t="inlineStr">
        <x:is>
          <x:t xml:space="preserve">Lead-to-MQL Conversion Rate</x:t>
        </x:is>
      </x:c>
      <x:c r="C29" s="6" t="inlineStr">
        <x:is>
          <x:t xml:space="preserve">نرخ تبدیل لید به MQL</x:t>
        </x:is>
      </x:c>
      <x:c r="D29" s="6" t="inlineStr">
        <x:is>
          <x:t xml:space="preserve">L-MQL%</x:t>
        </x:is>
      </x:c>
      <x:c r="E29" s="6" t="inlineStr">
        <x:is>
          <x:t xml:space="preserve">لید و پایپ‌لاین B2B</x:t>
        </x:is>
      </x:c>
      <x:c r="F29" s="6" t="inlineStr">
        <x:is>
          <x:t xml:space="preserve">درصد لیدهایی که به کلینیک واقعی تایید می‌شوند</x:t>
        </x:is>
      </x:c>
      <x:c r="G29" s="6" t="inlineStr">
        <x:is>
          <x:t xml:space="preserve">(Validated MQLs / Raw Leads) × 100</x:t>
        </x:is>
      </x:c>
      <x:c r="H29" s="6" t="inlineStr">
        <x:is>
          <x:t xml:space="preserve">MQLs</x:t>
        </x:is>
      </x:c>
      <x:c r="I29" s="6" t="inlineStr">
        <x:is>
          <x:t xml:space="preserve">Raw Leads</x:t>
        </x:is>
      </x:c>
      <x:c r="J29" s="6" t="inlineStr">
        <x:is>
          <x:t xml:space="preserve">%</x:t>
        </x:is>
      </x:c>
      <x:c r="K29" s="6" t="inlineStr">
        <x:is>
          <x:t xml:space="preserve">Targeting Quality</x:t>
        </x:is>
      </x:c>
      <x:c r="L29" s="6" t="inlineStr">
        <x:is>
          <x:t xml:space="preserve">Campaign/Ad/FormVariant</x:t>
        </x:is>
      </x:c>
      <x:c r="M29" s="6" t="inlineStr">
        <x:is>
          <x:t xml:space="preserve">CRM + DB لیدها</x:t>
        </x:is>
      </x:c>
      <x:c r="N29" s="6" t="inlineStr">
        <x:is>
          <x:t xml:space="preserve">EVT-16</x:t>
        </x:is>
      </x:c>
      <x:c r="O29" s="6" t="inlineStr">
        <x:is>
          <x:t xml:space="preserve">MET-12/MET-11</x:t>
        </x:is>
      </x:c>
      <x:c r="P29" s="6" t="inlineStr">
        <x:is>
          <x:t xml:space="preserve">DIM-01,04,15</x:t>
        </x:is>
      </x:c>
      <x:c r="Q29" s="6" t="inlineStr">
        <x:is>
          <x:t xml:space="preserve">هفتگی</x:t>
        </x:is>
      </x:c>
      <x:c r="R29" s="6" t="inlineStr">
        <x:is>
          <x:t xml:space="preserve">دقت تارگتینگ به جامعه درمانی</x:t>
        </x:is>
      </x:c>
      <x:c r="S29" s="6" t="inlineStr">
        <x:is>
          <x:t xml:space="preserve">ترافیک غیرمرتبط/اسپم/ابهام B2B</x:t>
        </x:is>
      </x:c>
      <x:c r="T29" s="6" t="inlineStr">
        <x:is>
          <x:t xml:space="preserve">KPI-17</x:t>
        </x:is>
      </x:c>
      <x:c r="U29" s="6" t="inlineStr">
        <x:is>
          <x:t xml:space="preserve">ارتقای نرخ با تماس زمان‌بر به‌جای استعلام خودکار</x:t>
        </x:is>
      </x:c>
      <x:c r="V29" s="6" t="inlineStr">
        <x:is>
          <x:t xml:space="preserve">وابسته به زیرساخت استعلام نظام</x:t>
        </x:is>
      </x:c>
      <x:c r="W29" s="6" t="inlineStr">
        <x:is>
          <x:t xml:space="preserve">&gt; 60٪ کمپین‌های B2B</x:t>
        </x:is>
      </x:c>
      <x:c r="X29" s="6" t="inlineStr">
        <x:is>
          <x:t xml:space="preserve">فرض اولیه — نیازمند اعتبارسنجی با داده واقعی Titana</x:t>
        </x:is>
      </x:c>
      <x:c r="Y29" s="6" t="inlineStr">
        <x:is>
          <x:t xml:space="preserve">سوال‌های فیلترکننده درون فرم</x:t>
        </x:is>
      </x:c>
      <x:c r="Z29" s="19" t="inlineStr">
        <x:is>
          <x:t xml:space="preserve">W4</x:t>
        </x:is>
      </x:c>
      <x:c r="AA29" s="19" t="inlineStr">
        <x:is>
          <x:t xml:space="preserve">High</x:t>
        </x:is>
      </x:c>
      <x:c r="AB29" s="6" t="inlineStr">
        <x:is>
          <x:t xml:space="preserve">مدیر CRM</x:t>
        </x:is>
      </x:c>
      <x:c r="AC29" s="6" t="inlineStr">
        <x:is>
          <x:t xml:space="preserve">—</x:t>
        </x:is>
      </x:c>
      <x:c r="AD29" s="30" t="str">
        <x:v>KPI-28</x:v>
      </x:c>
      <x:c r="AE29" s="30" t="str">
        <x:v>Proposed</x:v>
      </x:c>
    </x:row>
    <x:row r="30">
      <x:c r="A30" s="17" t="inlineStr">
        <x:is>
          <x:t xml:space="preserve">KPI-29</x:t>
        </x:is>
      </x:c>
      <x:c r="B30" s="4" t="inlineStr">
        <x:is>
          <x:t xml:space="preserve">MQL-to-SQL Conversion Rate</x:t>
        </x:is>
      </x:c>
      <x:c r="C30" s="4" t="inlineStr">
        <x:is>
          <x:t xml:space="preserve">نرخ تبدیل MQL به SQL</x:t>
        </x:is>
      </x:c>
      <x:c r="D30" s="4" t="inlineStr">
        <x:is>
          <x:t xml:space="preserve">MQL-SQL%</x:t>
        </x:is>
      </x:c>
      <x:c r="E30" s="4" t="inlineStr">
        <x:is>
          <x:t xml:space="preserve">لید و پایپ‌لاین B2B</x:t>
        </x:is>
      </x:c>
      <x:c r="F30" s="4" t="inlineStr">
        <x:is>
          <x:t xml:space="preserve">درصد MQLهای اعلام‌کننده نیاز فوری و پیش‌فاکتور</x:t>
        </x:is>
      </x:c>
      <x:c r="G30" s="4" t="inlineStr">
        <x:is>
          <x:t xml:space="preserve">(SQL / MQL) × 100</x:t>
        </x:is>
      </x:c>
      <x:c r="H30" s="4" t="inlineStr">
        <x:is>
          <x:t xml:space="preserve">SQLs</x:t>
        </x:is>
      </x:c>
      <x:c r="I30" s="4" t="inlineStr">
        <x:is>
          <x:t xml:space="preserve">MQLs</x:t>
        </x:is>
      </x:c>
      <x:c r="J30" s="4" t="inlineStr">
        <x:is>
          <x:t xml:space="preserve">%</x:t>
        </x:is>
      </x:c>
      <x:c r="K30" s="4" t="inlineStr">
        <x:is>
          <x:t xml:space="preserve">Marketing-Sales Alignment</x:t>
        </x:is>
      </x:c>
      <x:c r="L30" s="4" t="inlineStr">
        <x:is>
          <x:t xml:space="preserve">SalesRep/ProductFamily/Source</x:t>
        </x:is>
      </x:c>
      <x:c r="M30" s="4" t="inlineStr">
        <x:is>
          <x:t xml:space="preserve">CRM</x:t>
        </x:is>
      </x:c>
      <x:c r="N30" s="4" t="inlineStr">
        <x:is>
          <x:t xml:space="preserve">EVT-17</x:t>
        </x:is>
      </x:c>
      <x:c r="O30" s="4" t="inlineStr">
        <x:is>
          <x:t xml:space="preserve">MET-13/MET-12</x:t>
        </x:is>
      </x:c>
      <x:c r="P30" s="4" t="inlineStr">
        <x:is>
          <x:t xml:space="preserve">DIM-25,04,17</x:t>
        </x:is>
      </x:c>
      <x:c r="Q30" s="4" t="inlineStr">
        <x:is>
          <x:t xml:space="preserve">ماهانه</x:t>
        </x:is>
      </x:c>
      <x:c r="R30" s="4" t="inlineStr">
        <x:is>
          <x:t xml:space="preserve">پیام نقطه‌نیاز + تماس سریع</x:t>
        </x:is>
      </x:c>
      <x:c r="S30" s="4" t="inlineStr">
        <x:is>
          <x:t xml:space="preserve">وعده واهی/تأخیر تماس/تفکر طولانی</x:t>
        </x:is>
      </x:c>
      <x:c r="T30" s="4" t="inlineStr">
        <x:is>
          <x:t xml:space="preserve">KPI-18,KPI-32</x:t>
        </x:is>
      </x:c>
      <x:c r="U30" s="4" t="inlineStr">
        <x:is>
          <x:t xml:space="preserve">مقصردانستن فروش برای وعده تخفیف واهی</x:t>
        </x:is>
      </x:c>
      <x:c r="V30" s="4" t="inlineStr">
        <x:is>
          <x:t xml:space="preserve">تأخیر ثبت تبدیل در خریدهای گران</x:t>
        </x:is>
      </x:c>
      <x:c r="W30" s="4" t="inlineStr">
        <x:is>
          <x:t xml:space="preserve">۳۰-۴۵٪ تجهیزات سنگین</x:t>
        </x:is>
      </x:c>
      <x:c r="X30" s="4" t="inlineStr">
        <x:is>
          <x:t xml:space="preserve">فرض اولیه — نیازمند اعتبارسنجی با داده واقعی Titana</x:t>
        </x:is>
      </x:c>
      <x:c r="Y30" s="4" t="inlineStr">
        <x:is>
          <x:t xml:space="preserve">الزام تماس &lt;۱۵ دقیقه + آموزش فنی ویزیتورها</x:t>
        </x:is>
      </x:c>
      <x:c r="Z30" s="17" t="inlineStr">
        <x:is>
          <x:t xml:space="preserve">W4</x:t>
        </x:is>
      </x:c>
      <x:c r="AA30" s="17" t="inlineStr">
        <x:is>
          <x:t xml:space="preserve">Critical</x:t>
        </x:is>
      </x:c>
      <x:c r="AB30" s="4" t="inlineStr">
        <x:is>
          <x:t xml:space="preserve">مدیر فروش B2B</x:t>
        </x:is>
      </x:c>
      <x:c r="AC30" s="4" t="inlineStr">
        <x:is>
          <x:t xml:space="preserve">—</x:t>
        </x:is>
      </x:c>
      <x:c r="AD30" s="30" t="str">
        <x:v>KPI-29</x:v>
      </x:c>
      <x:c r="AE30" s="30" t="str">
        <x:v>Proposed</x:v>
      </x:c>
    </x:row>
    <x:row r="31">
      <x:c r="A31" s="19" t="inlineStr">
        <x:is>
          <x:t xml:space="preserve">KPI-30</x:t>
        </x:is>
      </x:c>
      <x:c r="B31" s="6" t="inlineStr">
        <x:is>
          <x:t xml:space="preserve">SQL-to-Sale Win Rate</x:t>
        </x:is>
      </x:c>
      <x:c r="C31" s="6" t="inlineStr">
        <x:is>
          <x:t xml:space="preserve">نرخ نهایی بستن معامله</x:t>
        </x:is>
      </x:c>
      <x:c r="D31" s="6" t="inlineStr">
        <x:is>
          <x:t xml:space="preserve">Win%</x:t>
        </x:is>
      </x:c>
      <x:c r="E31" s="6" t="inlineStr">
        <x:is>
          <x:t xml:space="preserve">لید و پایپ‌لاین B2B</x:t>
        </x:is>
      </x:c>
      <x:c r="F31" s="6" t="inlineStr">
        <x:is>
          <x:t xml:space="preserve">درصد فرصت‌های تاییدشده منجر به قرارداد و تحویل</x:t>
        </x:is>
      </x:c>
      <x:c r="G31" s="6" t="inlineStr">
        <x:is>
          <x:t xml:space="preserve">(Closed Won Deals / SQL Opportunities) × 100</x:t>
        </x:is>
      </x:c>
      <x:c r="H31" s="6" t="inlineStr">
        <x:is>
          <x:t xml:space="preserve">Closed Won</x:t>
        </x:is>
      </x:c>
      <x:c r="I31" s="6" t="inlineStr">
        <x:is>
          <x:t xml:space="preserve">SQL Opps</x:t>
        </x:is>
      </x:c>
      <x:c r="J31" s="6" t="inlineStr">
        <x:is>
          <x:t xml:space="preserve">%</x:t>
        </x:is>
      </x:c>
      <x:c r="K31" s="6" t="inlineStr">
        <x:is>
          <x:t xml:space="preserve">Sales Effectiveness</x:t>
        </x:is>
      </x:c>
      <x:c r="L31" s="6" t="inlineStr">
        <x:is>
          <x:t xml:space="preserve">SalesRep/Territory/DealTier</x:t>
        </x:is>
      </x:c>
      <x:c r="M31" s="6" t="inlineStr">
        <x:is>
          <x:t xml:space="preserve">CRM Deals + حسابداری</x:t>
        </x:is>
      </x:c>
      <x:c r="N31" s="6" t="inlineStr">
        <x:is>
          <x:t xml:space="preserve">EVT-13</x:t>
        </x:is>
      </x:c>
      <x:c r="O31" s="6" t="inlineStr">
        <x:is>
          <x:t xml:space="preserve">MET-14/MET-13</x:t>
        </x:is>
      </x:c>
      <x:c r="P31" s="6" t="inlineStr">
        <x:is>
          <x:t xml:space="preserve">DIM-25,26,17</x:t>
        </x:is>
      </x:c>
      <x:c r="Q31" s="6" t="inlineStr">
        <x:is>
          <x:t xml:space="preserve">ماهانه/فصلی</x:t>
        </x:is>
      </x:c>
      <x:c r="R31" s="6" t="inlineStr">
        <x:is>
          <x:t xml:space="preserve">مهارت مذاکره/گارانتی/قیمت برنده</x:t>
        </x:is>
      </x:c>
      <x:c r="S31" s="6" t="inlineStr">
        <x:is>
          <x:t xml:space="preserve">عدم تحویل فوری/بدعهدی گارانتی/رقیب</x:t>
        </x:is>
      </x:c>
      <x:c r="T31" s="6" t="inlineStr">
        <x:is>
          <x:t xml:space="preserve">KPI-18,KPI-20</x:t>
        </x:is>
      </x:c>
      <x:c r="U31" s="6" t="inlineStr">
        <x:is>
          <x:t xml:space="preserve">قضاوت بدون کسر فاکتورهای برگشتی</x:t>
        </x:is>
      </x:c>
      <x:c r="V31" s="6" t="inlineStr">
        <x:is>
          <x:t xml:space="preserve">ریسک وصول اقساط بلندمدت</x:t>
        </x:is>
      </x:c>
      <x:c r="W31" s="6" t="inlineStr">
        <x:is>
          <x:t xml:space="preserve">&gt; 25٪ مذاکره‌شدگان تجهیزات</x:t>
        </x:is>
      </x:c>
      <x:c r="X31" s="6" t="inlineStr">
        <x:is>
          <x:t xml:space="preserve">فرض اولیه — نیازمند اعتبارسنجی با داده واقعی Titana</x:t>
        </x:is>
      </x:c>
      <x:c r="Y31" s="6" t="inlineStr">
        <x:is>
          <x:t xml:space="preserve">بازنگری تسهیلات چکی + سرویس رایگان سال اول</x:t>
        </x:is>
      </x:c>
      <x:c r="Z31" s="19" t="inlineStr">
        <x:is>
          <x:t xml:space="preserve">W4</x:t>
        </x:is>
      </x:c>
      <x:c r="AA31" s="19" t="inlineStr">
        <x:is>
          <x:t xml:space="preserve">Critical</x:t>
        </x:is>
      </x:c>
      <x:c r="AB31" s="6" t="inlineStr">
        <x:is>
          <x:t xml:space="preserve">مدیر فروش B2B</x:t>
        </x:is>
      </x:c>
      <x:c r="AC31" s="6" t="inlineStr">
        <x:is>
          <x:t xml:space="preserve">—</x:t>
        </x:is>
      </x:c>
      <x:c r="AD31" s="30" t="str">
        <x:v>KPI-30</x:v>
      </x:c>
      <x:c r="AE31" s="30" t="str">
        <x:v>Proposed</x:v>
      </x:c>
    </x:row>
    <x:row r="32">
      <x:c r="A32" s="17" t="inlineStr">
        <x:is>
          <x:t xml:space="preserve">KPI-31</x:t>
        </x:is>
      </x:c>
      <x:c r="B32" s="4" t="inlineStr">
        <x:is>
          <x:t xml:space="preserve">Overall E-commerce CVR</x:t>
        </x:is>
      </x:c>
      <x:c r="C32" s="4" t="inlineStr">
        <x:is>
          <x:t xml:space="preserve">نرخ تبدیل سراسری فروشگاه</x:t>
        </x:is>
      </x:c>
      <x:c r="D32" s="4" t="inlineStr">
        <x:is>
          <x:t xml:space="preserve">CVR</x:t>
        </x:is>
      </x:c>
      <x:c r="E32" s="4" t="inlineStr">
        <x:is>
          <x:t xml:space="preserve">سایت و قیف CRO</x:t>
        </x:is>
      </x:c>
      <x:c r="F32" s="4" t="inlineStr">
        <x:is>
          <x:t xml:space="preserve">نسبت سشن‌ها به خرید آنلاین موفق</x:t>
        </x:is>
      </x:c>
      <x:c r="G32" s="4" t="inlineStr">
        <x:is>
          <x:t xml:space="preserve">(Online Transactions / Web Sessions) × 100</x:t>
        </x:is>
      </x:c>
      <x:c r="H32" s="4" t="inlineStr">
        <x:is>
          <x:t xml:space="preserve">Transactions</x:t>
        </x:is>
      </x:c>
      <x:c r="I32" s="4" t="inlineStr">
        <x:is>
          <x:t xml:space="preserve">Sessions</x:t>
        </x:is>
      </x:c>
      <x:c r="J32" s="4" t="inlineStr">
        <x:is>
          <x:t xml:space="preserve">%</x:t>
        </x:is>
      </x:c>
      <x:c r="K32" s="4" t="inlineStr">
        <x:is>
          <x:t xml:space="preserve">Platform Efficiency</x:t>
        </x:is>
      </x:c>
      <x:c r="L32" s="4" t="inlineStr">
        <x:is>
          <x:t xml:space="preserve">Site/Channel/LandingPage/Device</x:t>
        </x:is>
      </x:c>
      <x:c r="M32" s="4" t="inlineStr">
        <x:is>
          <x:t xml:space="preserve">GA4, E-com DB</x:t>
        </x:is>
      </x:c>
      <x:c r="N32" s="4" t="inlineStr">
        <x:is>
          <x:t xml:space="preserve">EVT-01,EVT-13</x:t>
        </x:is>
      </x:c>
      <x:c r="O32" s="4" t="inlineStr">
        <x:is>
          <x:t xml:space="preserve">MET-18/MET-07</x:t>
        </x:is>
      </x:c>
      <x:c r="P32" s="4" t="inlineStr">
        <x:is>
          <x:t xml:space="preserve">DIM-01,15,23,28</x:t>
        </x:is>
      </x:c>
      <x:c r="Q32" s="4" t="inlineStr">
        <x:is>
          <x:t xml:space="preserve">روزانه/ماهانه</x:t>
        </x:is>
      </x:c>
      <x:c r="R32" s="4" t="inlineStr">
        <x:is>
          <x:t xml:space="preserve">ترکیب قیمت/سهولت/اصالت/ترافیک با قصد</x:t>
        </x:is>
      </x:c>
      <x:c r="S32" s="4" t="inlineStr">
        <x:is>
          <x:t xml:space="preserve">ترافیک غیرمرتبط/ناموجودی/گرانی/باگ</x:t>
        </x:is>
      </x:c>
      <x:c r="T32" s="4" t="inlineStr">
        <x:is>
          <x:t xml:space="preserve">KPI-24..KPI-27</x:t>
        </x:is>
      </x:c>
      <x:c r="U32" s="4" t="inlineStr">
        <x:is>
          <x:t xml:space="preserve">یکسان‌دانستن CVR سرچ و اینستاگرام</x:t>
        </x:is>
      </x:c>
      <x:c r="V32" s="4" t="inlineStr">
        <x:is>
          <x:t xml:space="preserve">فقط تراکنش وب؛ تلفن/حضوری خیر</x:t>
        </x:is>
      </x:c>
      <x:c r="W32" s="4" t="inlineStr">
        <x:is>
          <x:t xml:space="preserve">کل سایت ۱.۸-۲.۸٪ | سرچ &gt; 3.5٪</x:t>
        </x:is>
      </x:c>
      <x:c r="X32" s="4" t="inlineStr">
        <x:is>
          <x:t xml:space="preserve">فرض اولیه — نیازمند اعتبارسنجی با داده واقعی Titana</x:t>
        </x:is>
      </x:c>
      <x:c r="Y32" s="4" t="inlineStr">
        <x:is>
          <x:t xml:space="preserve">زیر ۱.۵٪ → بازبینی خرید تک‌مرحله‌ای + سرعت PDP</x:t>
        </x:is>
      </x:c>
      <x:c r="Z32" s="17" t="inlineStr">
        <x:is>
          <x:t xml:space="preserve">W4</x:t>
        </x:is>
      </x:c>
      <x:c r="AA32" s="17" t="inlineStr">
        <x:is>
          <x:t xml:space="preserve">Critical</x:t>
        </x:is>
      </x:c>
      <x:c r="AB32" s="4" t="inlineStr">
        <x:is>
          <x:t xml:space="preserve">لید پرفورمنس</x:t>
        </x:is>
      </x:c>
      <x:c r="AC32" s="4" t="inlineStr">
        <x:is>
          <x:t xml:space="preserve">—</x:t>
        </x:is>
      </x:c>
      <x:c r="AD32" s="30" t="str">
        <x:v>KPI-31</x:v>
      </x:c>
      <x:c r="AE32" s="30" t="str">
        <x:v>Proposed</x:v>
      </x:c>
    </x:row>
    <x:row r="33">
      <x:c r="A33" s="19" t="inlineStr">
        <x:is>
          <x:t xml:space="preserve">KPI-32</x:t>
        </x:is>
      </x:c>
      <x:c r="B33" s="6" t="inlineStr">
        <x:is>
          <x:t xml:space="preserve">Time to Conversion</x:t>
        </x:is>
      </x:c>
      <x:c r="C33" s="6" t="inlineStr">
        <x:is>
          <x:t xml:space="preserve">میانگین زمان تا تبدیل</x:t>
        </x:is>
      </x:c>
      <x:c r="D33" s="6" t="inlineStr">
        <x:is>
          <x:t xml:space="preserve">TTC</x:t>
        </x:is>
      </x:c>
      <x:c r="E33" s="6" t="inlineStr">
        <x:is>
          <x:t xml:space="preserve">سایت و قیف CRO</x:t>
        </x:is>
      </x:c>
      <x:c r="F33" s="6" t="inlineStr">
        <x:is>
          <x:t xml:space="preserve">فاصله زمانی اولین تعامل تا خرید قطعی</x:t>
        </x:is>
      </x:c>
      <x:c r="G33" s="6" t="inlineStr">
        <x:is>
          <x:t xml:space="preserve">AVG(FirstTouchTs − PurchaseTs) per Converted Customer</x:t>
        </x:is>
      </x:c>
      <x:c r="H33" s="6" t="inlineStr">
        <x:is>
          <x:t xml:space="preserve">Σ decision days</x:t>
        </x:is>
      </x:c>
      <x:c r="I33" s="6" t="inlineStr">
        <x:is>
          <x:t xml:space="preserve">Converted Customers</x:t>
        </x:is>
      </x:c>
      <x:c r="J33" s="6" t="inlineStr">
        <x:is>
          <x:t xml:space="preserve">روز/ساعت</x:t>
        </x:is>
      </x:c>
      <x:c r="K33" s="6" t="inlineStr">
        <x:is>
          <x:t xml:space="preserve">Conversion Cycle</x:t>
        </x:is>
      </x:c>
      <x:c r="L33" s="6" t="inlineStr">
        <x:is>
          <x:t xml:space="preserve">Category/Segment/Channel</x:t>
        </x:is>
      </x:c>
      <x:c r="M33" s="6" t="inlineStr">
        <x:is>
          <x:t xml:space="preserve">GA4 Path, CRM, DWH</x:t>
        </x:is>
      </x:c>
      <x:c r="N33" s="6" t="inlineStr">
        <x:is>
          <x:t xml:space="preserve">EVT-01..EVT-13</x:t>
        </x:is>
      </x:c>
      <x:c r="O33" s="6" t="inlineStr">
        <x:is>
          <x:t xml:space="preserve">—</x:t>
        </x:is>
      </x:c>
      <x:c r="P33" s="6" t="inlineStr">
        <x:is>
          <x:t xml:space="preserve">DIM-17,19,01</x:t>
        </x:is>
      </x:c>
      <x:c r="Q33" s="6" t="inlineStr">
        <x:is>
          <x:t xml:space="preserve">ماهانه/فصلی</x:t>
        </x:is>
      </x:c>
      <x:c r="R33" s="6" t="inlineStr">
        <x:is>
          <x:t xml:space="preserve">طولانی‌شدن تامل/مشاوره بیشتر/تردید</x:t>
        </x:is>
      </x:c>
      <x:c r="S33" s="6" t="inlineStr">
        <x:is>
          <x:t xml:space="preserve">اعتماد/شفافیت/فوریت نیاز</x:t>
        </x:is>
      </x:c>
      <x:c r="T33" s="6" t="inlineStr">
        <x:is>
          <x:t xml:space="preserve">KPI-29,KPI-80</x:t>
        </x:is>
      </x:c>
      <x:c r="U33" s="6" t="inlineStr">
        <x:is>
          <x:t xml:space="preserve">ارزیابی کمپین تجهیزات در ۷ روز (میانگین ۳۵ روز)</x:t>
        </x:is>
      </x:c>
      <x:c r="V33" s="6" t="inlineStr">
        <x:is>
          <x:t xml:space="preserve">پاک‌شدن کوکی → ریست مبدأ</x:t>
        </x:is>
      </x:c>
      <x:c r="W33" s="6" t="inlineStr">
        <x:is>
          <x:t xml:space="preserve">مواد &lt; 3 روز | تجهیزات ۲۰-۴۰ روز</x:t>
        </x:is>
      </x:c>
      <x:c r="X33" s="6" t="inlineStr">
        <x:is>
          <x:t xml:space="preserve">فرض اولیه — نیازمند اعتبارسنجی با داده واقعی Titana</x:t>
        </x:is>
      </x:c>
      <x:c r="Y33" s="6" t="inlineStr">
        <x:is>
          <x:t xml:space="preserve">پنجره اتریبیوشن ۳۰-۶۰ روز + تغذیه لیدهای راکد</x:t>
        </x:is>
      </x:c>
      <x:c r="Z33" s="19" t="inlineStr">
        <x:is>
          <x:t xml:space="preserve">W4</x:t>
        </x:is>
      </x:c>
      <x:c r="AA33" s="19" t="inlineStr">
        <x:is>
          <x:t xml:space="preserve">High</x:t>
        </x:is>
      </x:c>
      <x:c r="AB33" s="6" t="inlineStr">
        <x:is>
          <x:t xml:space="preserve">تحلیل‌گر داده</x:t>
        </x:is>
      </x:c>
      <x:c r="AC33" s="6" t="inlineStr">
        <x:is>
          <x:t xml:space="preserve">—</x:t>
        </x:is>
      </x:c>
      <x:c r="AD33" s="30" t="str">
        <x:v>KPI-32</x:v>
      </x:c>
      <x:c r="AE33" s="30" t="str">
        <x:v>Proposed</x:v>
      </x:c>
    </x:row>
    <x:row r="34">
      <x:c r="A34" s="17" t="inlineStr">
        <x:is>
          <x:t xml:space="preserve">KPI-33</x:t>
        </x:is>
      </x:c>
      <x:c r="B34" s="4" t="inlineStr">
        <x:is>
          <x:t xml:space="preserve">Gross Revenue</x:t>
        </x:is>
      </x:c>
      <x:c r="C34" s="4" t="inlineStr">
        <x:is>
          <x:t xml:space="preserve">درآمد ناخالص فروش</x:t>
        </x:is>
      </x:c>
      <x:c r="D34" s="4" t="inlineStr">
        <x:is>
          <x:t xml:space="preserve">Gross Rev</x:t>
        </x:is>
      </x:c>
      <x:c r="E34" s="4" t="inlineStr">
        <x:is>
          <x:t xml:space="preserve">درآمد و سفارش</x:t>
        </x:is>
      </x:c>
      <x:c r="F34" s="4" t="inlineStr">
        <x:is>
          <x:t xml:space="preserve">مجموع ارزش اسمی فاکتورها قبل از کسورات</x:t>
        </x:is>
      </x:c>
      <x:c r="G34" s="4" t="inlineStr">
        <x:is>
          <x:t xml:space="preserve">SUM(Item Qty × List Price)</x:t>
        </x:is>
      </x:c>
      <x:c r="H34" s="4" t="inlineStr">
        <x:is>
          <x:t xml:space="preserve">—</x:t>
        </x:is>
      </x:c>
      <x:c r="I34" s="4" t="inlineStr">
        <x:is>
          <x:t xml:space="preserve">—</x:t>
        </x:is>
      </x:c>
      <x:c r="J34" s="4" t="inlineStr">
        <x:is>
          <x:t xml:space="preserve">ریال</x:t>
        </x:is>
      </x:c>
      <x:c r="K34" s="4" t="inlineStr">
        <x:is>
          <x:t xml:space="preserve">Revenue Volume</x:t>
        </x:is>
      </x:c>
      <x:c r="L34" s="4" t="inlineStr">
        <x:is>
          <x:t xml:space="preserve">Company/Channel/Category/SKU</x:t>
        </x:is>
      </x:c>
      <x:c r="M34" s="4" t="inlineStr">
        <x:is>
          <x:t xml:space="preserve">E-com DB, حسابداری</x:t>
        </x:is>
      </x:c>
      <x:c r="N34" s="4" t="inlineStr">
        <x:is>
          <x:t xml:space="preserve">EVT-13</x:t>
        </x:is>
      </x:c>
      <x:c r="O34" s="4" t="inlineStr">
        <x:is>
          <x:t xml:space="preserve">MET-19</x:t>
        </x:is>
      </x:c>
      <x:c r="P34" s="4" t="inlineStr">
        <x:is>
          <x:t xml:space="preserve">DIM-17,01,21,27</x:t>
        </x:is>
      </x:c>
      <x:c r="Q34" s="4" t="inlineStr">
        <x:is>
          <x:t xml:space="preserve">روزانه/سالانه</x:t>
        </x:is>
      </x:c>
      <x:c r="R34" s="4" t="inlineStr">
        <x:is>
          <x:t xml:space="preserve">گسترش فروش ناخالص/تقاضا کل</x:t>
        </x:is>
      </x:c>
      <x:c r="S34" s="4" t="inlineStr">
        <x:is>
          <x:t xml:space="preserve">افت تقاضا/رکود تاسیس مطب/سهم رقبای</x:t>
        </x:is>
      </x:c>
      <x:c r="T34" s="4" t="inlineStr">
        <x:is>
          <x:t xml:space="preserve">KPI-34,KPI-35</x:t>
        </x:is>
      </x:c>
      <x:c r="U34" s="4" t="inlineStr">
        <x:is>
          <x:t xml:space="preserve">اتکا به ناخالص بدون تخفیف/مرجوعی</x:t>
        </x:is>
      </x:c>
      <x:c r="V34" s="4" t="inlineStr">
        <x:is>
          <x:t xml:space="preserve">تصویر سودآوری/نقدینگی نمی‌دهد</x:t>
        </x:is>
      </x:c>
      <x:c r="W34" s="4" t="inlineStr">
        <x:is>
          <x:t xml:space="preserve">رشد ماهیانه ۸-۱۲٪ اسمی</x:t>
        </x:is>
      </x:c>
      <x:c r="X34" s="4" t="inlineStr">
        <x:is>
          <x:t xml:space="preserve">فرض اولیه — نیازمند اعتبارسنجی با داده واقعی Titana</x:t>
        </x:is>
      </x:c>
      <x:c r="Y34" s="4" t="inlineStr">
        <x:is>
          <x:t xml:space="preserve">پایش هفتگی فاصله ناخالص↔خالص</x:t>
        </x:is>
      </x:c>
      <x:c r="Z34" s="17" t="inlineStr">
        <x:is>
          <x:t xml:space="preserve">W4</x:t>
        </x:is>
      </x:c>
      <x:c r="AA34" s="17" t="inlineStr">
        <x:is>
          <x:t xml:space="preserve">Critical</x:t>
        </x:is>
      </x:c>
      <x:c r="AB34" s="4" t="inlineStr">
        <x:is>
          <x:t xml:space="preserve">Data Engineer</x:t>
        </x:is>
      </x:c>
      <x:c r="AC34" s="4" t="inlineStr">
        <x:is>
          <x:t xml:space="preserve">تطبیق ۱۰۰٪ با حسابداری</x:t>
        </x:is>
      </x:c>
      <x:c r="AD34" s="30" t="str">
        <x:v>KPI-33</x:v>
      </x:c>
      <x:c r="AE34" s="30" t="str">
        <x:v>Proposed</x:v>
      </x:c>
    </x:row>
    <x:row r="35">
      <x:c r="A35" s="19" t="inlineStr">
        <x:is>
          <x:t xml:space="preserve">KPI-34</x:t>
        </x:is>
      </x:c>
      <x:c r="B35" s="6" t="inlineStr">
        <x:is>
          <x:t xml:space="preserve">Net Revenue</x:t>
        </x:is>
      </x:c>
      <x:c r="C35" s="6" t="inlineStr">
        <x:is>
          <x:t xml:space="preserve">درآمد خالص فروش</x:t>
        </x:is>
      </x:c>
      <x:c r="D35" s="6" t="inlineStr">
        <x:is>
          <x:t xml:space="preserve">Net Rev</x:t>
        </x:is>
      </x:c>
      <x:c r="E35" s="6" t="inlineStr">
        <x:is>
          <x:t xml:space="preserve">درآمد و سفارش</x:t>
        </x:is>
      </x:c>
      <x:c r="F35" s="6" t="inlineStr">
        <x:is>
          <x:t xml:space="preserve">درآمد پس از تخفیف/لغو/مرجوعی/VAT</x:t>
        </x:is>
      </x:c>
      <x:c r="G35" s="6" t="inlineStr">
        <x:is>
          <x:t xml:space="preserve">Gross − (Discounts + Returns + Cancellations + VAT)</x:t>
        </x:is>
      </x:c>
      <x:c r="H35" s="6" t="inlineStr">
        <x:is>
          <x:t xml:space="preserve">—</x:t>
        </x:is>
      </x:c>
      <x:c r="I35" s="6" t="inlineStr">
        <x:is>
          <x:t xml:space="preserve">—</x:t>
        </x:is>
      </x:c>
      <x:c r="J35" s="6" t="inlineStr">
        <x:is>
          <x:t xml:space="preserve">ریال</x:t>
        </x:is>
      </x:c>
      <x:c r="K35" s="6" t="inlineStr">
        <x:is>
          <x:t xml:space="preserve">True Revenue</x:t>
        </x:is>
      </x:c>
      <x:c r="L35" s="6" t="inlineStr">
        <x:is>
          <x:t xml:space="preserve">Company/Campaign/Channel</x:t>
        </x:is>
      </x:c>
      <x:c r="M35" s="6" t="inlineStr">
        <x:is>
          <x:t xml:space="preserve">حسابداری (سپیدار), DWH</x:t>
        </x:is>
      </x:c>
      <x:c r="N35" s="6" t="inlineStr">
        <x:is>
          <x:t xml:space="preserve">EVT-13,EVT-14</x:t>
        </x:is>
      </x:c>
      <x:c r="O35" s="6" t="inlineStr">
        <x:is>
          <x:t xml:space="preserve">MET-21</x:t>
        </x:is>
      </x:c>
      <x:c r="P35" s="6" t="inlineStr">
        <x:is>
          <x:t xml:space="preserve">DIM-01,04,21,29</x:t>
        </x:is>
      </x:c>
      <x:c r="Q35" s="6" t="inlineStr">
        <x:is>
          <x:t xml:space="preserve">ماهانه/فصلی</x:t>
        </x:is>
      </x:c>
      <x:c r="R35" s="6" t="inlineStr">
        <x:is>
          <x:t xml:space="preserve">سلامت مالی/کیفیت سفارشات</x:t>
        </x:is>
      </x:c>
      <x:c r="S35" s="6" t="inlineStr">
        <x:is>
          <x:t xml:space="preserve">تخفیف افسارگسیخته/مرجوعی/انصراف چکی</x:t>
        </x:is>
      </x:c>
      <x:c r="T35" s="6" t="inlineStr">
        <x:is>
          <x:t xml:space="preserve">KPI-33,KPI-45</x:t>
        </x:is>
      </x:c>
      <x:c r="U35" s="6" t="inlineStr">
        <x:is>
          <x:t xml:space="preserve">استفاده از Gross در داشبورد مارکتینگ</x:t>
        </x:is>
      </x:c>
      <x:c r="V35" s="6" t="inlineStr">
        <x:is>
          <x:t xml:space="preserve">تأخیر ثبت اسناد مرجوعی</x:t>
        </x:is>
      </x:c>
      <x:c r="W35" s="6" t="inlineStr">
        <x:is>
          <x:t xml:space="preserve">نسبت خالص/ناخالص &gt; 88٪</x:t>
        </x:is>
      </x:c>
      <x:c r="X35" s="6" t="inlineStr">
        <x:is>
          <x:t xml:space="preserve">فرض اولیه — نیازمند اعتبارسنجی با داده واقعی Titana</x:t>
        </x:is>
      </x:c>
      <x:c r="Y35" s="6" t="inlineStr">
        <x:is>
          <x:t xml:space="preserve">افت نسبت به &lt;۸۰٪ → بررسی ساختار تخفیف</x:t>
        </x:is>
      </x:c>
      <x:c r="Z35" s="19" t="inlineStr">
        <x:is>
          <x:t xml:space="preserve">W4</x:t>
        </x:is>
      </x:c>
      <x:c r="AA35" s="19" t="inlineStr">
        <x:is>
          <x:t xml:space="preserve">Critical</x:t>
        </x:is>
      </x:c>
      <x:c r="AB35" s="6" t="inlineStr">
        <x:is>
          <x:t xml:space="preserve">Data Engineer</x:t>
        </x:is>
      </x:c>
      <x:c r="AC35" s="6" t="inlineStr">
        <x:is>
          <x:t xml:space="preserve">مغایرت صفر با دفاتر قانونی</x:t>
        </x:is>
      </x:c>
      <x:c r="AD35" s="30" t="str">
        <x:v>KPI-34</x:v>
      </x:c>
      <x:c r="AE35" s="30" t="str">
        <x:v>Proposed</x:v>
      </x:c>
    </x:row>
    <x:row r="36">
      <x:c r="A36" s="17" t="inlineStr">
        <x:is>
          <x:t xml:space="preserve">KPI-35</x:t>
        </x:is>
      </x:c>
      <x:c r="B36" s="4" t="inlineStr">
        <x:is>
          <x:t xml:space="preserve">Average Order Value</x:t>
        </x:is>
      </x:c>
      <x:c r="C36" s="4" t="inlineStr">
        <x:is>
          <x:t xml:space="preserve">ارزش میانگین سفارش</x:t>
        </x:is>
      </x:c>
      <x:c r="D36" s="4" t="inlineStr">
        <x:is>
          <x:t xml:space="preserve">AOV</x:t>
        </x:is>
      </x:c>
      <x:c r="E36" s="4" t="inlineStr">
        <x:is>
          <x:t xml:space="preserve">درآمد و سفارش</x:t>
        </x:is>
      </x:c>
      <x:c r="F36" s="4" t="inlineStr">
        <x:is>
          <x:t xml:space="preserve">میانگین مبلغ خالص هر سبد تکمیل‌شده</x:t>
        </x:is>
      </x:c>
      <x:c r="G36" s="4" t="inlineStr">
        <x:is>
          <x:t xml:space="preserve">Net Revenue / Completed Orders</x:t>
        </x:is>
      </x:c>
      <x:c r="H36" s="4" t="inlineStr">
        <x:is>
          <x:t xml:space="preserve">Net Revenue</x:t>
        </x:is>
      </x:c>
      <x:c r="I36" s="4" t="inlineStr">
        <x:is>
          <x:t xml:space="preserve">Orders</x:t>
        </x:is>
      </x:c>
      <x:c r="J36" s="4" t="inlineStr">
        <x:is>
          <x:t xml:space="preserve">ریال</x:t>
        </x:is>
      </x:c>
      <x:c r="K36" s="4" t="inlineStr">
        <x:is>
          <x:t xml:space="preserve">Avg Value</x:t>
        </x:is>
      </x:c>
      <x:c r="L36" s="4" t="inlineStr">
        <x:is>
          <x:t xml:space="preserve">Segment/Source/Category</x:t>
        </x:is>
      </x:c>
      <x:c r="M36" s="4" t="inlineStr">
        <x:is>
          <x:t xml:space="preserve">Backend, CRM</x:t>
        </x:is>
      </x:c>
      <x:c r="N36" s="4" t="inlineStr">
        <x:is>
          <x:t xml:space="preserve">EVT-13</x:t>
        </x:is>
      </x:c>
      <x:c r="O36" s="4" t="inlineStr">
        <x:is>
          <x:t xml:space="preserve">MET-21/MET-29</x:t>
        </x:is>
      </x:c>
      <x:c r="P36" s="4" t="inlineStr">
        <x:is>
          <x:t xml:space="preserve">DIM-17,19,02</x:t>
        </x:is>
      </x:c>
      <x:c r="Q36" s="4" t="inlineStr">
        <x:is>
          <x:t xml:space="preserve">هفتگی/ماهانه</x:t>
        </x:is>
      </x:c>
      <x:c r="R36" s="4" t="inlineStr">
        <x:is>
          <x:t xml:space="preserve">موفقیت Cross-sell/خرید عمده کلینیک‌ها</x:t>
        </x:is>
      </x:c>
      <x:c r="S36" s="4" t="inlineStr">
        <x:is>
          <x:t xml:space="preserve">خرید خرد مکرر/نقدینگی ضعیف مطب</x:t>
        </x:is>
      </x:c>
      <x:c r="T36" s="4" t="inlineStr">
        <x:is>
          <x:t xml:space="preserve">KPI-34,KPI-36</x:t>
        </x:is>
      </x:c>
      <x:c r="U36" s="4" t="inlineStr">
        <x:is>
          <x:t xml:space="preserve">مخلوط‌کردن یونیت چندصد میلیونی با بسته دستکش</x:t>
        </x:is>
      </x:c>
      <x:c r="V36" s="4" t="inlineStr">
        <x:is>
          <x:t xml:space="preserve">حساس به سفارش‌های پرت</x:t>
        </x:is>
      </x:c>
      <x:c r="W36" s="4" t="inlineStr">
        <x:is>
          <x:t xml:space="preserve">مواد &gt; 35,000,000 | تجهیزات &gt; 400,000,000 ریال</x:t>
        </x:is>
      </x:c>
      <x:c r="X36" s="4" t="inlineStr">
        <x:is>
          <x:t xml:space="preserve">فرض اولیه — نیازمند اعتبارسنجی با داده واقعی Titana</x:t>
        </x:is>
      </x:c>
      <x:c r="Y36" s="4" t="inlineStr">
        <x:is>
          <x:t xml:space="preserve">آستانه ارسال رایگان بالای ۴ میلیون تومان</x:t>
        </x:is>
      </x:c>
      <x:c r="Z36" s="17" t="inlineStr">
        <x:is>
          <x:t xml:space="preserve">W4</x:t>
        </x:is>
      </x:c>
      <x:c r="AA36" s="17" t="inlineStr">
        <x:is>
          <x:t xml:space="preserve">Critical</x:t>
        </x:is>
      </x:c>
      <x:c r="AB36" s="4" t="inlineStr">
        <x:is>
          <x:t xml:space="preserve">Data Analyst</x:t>
        </x:is>
      </x:c>
      <x:c r="AC36" s="4" t="inlineStr">
        <x:is>
          <x:t xml:space="preserve">—</x:t>
        </x:is>
      </x:c>
      <x:c r="AD36" s="30" t="str">
        <x:v>KPI-35</x:v>
      </x:c>
      <x:c r="AE36" s="30" t="str">
        <x:v>Proposed</x:v>
      </x:c>
    </x:row>
    <x:row r="37">
      <x:c r="A37" s="19" t="inlineStr">
        <x:is>
          <x:t xml:space="preserve">KPI-36</x:t>
        </x:is>
      </x:c>
      <x:c r="B37" s="6" t="inlineStr">
        <x:is>
          <x:t xml:space="preserve">Items per Order</x:t>
        </x:is>
      </x:c>
      <x:c r="C37" s="6" t="inlineStr">
        <x:is>
          <x:t xml:space="preserve">تعداد اقلام در هر سفارش</x:t>
        </x:is>
      </x:c>
      <x:c r="D37" s="6" t="inlineStr">
        <x:is>
          <x:t xml:space="preserve">IPO</x:t>
        </x:is>
      </x:c>
      <x:c r="E37" s="6" t="inlineStr">
        <x:is>
          <x:t xml:space="preserve">درآمد و سفارش</x:t>
        </x:is>
      </x:c>
      <x:c r="F37" s="6" t="inlineStr">
        <x:is>
          <x:t xml:space="preserve">میانگین واحدهای کالایی هر سبد</x:t>
        </x:is>
      </x:c>
      <x:c r="G37" s="6" t="inlineStr">
        <x:is>
          <x:t xml:space="preserve">Total Units Sold / Total Orders</x:t>
        </x:is>
      </x:c>
      <x:c r="H37" s="6" t="inlineStr">
        <x:is>
          <x:t xml:space="preserve">Units</x:t>
        </x:is>
      </x:c>
      <x:c r="I37" s="6" t="inlineStr">
        <x:is>
          <x:t xml:space="preserve">Orders</x:t>
        </x:is>
      </x:c>
      <x:c r="J37" s="6" t="inlineStr">
        <x:is>
          <x:t xml:space="preserve">اعشاری</x:t>
        </x:is>
      </x:c>
      <x:c r="K37" s="6" t="inlineStr">
        <x:is>
          <x:t xml:space="preserve">Basket Size</x:t>
        </x:is>
      </x:c>
      <x:c r="L37" s="6" t="inlineStr">
        <x:is>
          <x:t xml:space="preserve">Order/Category/Campaign</x:t>
        </x:is>
      </x:c>
      <x:c r="M37" s="6" t="inlineStr">
        <x:is>
          <x:t xml:space="preserve">fct_order_item</x:t>
        </x:is>
      </x:c>
      <x:c r="N37" s="6" t="inlineStr">
        <x:is>
          <x:t xml:space="preserve">EVT-13</x:t>
        </x:is>
      </x:c>
      <x:c r="O37" s="6" t="inlineStr">
        <x:is>
          <x:t xml:space="preserve">MET-28/MET-29</x:t>
        </x:is>
      </x:c>
      <x:c r="P37" s="6" t="inlineStr">
        <x:is>
          <x:t xml:space="preserve">DIM-19,17,04</x:t>
        </x:is>
      </x:c>
      <x:c r="Q37" s="6" t="inlineStr">
        <x:is>
          <x:t xml:space="preserve">ماهانه</x:t>
        </x:is>
      </x:c>
      <x:c r="R37" s="6" t="inlineStr">
        <x:is>
          <x:t xml:space="preserve">استقبال از پک‌های درمانی</x:t>
        </x:is>
      </x:c>
      <x:c r="S37" s="6" t="inlineStr">
        <x:is>
          <x:t xml:space="preserve">تک‌محصولی اضطراری/ضعف پیشنهاد مکمل</x:t>
        </x:is>
      </x:c>
      <x:c r="T37" s="6" t="inlineStr">
        <x:is>
          <x:t xml:space="preserve">KPI-35</x:t>
        </x:is>
      </x:c>
      <x:c r="U37" s="6" t="inlineStr">
        <x:is>
          <x:t xml:space="preserve">شمارش بسته ۱۰۰ عددی به‌عنوان ۱۰۰ قلم</x:t>
        </x:is>
      </x:c>
      <x:c r="V37" s="6" t="inlineStr">
        <x:is>
          <x:t xml:space="preserve">برای تجهیزات ≈ ۱</x:t>
        </x:is>
      </x:c>
      <x:c r="W37" s="6" t="inlineStr">
        <x:is>
          <x:t xml:space="preserve">مواد: ۳.۸ تا ۵.۵ قلم</x:t>
        </x:is>
      </x:c>
      <x:c r="X37" s="6" t="inlineStr">
        <x:is>
          <x:t xml:space="preserve">فرض اولیه — نیازمند اعتبارسنجی با داده واقعی Titana</x:t>
        </x:is>
      </x:c>
      <x:c r="Y37" s="6" t="inlineStr">
        <x:is>
          <x:t xml:space="preserve">ماژول خرید این کالا با تخفیف ۵٪ پک</x:t>
        </x:is>
      </x:c>
      <x:c r="Z37" s="19" t="inlineStr">
        <x:is>
          <x:t xml:space="preserve">W4</x:t>
        </x:is>
      </x:c>
      <x:c r="AA37" s="19" t="inlineStr">
        <x:is>
          <x:t xml:space="preserve">Medium</x:t>
        </x:is>
      </x:c>
      <x:c r="AB37" s="6" t="inlineStr">
        <x:is>
          <x:t xml:space="preserve">Data Analyst</x:t>
        </x:is>
      </x:c>
      <x:c r="AC37" s="6" t="inlineStr">
        <x:is>
          <x:t xml:space="preserve">—</x:t>
        </x:is>
      </x:c>
      <x:c r="AD37" s="30" t="str">
        <x:v>KPI-36</x:v>
      </x:c>
      <x:c r="AE37" s="30" t="str">
        <x:v>Proposed</x:v>
      </x:c>
    </x:row>
    <x:row r="38">
      <x:c r="A38" s="17" t="inlineStr">
        <x:is>
          <x:t xml:space="preserve">KPI-37</x:t>
        </x:is>
      </x:c>
      <x:c r="B38" s="4" t="inlineStr">
        <x:is>
          <x:t xml:space="preserve">Average Revenue Per User</x:t>
        </x:is>
      </x:c>
      <x:c r="C38" s="4" t="inlineStr">
        <x:is>
          <x:t xml:space="preserve">درآمد به ازای هر کاربر</x:t>
        </x:is>
      </x:c>
      <x:c r="D38" s="4" t="inlineStr">
        <x:is>
          <x:t xml:space="preserve">ARPU</x:t>
        </x:is>
      </x:c>
      <x:c r="E38" s="4" t="inlineStr">
        <x:is>
          <x:t xml:space="preserve">درآمد و سفارش</x:t>
        </x:is>
      </x:c>
      <x:c r="F38" s="4" t="inlineStr">
        <x:is>
          <x:t xml:space="preserve">میانگین درآمد کل کاربران ثبت‌شده فعال</x:t>
        </x:is>
      </x:c>
      <x:c r="G38" s="4" t="inlineStr">
        <x:is>
          <x:t xml:space="preserve">Net Revenue / Registered Users in Period</x:t>
        </x:is>
      </x:c>
      <x:c r="H38" s="4" t="inlineStr">
        <x:is>
          <x:t xml:space="preserve">Net Revenue</x:t>
        </x:is>
      </x:c>
      <x:c r="I38" s="4" t="inlineStr">
        <x:is>
          <x:t xml:space="preserve">Registered Users</x:t>
        </x:is>
      </x:c>
      <x:c r="J38" s="4" t="inlineStr">
        <x:is>
          <x:t xml:space="preserve">ریال</x:t>
        </x:is>
      </x:c>
      <x:c r="K38" s="4" t="inlineStr">
        <x:is>
          <x:t xml:space="preserve">Base Revenue</x:t>
        </x:is>
      </x:c>
      <x:c r="L38" s="4" t="inlineStr">
        <x:is>
          <x:t xml:space="preserve">Cohort/RegistrationChannel</x:t>
        </x:is>
      </x:c>
      <x:c r="M38" s="4" t="inlineStr">
        <x:is>
          <x:t xml:space="preserve">DWH (CRM+مالی)</x:t>
        </x:is>
      </x:c>
      <x:c r="N38" s="4" t="inlineStr">
        <x:is>
          <x:t xml:space="preserve">EVT-13</x:t>
        </x:is>
      </x:c>
      <x:c r="O38" s="4" t="inlineStr">
        <x:is>
          <x:t xml:space="preserve">MET-21</x:t>
        </x:is>
      </x:c>
      <x:c r="P38" s="4" t="inlineStr">
        <x:is>
          <x:t xml:space="preserve">DIM-19,21</x:t>
        </x:is>
      </x:c>
      <x:c r="Q38" s="4" t="inlineStr">
        <x:is>
          <x:t xml:space="preserve">ماهانه/سالانه</x:t>
        </x:is>
      </x:c>
      <x:c r="R38" s="4" t="inlineStr">
        <x:is>
          <x:t xml:space="preserve">نفوذ کیف پول/تبدیل غیرفعال</x:t>
        </x:is>
      </x:c>
      <x:c r="S38" s="4" t="inlineStr">
        <x:is>
          <x:t xml:space="preserve">رushing ثبت‌نام بی‌ربط/رکود دوره‌ای</x:t>
        </x:is>
      </x:c>
      <x:c r="T38" s="4" t="inlineStr">
        <x:is>
          <x:t xml:space="preserve">KPI-38,KPI-57</x:t>
        </x:is>
      </x:c>
      <x:c r="U38" s="4" t="inlineStr">
        <x:is>
          <x:t xml:space="preserve">اشتباه ARPU با ARPPU</x:t>
        </x:is>
      </x:c>
      <x:c r="V38" s="4" t="inlineStr">
        <x:is>
          <x:t xml:space="preserve">سرکوب‌شدگی با کاربران غیرفعال قدیمی</x:t>
        </x:is>
      </x:c>
      <x:c r="W38" s="4" t="inlineStr">
        <x:is>
          <x:t xml:space="preserve">رشد سالانه ≥ 20٪ کوهورت‌ها</x:t>
        </x:is>
      </x:c>
      <x:c r="X38" s="4" t="inlineStr">
        <x:is>
          <x:t xml:space="preserve">فرض اولیه — نیازمند اعتبارسنجی با داده واقعی Titana</x:t>
        </x:is>
      </x:c>
      <x:c r="Y38" s="4" t="inlineStr">
        <x:is>
          <x:t xml:space="preserve">کمپین تخفیف خوش‌آمدگویی برای بدون‌خریدها</x:t>
        </x:is>
      </x:c>
      <x:c r="Z38" s="17" t="inlineStr">
        <x:is>
          <x:t xml:space="preserve">W4</x:t>
        </x:is>
      </x:c>
      <x:c r="AA38" s="17" t="inlineStr">
        <x:is>
          <x:t xml:space="preserve">High</x:t>
        </x:is>
      </x:c>
      <x:c r="AB38" s="4" t="inlineStr">
        <x:is>
          <x:t xml:space="preserve">Data Analyst</x:t>
        </x:is>
      </x:c>
      <x:c r="AC38" s="4" t="inlineStr">
        <x:is>
          <x:t xml:space="preserve">—</x:t>
        </x:is>
      </x:c>
      <x:c r="AD38" s="30" t="str">
        <x:v>KPI-37</x:v>
      </x:c>
      <x:c r="AE38" s="30" t="str">
        <x:v>Proposed</x:v>
      </x:c>
    </x:row>
    <x:row r="39">
      <x:c r="A39" s="19" t="inlineStr">
        <x:is>
          <x:t xml:space="preserve">KPI-38</x:t>
        </x:is>
      </x:c>
      <x:c r="B39" s="6" t="inlineStr">
        <x:is>
          <x:t xml:space="preserve">Average Revenue Per Paying User</x:t>
        </x:is>
      </x:c>
      <x:c r="C39" s="6" t="inlineStr">
        <x:is>
          <x:t xml:space="preserve">درآمد به ازای هر خریدار</x:t>
        </x:is>
      </x:c>
      <x:c r="D39" s="6" t="inlineStr">
        <x:is>
          <x:t xml:space="preserve">ARPPU</x:t>
        </x:is>
      </x:c>
      <x:c r="E39" s="6" t="inlineStr">
        <x:is>
          <x:t xml:space="preserve">درآمد و سفارش</x:t>
        </x:is>
      </x:c>
      <x:c r="F39" s="6" t="inlineStr">
        <x:is>
          <x:t xml:space="preserve">میانگین درآمد خالص هر مشتری با ≥۱ خرید</x:t>
        </x:is>
      </x:c>
      <x:c r="G39" s="6" t="inlineStr">
        <x:is>
          <x:t xml:space="preserve">Net Revenue / Unique Paying Customers</x:t>
        </x:is>
      </x:c>
      <x:c r="H39" s="6" t="inlineStr">
        <x:is>
          <x:t xml:space="preserve">Net Revenue</x:t>
        </x:is>
      </x:c>
      <x:c r="I39" s="6" t="inlineStr">
        <x:is>
          <x:t xml:space="preserve">Paying Customers</x:t>
        </x:is>
      </x:c>
      <x:c r="J39" s="6" t="inlineStr">
        <x:is>
          <x:t xml:space="preserve">ریال</x:t>
        </x:is>
      </x:c>
      <x:c r="K39" s="6" t="inlineStr">
        <x:is>
          <x:t xml:space="preserve">Active Spend Power</x:t>
        </x:is>
      </x:c>
      <x:c r="L39" s="6" t="inlineStr">
        <x:is>
          <x:t xml:space="preserve">Segment/SpecialtyTier</x:t>
        </x:is>
      </x:c>
      <x:c r="M39" s="6" t="inlineStr">
        <x:is>
          <x:t xml:space="preserve">حسابداری+DWH</x:t>
        </x:is>
      </x:c>
      <x:c r="N39" s="6" t="inlineStr">
        <x:is>
          <x:t xml:space="preserve">EVT-13</x:t>
        </x:is>
      </x:c>
      <x:c r="O39" s="6" t="inlineStr">
        <x:is>
          <x:t xml:space="preserve">MET-21</x:t>
        </x:is>
      </x:c>
      <x:c r="P39" s="6" t="inlineStr">
        <x:is>
          <x:t xml:space="preserve">DIM-19,20</x:t>
        </x:is>
      </x:c>
      <x:c r="Q39" s="6" t="inlineStr">
        <x:is>
          <x:t xml:space="preserve">فصلی/سالانه</x:t>
        </x:is>
      </x:c>
      <x:c r="R39" s="6" t="inlineStr">
        <x:is>
          <x:t xml:space="preserve">خرید گران‌تر/تامین ۱۰۰٪ مواد</x:t>
        </x:is>
      </x:c>
      <x:c r="S39" s="6" t="inlineStr">
        <x:is>
          <x:t xml:space="preserve">ریزش سبد به رقبا/تقلیل حجم کار</x:t>
        </x:is>
      </x:c>
      <x:c r="T39" s="6" t="inlineStr">
        <x:is>
          <x:t xml:space="preserve">KPI-37,KPI-57</x:t>
        </x:is>
      </x:c>
      <x:c r="U39" s="6" t="inlineStr">
        <x:is>
          <x:t xml:space="preserve">وزن بالای کلینیک‌های زنجیره‌ای</x:t>
        </x:is>
      </x:c>
      <x:c r="V39" s="6" t="inlineStr">
        <x:is>
          <x:t xml:space="preserve">بدون Frequency درک ناپایدار</x:t>
        </x:is>
      </x:c>
      <x:c r="W39" s="6" t="inlineStr">
        <x:is>
          <x:t xml:space="preserve">≥ 150,000,000 ریال/سال (مواد عمومی)</x:t>
        </x:is>
      </x:c>
      <x:c r="X39" s="6" t="inlineStr">
        <x:is>
          <x:t xml:space="preserve">فرض اولیه — نیازمند اعتبارسنجی با داده واقعی Titana</x:t>
        </x:is>
      </x:c>
      <x:c r="Y39" s="6" t="inlineStr">
        <x:is>
          <x:t xml:space="preserve">مدیر حساب اختصاصی برای چارک بالایی</x:t>
        </x:is>
      </x:c>
      <x:c r="Z39" s="19" t="inlineStr">
        <x:is>
          <x:t xml:space="preserve">W4</x:t>
        </x:is>
      </x:c>
      <x:c r="AA39" s="19" t="inlineStr">
        <x:is>
          <x:t xml:space="preserve">High</x:t>
        </x:is>
      </x:c>
      <x:c r="AB39" s="6" t="inlineStr">
        <x:is>
          <x:t xml:space="preserve">Data Analyst</x:t>
        </x:is>
      </x:c>
      <x:c r="AC39" s="6" t="inlineStr">
        <x:is>
          <x:t xml:space="preserve">—</x:t>
        </x:is>
      </x:c>
      <x:c r="AD39" s="30" t="str">
        <x:v>KPI-38</x:v>
      </x:c>
      <x:c r="AE39" s="30" t="str">
        <x:v>Proposed</x:v>
      </x:c>
    </x:row>
    <x:row r="40">
      <x:c r="A40" s="17" t="inlineStr">
        <x:is>
          <x:t xml:space="preserve">KPI-39</x:t>
        </x:is>
      </x:c>
      <x:c r="B40" s="4" t="inlineStr">
        <x:is>
          <x:t xml:space="preserve">Revenue per Session</x:t>
        </x:is>
      </x:c>
      <x:c r="C40" s="4" t="inlineStr">
        <x:is>
          <x:t xml:space="preserve">درآمد به ازای هر نشست</x:t>
        </x:is>
      </x:c>
      <x:c r="D40" s="4" t="inlineStr">
        <x:is>
          <x:t xml:space="preserve">RPS</x:t>
        </x:is>
      </x:c>
      <x:c r="E40" s="4" t="inlineStr">
        <x:is>
          <x:t xml:space="preserve">درآمد و سفارش</x:t>
        </x:is>
      </x:c>
      <x:c r="F40" s="4" t="inlineStr">
        <x:is>
          <x:t xml:space="preserve">میانگین ارزش هر بار ورود به سایت</x:t>
        </x:is>
      </x:c>
      <x:c r="G40" s="4" t="inlineStr">
        <x:is>
          <x:t xml:space="preserve">Total Online Revenue / Web Sessions</x:t>
        </x:is>
      </x:c>
      <x:c r="H40" s="4" t="inlineStr">
        <x:is>
          <x:t xml:space="preserve">Online Revenue</x:t>
        </x:is>
      </x:c>
      <x:c r="I40" s="4" t="inlineStr">
        <x:is>
          <x:t xml:space="preserve">Sessions</x:t>
        </x:is>
      </x:c>
      <x:c r="J40" s="4" t="inlineStr">
        <x:is>
          <x:t xml:space="preserve">ریال/سشن</x:t>
        </x:is>
      </x:c>
      <x:c r="K40" s="4" t="inlineStr">
        <x:is>
          <x:t xml:space="preserve">Traffic Commerciality</x:t>
        </x:is>
      </x:c>
      <x:c r="L40" s="4" t="inlineStr">
        <x:is>
          <x:t xml:space="preserve">Source/LandingPage/Device</x:t>
        </x:is>
      </x:c>
      <x:c r="M40" s="4" t="inlineStr">
        <x:is>
          <x:t xml:space="preserve">GA4+پرداخت</x:t>
        </x:is>
      </x:c>
      <x:c r="N40" s="4" t="inlineStr">
        <x:is>
          <x:t xml:space="preserve">EVT-01,EVT-13</x:t>
        </x:is>
      </x:c>
      <x:c r="O40" s="4" t="inlineStr">
        <x:is>
          <x:t xml:space="preserve">MET-21/MET-07</x:t>
        </x:is>
      </x:c>
      <x:c r="P40" s="4" t="inlineStr">
        <x:is>
          <x:t xml:space="preserve">DIM-02,15,23</x:t>
        </x:is>
      </x:c>
      <x:c r="Q40" s="4" t="inlineStr">
        <x:is>
          <x:t xml:space="preserve">هفتگی/ماهانه</x:t>
        </x:is>
      </x:c>
      <x:c r="R40" s="4" t="inlineStr">
        <x:is>
          <x:t xml:space="preserve">ترافیک با قصد/چیدمان/متقاعدسازی</x:t>
        </x:is>
      </x:c>
      <x:c r="S40" s="4" t="inlineStr">
        <x:is>
          <x:t xml:space="preserve">ترافیک ارزان بی‌کیفیت/برخورد فیلتر/ناموجودی</x:t>
        </x:is>
      </x:c>
      <x:c r="T40" s="4" t="inlineStr">
        <x:is>
          <x:t xml:space="preserve">KPI-08,KPI-21</x:t>
        </x:is>
      </x:c>
      <x:c r="U40" s="4" t="inlineStr">
        <x:is>
          <x:t xml:space="preserve">خوشحالی از ترافیک با افت RPS</x:t>
        </x:is>
      </x:c>
      <x:c r="V40" s="4" t="inlineStr">
        <x:is>
          <x:t xml:space="preserve">ارزش سفارش تلفنی دیده نمی‌شود</x:t>
        </x:is>
      </x:c>
      <x:c r="W40" s="4" t="inlineStr">
        <x:is>
          <x:t xml:space="preserve">&gt; 120,000 ریال/سشن (ترافیک ادز)</x:t>
        </x:is>
      </x:c>
      <x:c r="X40" s="4" t="inlineStr">
        <x:is>
          <x:t xml:space="preserve">فرض اولیه — نیازمند اعتبارسنجی با داده واقعی Titana</x:t>
        </x:is>
      </x:c>
      <x:c r="Y40" s="4" t="inlineStr">
        <x:is>
          <x:t xml:space="preserve">کاهش بودجه کانال‌هایی که RPS &lt; ۵۰٪ CPC</x:t>
        </x:is>
      </x:c>
      <x:c r="Z40" s="17" t="inlineStr">
        <x:is>
          <x:t xml:space="preserve">W4</x:t>
        </x:is>
      </x:c>
      <x:c r="AA40" s="17" t="inlineStr">
        <x:is>
          <x:t xml:space="preserve">Critical</x:t>
        </x:is>
      </x:c>
      <x:c r="AB40" s="4" t="inlineStr">
        <x:is>
          <x:t xml:space="preserve">تحلیل‌گر داده</x:t>
        </x:is>
      </x:c>
      <x:c r="AC40" s="4" t="inlineStr">
        <x:is>
          <x:t xml:space="preserve">—</x:t>
        </x:is>
      </x:c>
      <x:c r="AD40" s="30" t="str">
        <x:v>KPI-39</x:v>
      </x:c>
      <x:c r="AE40" s="30" t="str">
        <x:v>Proposed</x:v>
      </x:c>
    </x:row>
    <x:row r="41">
      <x:c r="A41" s="19" t="inlineStr">
        <x:is>
          <x:t xml:space="preserve">KPI-40</x:t>
        </x:is>
      </x:c>
      <x:c r="B41" s="6" t="inlineStr">
        <x:is>
          <x:t xml:space="preserve">Revenue per Click</x:t>
        </x:is>
      </x:c>
      <x:c r="C41" s="6" t="inlineStr">
        <x:is>
          <x:t xml:space="preserve">درآمد به ازای هر کلیک</x:t>
        </x:is>
      </x:c>
      <x:c r="D41" s="6" t="inlineStr">
        <x:is>
          <x:t xml:space="preserve">RPC</x:t>
        </x:is>
      </x:c>
      <x:c r="E41" s="6" t="inlineStr">
        <x:is>
          <x:t xml:space="preserve">درآمد و سفارش</x:t>
        </x:is>
      </x:c>
      <x:c r="F41" s="6" t="inlineStr">
        <x:is>
          <x:t xml:space="preserve">درآمد ایجادشده به ازای هر کلیک ادز</x:t>
        </x:is>
      </x:c>
      <x:c r="G41" s="6" t="inlineStr">
        <x:is>
          <x:t xml:space="preserve">Attributed Revenue / Paid Clicks</x:t>
        </x:is>
      </x:c>
      <x:c r="H41" s="6" t="inlineStr">
        <x:is>
          <x:t xml:space="preserve">Attributed Revenue</x:t>
        </x:is>
      </x:c>
      <x:c r="I41" s="6" t="inlineStr">
        <x:is>
          <x:t xml:space="preserve">Paid Clicks</x:t>
        </x:is>
      </x:c>
      <x:c r="J41" s="6" t="inlineStr">
        <x:is>
          <x:t xml:space="preserve">ریال/سنت</x:t>
        </x:is>
      </x:c>
      <x:c r="K41" s="6" t="inlineStr">
        <x:is>
          <x:t xml:space="preserve">Click Yield</x:t>
        </x:is>
      </x:c>
      <x:c r="L41" s="6" t="inlineStr">
        <x:is>
          <x:t xml:space="preserve">Keyword/SearchTerm/AdGroup/Campaign</x:t>
        </x:is>
      </x:c>
      <x:c r="M41" s="6" t="inlineStr">
        <x:is>
          <x:t xml:space="preserve">Ads+فروش DB</x:t>
        </x:is>
      </x:c>
      <x:c r="N41" s="6" t="inlineStr">
        <x:is>
          <x:t xml:space="preserve">EVT-13</x:t>
        </x:is>
      </x:c>
      <x:c r="O41" s="6" t="inlineStr">
        <x:is>
          <x:t xml:space="preserve">MET-21/MET-02</x:t>
        </x:is>
      </x:c>
      <x:c r="P41" s="6" t="inlineStr">
        <x:is>
          <x:t xml:space="preserve">DIM-12,13,14,01</x:t>
        </x:is>
      </x:c>
      <x:c r="Q41" s="6" t="inlineStr">
        <x:is>
          <x:t xml:space="preserve">هفتگی/ماهانه</x:t>
        </x:is>
      </x:c>
      <x:c r="R41" s="6" t="inlineStr">
        <x:is>
          <x:t xml:space="preserve">تناسب کلمه با کالای باارزش</x:t>
        </x:is>
      </x:c>
      <x:c r="S41" s="6" t="inlineStr">
        <x:is>
          <x:t xml:space="preserve">بید روی کلمات اطلاعاتی</x:t>
        </x:is>
      </x:c>
      <x:c r="T41" s="6" t="inlineStr">
        <x:is>
          <x:t xml:space="preserve">KPI-08,KPI-47</x:t>
        </x:is>
      </x:c>
      <x:c r="U41" s="6" t="inlineStr">
        <x:is>
          <x:t xml:space="preserve">مقایسه کلمات برند با عمومی بدون تفکیک</x:t>
        </x:is>
      </x:c>
      <x:c r="V41" s="6" t="inlineStr">
        <x:is>
          <x:t xml:space="preserve">وابسته به مدل انتساب</x:t>
        </x:is>
      </x:c>
      <x:c r="W41" s="6" t="inlineStr">
        <x:is>
          <x:t xml:space="preserve">۴ تا ۶ برابر CPC (سرچ خرید)</x:t>
        </x:is>
      </x:c>
      <x:c r="X41" s="6" t="inlineStr">
        <x:is>
          <x:t xml:space="preserve">فرض اولیه — نیازمند اعتبارسنجی با داده واقعی Titana</x:t>
        </x:is>
      </x:c>
      <x:c r="Y41" s="6" t="inlineStr">
        <x:is>
          <x:t xml:space="preserve">افزایش تهاجمی بید کلمات RPC پایدار</x:t>
        </x:is>
      </x:c>
      <x:c r="Z41" s="19" t="inlineStr">
        <x:is>
          <x:t xml:space="preserve">W4</x:t>
        </x:is>
      </x:c>
      <x:c r="AA41" s="19" t="inlineStr">
        <x:is>
          <x:t xml:space="preserve">High</x:t>
        </x:is>
      </x:c>
      <x:c r="AB41" s="6" t="inlineStr">
        <x:is>
          <x:t xml:space="preserve">کارشناس سرچ</x:t>
        </x:is>
      </x:c>
      <x:c r="AC41" s="6" t="inlineStr">
        <x:is>
          <x:t xml:space="preserve">—</x:t>
        </x:is>
      </x:c>
      <x:c r="AD41" s="30" t="str">
        <x:v>KPI-40</x:v>
      </x:c>
      <x:c r="AE41" s="30" t="str">
        <x:v>Proposed</x:v>
      </x:c>
    </x:row>
    <x:row r="42">
      <x:c r="A42" s="17" t="inlineStr">
        <x:is>
          <x:t xml:space="preserve">KPI-41</x:t>
        </x:is>
      </x:c>
      <x:c r="B42" s="4" t="inlineStr">
        <x:is>
          <x:t xml:space="preserve">Refund / Return Rate</x:t>
        </x:is>
      </x:c>
      <x:c r="C42" s="4" t="inlineStr">
        <x:is>
          <x:t xml:space="preserve">نرخ مرجوعی کالا</x:t>
        </x:is>
      </x:c>
      <x:c r="D42" s="4" t="inlineStr">
        <x:is>
          <x:t xml:space="preserve">Return%</x:t>
        </x:is>
      </x:c>
      <x:c r="E42" s="4" t="inlineStr">
        <x:is>
          <x:t xml:space="preserve">مرجوعی و سود</x:t>
        </x:is>
      </x:c>
      <x:c r="F42" s="4" t="inlineStr">
        <x:is>
          <x:t xml:space="preserve">درصد ارزش/تعداد اقلام مرجوع‌شده</x:t>
        </x:is>
      </x:c>
      <x:c r="G42" s="4" t="inlineStr">
        <x:is>
          <x:t xml:space="preserve">(Refunded Amount / Gross Revenue) × 100</x:t>
        </x:is>
      </x:c>
      <x:c r="H42" s="4" t="inlineStr">
        <x:is>
          <x:t xml:space="preserve">Refunded Amount</x:t>
        </x:is>
      </x:c>
      <x:c r="I42" s="4" t="inlineStr">
        <x:is>
          <x:t xml:space="preserve">Gross Revenue</x:t>
        </x:is>
      </x:c>
      <x:c r="J42" s="4" t="inlineStr">
        <x:is>
          <x:t xml:space="preserve">%</x:t>
        </x:is>
      </x:c>
      <x:c r="K42" s="4" t="inlineStr">
        <x:is>
          <x:t xml:space="preserve">Operational Risk</x:t>
        </x:is>
      </x:c>
      <x:c r="L42" s="4" t="inlineStr">
        <x:is>
          <x:t xml:space="preserve">SKU/Category/Brand/Courier</x:t>
        </x:is>
      </x:c>
      <x:c r="M42" s="4" t="inlineStr">
        <x:is>
          <x:t xml:space="preserve">WMS, مالی</x:t>
        </x:is>
      </x:c>
      <x:c r="N42" s="4" t="inlineStr">
        <x:is>
          <x:t xml:space="preserve">EVT-14</x:t>
        </x:is>
      </x:c>
      <x:c r="O42" s="4" t="inlineStr">
        <x:is>
          <x:t xml:space="preserve">MET-20/MET-19</x:t>
        </x:is>
      </x:c>
      <x:c r="P42" s="4" t="inlineStr">
        <x:is>
          <x:t xml:space="preserve">DIM-16,17,18</x:t>
        </x:is>
      </x:c>
      <x:c r="Q42" s="4" t="inlineStr">
        <x:is>
          <x:t xml:space="preserve">ماهانه/فصلی</x:t>
        </x:is>
      </x:c>
      <x:c r="R42" s="4" t="inlineStr">
        <x:is>
          <x:t xml:space="preserve">کیفیت پایین/نزدیک انقضا/بسته‌بندی</x:t>
        </x:is>
      </x:c>
      <x:c r="S42" s="4" t="inlineStr">
        <x:is>
          <x:t xml:space="preserve">کنترل کیفی خروج/تطابق مشخصات</x:t>
        </x:is>
      </x:c>
      <x:c r="T42" s="4" t="inlineStr">
        <x:is>
          <x:t xml:space="preserve">KPI-34,KPI-44</x:t>
        </x:is>
      </x:c>
      <x:c r="U42" s="4" t="inlineStr">
        <x:is>
          <x:t xml:space="preserve">حذف مرجوعی از گزارش‌های مارکتینگ</x:t>
        </x:is>
      </x:c>
      <x:c r="V42" s="4" t="inlineStr">
        <x:is>
          <x:t xml:space="preserve">عودت وجه تجهیزات تا چند ماه تأخیر</x:t>
        </x:is>
      </x:c>
      <x:c r="W42" s="4" t="inlineStr">
        <x:is>
          <x:t xml:space="preserve">مواد &lt; 2.0٪ | ابزار &lt; 3.5٪</x:t>
        </x:is>
      </x:c>
      <x:c r="X42" s="4" t="inlineStr">
        <x:is>
          <x:t xml:space="preserve">فرض اولیه — نیازمند اعتبارسنجی با داده واقعی Titana</x:t>
        </x:is>
      </x:c>
      <x:c r="Y42" s="4" t="inlineStr">
        <x:is>
          <x:t xml:space="preserve">توقف تبلیغ SKUهای بالای ۵٪ تا بازرسی</x:t>
        </x:is>
      </x:c>
      <x:c r="Z42" s="17" t="inlineStr">
        <x:is>
          <x:t xml:space="preserve">W4</x:t>
        </x:is>
      </x:c>
      <x:c r="AA42" s="17" t="inlineStr">
        <x:is>
          <x:t xml:space="preserve">Critical</x:t>
        </x:is>
      </x:c>
      <x:c r="AB42" s="4" t="inlineStr">
        <x:is>
          <x:t xml:space="preserve">Data Engineer</x:t>
        </x:is>
      </x:c>
      <x:c r="AC42" s="4" t="inlineStr">
        <x:is>
          <x:t xml:space="preserve">—</x:t>
        </x:is>
      </x:c>
      <x:c r="AD42" s="30" t="str">
        <x:v>KPI-41</x:v>
      </x:c>
      <x:c r="AE42" s="30" t="str">
        <x:v>Proposed</x:v>
      </x:c>
    </x:row>
    <x:row r="43">
      <x:c r="A43" s="19" t="inlineStr">
        <x:is>
          <x:t xml:space="preserve">KPI-42</x:t>
        </x:is>
      </x:c>
      <x:c r="B43" s="6" t="inlineStr">
        <x:is>
          <x:t xml:space="preserve">Order Cancellation Rate</x:t>
        </x:is>
      </x:c>
      <x:c r="C43" s="6" t="inlineStr">
        <x:is>
          <x:t xml:space="preserve">نرخ لغو سفارش</x:t>
        </x:is>
      </x:c>
      <x:c r="D43" s="6" t="inlineStr">
        <x:is>
          <x:t xml:space="preserve">Cancel%</x:t>
        </x:is>
      </x:c>
      <x:c r="E43" s="6" t="inlineStr">
        <x:is>
          <x:t xml:space="preserve">مرجوعی و سود</x:t>
        </x:is>
      </x:c>
      <x:c r="F43" s="6" t="inlineStr">
        <x:is>
          <x:t xml:space="preserve">درصد سفارش‌های لغو پیش از ارسال</x:t>
        </x:is>
      </x:c>
      <x:c r="G43" s="6" t="inlineStr">
        <x:is>
          <x:t xml:space="preserve">(Cancelled Orders / Initial Orders) × 100</x:t>
        </x:is>
      </x:c>
      <x:c r="H43" s="6" t="inlineStr">
        <x:is>
          <x:t xml:space="preserve">Cancelled</x:t>
        </x:is>
      </x:c>
      <x:c r="I43" s="6" t="inlineStr">
        <x:is>
          <x:t xml:space="preserve">Initial Orders</x:t>
        </x:is>
      </x:c>
      <x:c r="J43" s="6" t="inlineStr">
        <x:is>
          <x:t xml:space="preserve">%</x:t>
        </x:is>
      </x:c>
      <x:c r="K43" s="6" t="inlineStr">
        <x:is>
          <x:t xml:space="preserve">Processing Friction</x:t>
        </x:is>
      </x:c>
      <x:c r="L43" s="6" t="inlineStr">
        <x:is>
          <x:t xml:space="preserve">PaymentMethod/Availability/Region</x:t>
        </x:is>
      </x:c>
      <x:c r="M43" s="6" t="inlineStr">
        <x:is>
          <x:t xml:space="preserve">CRM Orders Status</x:t>
        </x:is>
      </x:c>
      <x:c r="N43" s="6" t="inlineStr">
        <x:is>
          <x:t xml:space="preserve">EVT-13</x:t>
        </x:is>
      </x:c>
      <x:c r="O43" s="6" t="inlineStr">
        <x:is>
          <x:t xml:space="preserve">MET-29</x:t>
        </x:is>
      </x:c>
      <x:c r="P43" s="6" t="inlineStr">
        <x:is>
          <x:t xml:space="preserve">DIM-29,16,21</x:t>
        </x:is>
      </x:c>
      <x:c r="Q43" s="6" t="inlineStr">
        <x:is>
          <x:t xml:space="preserve">هفتگی/ماهانه</x:t>
        </x:is>
      </x:c>
      <x:c r="R43" s="6" t="inlineStr">
        <x:is>
          <x:t xml:space="preserve">تبلیغ ناموجود/زمان طولانی تایید/رد چک</x:t>
        </x:is>
      </x:c>
      <x:c r="S43" s="6" t="inlineStr">
        <x:is>
          <x:t xml:space="preserve">تسویه روان/اعتماد/موجودی دقیق</x:t>
        </x:is>
      </x:c>
      <x:c r="T43" s="6" t="inlineStr">
        <x:is>
          <x:t xml:space="preserve">KPI-41</x:t>
        </x:is>
      </x:c>
      <x:c r="U43" s="6" t="inlineStr">
        <x:is>
          <x:t xml:space="preserve">شمارش لغو‌شده‌ها در ROAS پلتفرم</x:t>
        </x:is>
      </x:c>
      <x:c r="V43" s="6" t="inlineStr">
        <x:is>
          <x:t xml:space="preserve">تعطیلی مقطعی مطب = نارضایتی کاذب</x:t>
        </x:is>
      </x:c>
      <x:c r="W43" s="6" t="inlineStr">
        <x:is>
          <x:t xml:space="preserve">&lt; 4.0٪ سفارش‌های پرداخت‌شده</x:t>
        </x:is>
      </x:c>
      <x:c r="X43" s="6" t="inlineStr">
        <x:is>
          <x:t xml:space="preserve">فرض اولیه — نیازمند اعتبارسنجی با داده واقعی Titana</x:t>
        </x:is>
      </x:c>
      <x:c r="Y43" s="6" t="inlineStr">
        <x:is>
          <x:t xml:space="preserve">فید لحظه‌ای انبار به سایت (جلوگیری از سفارش صفرموجودی)</x:t>
        </x:is>
      </x:c>
      <x:c r="Z43" s="19" t="inlineStr">
        <x:is>
          <x:t xml:space="preserve">W4</x:t>
        </x:is>
      </x:c>
      <x:c r="AA43" s="19" t="inlineStr">
        <x:is>
          <x:t xml:space="preserve">High</x:t>
        </x:is>
      </x:c>
      <x:c r="AB43" s="6" t="inlineStr">
        <x:is>
          <x:t xml:space="preserve">Data Analyst</x:t>
        </x:is>
      </x:c>
      <x:c r="AC43" s="6" t="inlineStr">
        <x:is>
          <x:t xml:space="preserve">—</x:t>
        </x:is>
      </x:c>
      <x:c r="AD43" s="30" t="str">
        <x:v>KPI-42</x:v>
      </x:c>
      <x:c r="AE43" s="30" t="str">
        <x:v>Proposed</x:v>
      </x:c>
    </x:row>
    <x:row r="44">
      <x:c r="A44" s="17" t="inlineStr">
        <x:is>
          <x:t xml:space="preserve">KPI-43</x:t>
        </x:is>
      </x:c>
      <x:c r="B44" s="4" t="inlineStr">
        <x:is>
          <x:t xml:space="preserve">Effective Discount Rate</x:t>
        </x:is>
      </x:c>
      <x:c r="C44" s="4" t="inlineStr">
        <x:is>
          <x:t xml:space="preserve">نرخ تخفیف موثر</x:t>
        </x:is>
      </x:c>
      <x:c r="D44" s="4" t="inlineStr">
        <x:is>
          <x:t xml:space="preserve">EDR</x:t>
        </x:is>
      </x:c>
      <x:c r="E44" s="4" t="inlineStr">
        <x:is>
          <x:t xml:space="preserve">مرجوعی و سود</x:t>
        </x:is>
      </x:c>
      <x:c r="F44" s="4" t="inlineStr">
        <x:is>
          <x:t xml:space="preserve">سهم تخفیف‌ها از ارزش ناخالص فاکتورها</x:t>
        </x:is>
      </x:c>
      <x:c r="G44" s="4" t="inlineStr">
        <x:is>
          <x:t xml:space="preserve">(Total Discount Given / Gross Revenue) × 100</x:t>
        </x:is>
      </x:c>
      <x:c r="H44" s="4" t="inlineStr">
        <x:is>
          <x:t xml:space="preserve">Discount Given</x:t>
        </x:is>
      </x:c>
      <x:c r="I44" s="4" t="inlineStr">
        <x:is>
          <x:t xml:space="preserve">Gross Revenue</x:t>
        </x:is>
      </x:c>
      <x:c r="J44" s="4" t="inlineStr">
        <x:is>
          <x:t xml:space="preserve">%</x:t>
        </x:is>
      </x:c>
      <x:c r="K44" s="4" t="inlineStr">
        <x:is>
          <x:t xml:space="preserve">Margin Erosion</x:t>
        </x:is>
      </x:c>
      <x:c r="L44" s="4" t="inlineStr">
        <x:is>
          <x:t xml:space="preserve">SalesRep/PromoCode/Tier</x:t>
        </x:is>
      </x:c>
      <x:c r="M44" s="4" t="inlineStr">
        <x:is>
          <x:t xml:space="preserve">حسابداری, کوپن‌ها</x:t>
        </x:is>
      </x:c>
      <x:c r="N44" s="4" t="inlineStr">
        <x:is>
          <x:t xml:space="preserve">EVT-13</x:t>
        </x:is>
      </x:c>
      <x:c r="O44" s="4" t="inlineStr">
        <x:is>
          <x:t xml:space="preserve">MET-24/MET-19</x:t>
        </x:is>
      </x:c>
      <x:c r="P44" s="4" t="inlineStr">
        <x:is>
          <x:t xml:space="preserve">DIM-25,04,31</x:t>
        </x:is>
      </x:c>
      <x:c r="Q44" s="4" t="inlineStr">
        <x:is>
          <x:t xml:space="preserve">ماهانه/جشنواره</x:t>
        </x:is>
      </x:c>
      <x:c r="R44" s="4" t="inlineStr">
        <x:is>
          <x:t xml:space="preserve">حراج بیش‌ازحد/اعتیاد قیمتی</x:t>
        </x:is>
      </x:c>
      <x:c r="S44" s="4" t="inlineStr">
        <x:is>
          <x:t xml:space="preserve">فروش بر پایه برند/تقاضای ارگانیک</x:t>
        </x:is>
      </x:c>
      <x:c r="T44" s="4" t="inlineStr">
        <x:is>
          <x:t xml:space="preserve">KPI-44,KPI-49</x:t>
        </x:is>
      </x:c>
      <x:c r="U44" s="4" t="inlineStr">
        <x:is>
          <x:t xml:space="preserve">تفویض تخفیف نامحدود به فروش تلفنی</x:t>
        </x:is>
      </x:c>
      <x:c r="V44" s="4" t="inlineStr">
        <x:is>
          <x:t xml:space="preserve">پروموشن پایان سال ماهیت متفاوت</x:t>
        </x:is>
      </x:c>
      <x:c r="W44" s="4" t="inlineStr">
        <x:is>
          <x:t xml:space="preserve">میانگین سالانه &lt; 6.5٪</x:t>
        </x:is>
      </x:c>
      <x:c r="X44" s="4" t="inlineStr">
        <x:is>
          <x:t xml:space="preserve">فرض اولیه — نیازمند اعتبارسنجی با داده واقعی Titana</x:t>
        </x:is>
      </x:c>
      <x:c r="Y44" s="4" t="inlineStr">
        <x:is>
          <x:t xml:space="preserve">سقف ۳٪ برای ویزیتور + تایید مالی برای بالاتر</x:t>
        </x:is>
      </x:c>
      <x:c r="Z44" s="17" t="inlineStr">
        <x:is>
          <x:t xml:space="preserve">W4</x:t>
        </x:is>
      </x:c>
      <x:c r="AA44" s="17" t="inlineStr">
        <x:is>
          <x:t xml:space="preserve">High</x:t>
        </x:is>
      </x:c>
      <x:c r="AB44" s="4" t="inlineStr">
        <x:is>
          <x:t xml:space="preserve">مدیر مالی</x:t>
        </x:is>
      </x:c>
      <x:c r="AC44" s="4" t="inlineStr">
        <x:is>
          <x:t xml:space="preserve">—</x:t>
        </x:is>
      </x:c>
      <x:c r="AD44" s="30" t="str">
        <x:v>KPI-43</x:v>
      </x:c>
      <x:c r="AE44" s="30" t="str">
        <x:v>Proposed</x:v>
      </x:c>
    </x:row>
    <x:row r="45">
      <x:c r="A45" s="19" t="inlineStr">
        <x:is>
          <x:t xml:space="preserve">KPI-44</x:t>
        </x:is>
      </x:c>
      <x:c r="B45" s="6" t="inlineStr">
        <x:is>
          <x:t xml:space="preserve">Gross Profit</x:t>
        </x:is>
      </x:c>
      <x:c r="C45" s="6" t="inlineStr">
        <x:is>
          <x:t xml:space="preserve">سود ناخالص</x:t>
        </x:is>
      </x:c>
      <x:c r="D45" s="6" t="inlineStr">
        <x:is>
          <x:t xml:space="preserve">GP</x:t>
        </x:is>
      </x:c>
      <x:c r="E45" s="6" t="inlineStr">
        <x:is>
          <x:t xml:space="preserve">سود و اقتصاد واحد</x:t>
        </x:is>
      </x:c>
      <x:c r="F45" s="6" t="inlineStr">
        <x:is>
          <x:t xml:space="preserve">درآمد خالص منهای COGS</x:t>
        </x:is>
      </x:c>
      <x:c r="G45" s="6" t="inlineStr">
        <x:is>
          <x:t xml:space="preserve">Net Revenue − COGS</x:t>
        </x:is>
      </x:c>
      <x:c r="H45" s="6" t="inlineStr">
        <x:is>
          <x:t xml:space="preserve">—</x:t>
        </x:is>
      </x:c>
      <x:c r="I45" s="6" t="inlineStr">
        <x:is>
          <x:t xml:space="preserve">—</x:t>
        </x:is>
      </x:c>
      <x:c r="J45" s="6" t="inlineStr">
        <x:is>
          <x:t xml:space="preserve">ریال</x:t>
        </x:is>
      </x:c>
      <x:c r="K45" s="6" t="inlineStr">
        <x:is>
          <x:t xml:space="preserve">Base Profit</x:t>
        </x:is>
      </x:c>
      <x:c r="L45" s="6" t="inlineStr">
        <x:is>
          <x:t xml:space="preserve">Company/Category/Brand/SKU</x:t>
        </x:is>
      </x:c>
      <x:c r="M45" s="6" t="inlineStr">
        <x:is>
          <x:t xml:space="preserve">حسابداری صنعتی</x:t>
        </x:is>
      </x:c>
      <x:c r="N45" s="6" t="inlineStr">
        <x:is>
          <x:t xml:space="preserve">EVT-13,EVT-14</x:t>
        </x:is>
      </x:c>
      <x:c r="O45" s="6" t="inlineStr">
        <x:is>
          <x:t xml:space="preserve">MET-23</x:t>
        </x:is>
      </x:c>
      <x:c r="P45" s="6" t="inlineStr">
        <x:is>
          <x:t xml:space="preserve">DIM-17,18,16</x:t>
        </x:is>
      </x:c>
      <x:c r="Q45" s="6" t="inlineStr">
        <x:is>
          <x:t xml:space="preserve">ماهانه/فصلی</x:t>
        </x:is>
      </x:c>
      <x:c r="R45" s="6" t="inlineStr">
        <x:is>
          <x:t xml:space="preserve">چانه‌زنی/میکس پرسود/رشد سالم</x:t>
        </x:is>
      </x:c>
      <x:c r="S45" s="6" t="inlineStr">
        <x:is>
          <x:t xml:space="preserve">جهش ارز/افزایش COGS واردات</x:t>
        </x:is>
      </x:c>
      <x:c r="T45" s="6" t="inlineStr">
        <x:is>
          <x:t xml:space="preserve">KPI-45,KPI-47</x:t>
        </x:is>
      </x:c>
      <x:c r="U45" s="6" t="inlineStr">
        <x:is>
          <x:t xml:space="preserve">COGS تاریخی به‌جای بهای جایگزینی در تورم</x:t>
        </x:is>
      </x:c>
      <x:c r="V45" s="6" t="inlineStr">
        <x:is>
          <x:t xml:space="preserve">بدون بسته‌بندی/لجستیک/مارکتینگ</x:t>
        </x:is>
      </x:c>
      <x:c r="W45" s="6" t="inlineStr">
        <x:is>
          <x:t xml:space="preserve">حاشیه &gt; 28٪ سبد تلفیقی</x:t>
        </x:is>
      </x:c>
      <x:c r="X45" s="6" t="inlineStr">
        <x:is>
          <x:t xml:space="preserve">فرض اولیه — نیازمند اعتبارسنجی با داده واقعی Titana</x:t>
        </x:is>
      </x:c>
      <x:c r="Y45" s="6" t="inlineStr">
        <x:is>
          <x:t xml:space="preserve">توقف تبلیغ محصولات &lt;۱۵٪ مارجین (مگر Loss Leader)</x:t>
        </x:is>
      </x:c>
      <x:c r="Z45" s="19" t="inlineStr">
        <x:is>
          <x:t xml:space="preserve">W4</x:t>
        </x:is>
      </x:c>
      <x:c r="AA45" s="19" t="inlineStr">
        <x:is>
          <x:t xml:space="preserve">Critical</x:t>
        </x:is>
      </x:c>
      <x:c r="AB45" s="6" t="inlineStr">
        <x:is>
          <x:t xml:space="preserve">Data Engineer</x:t>
        </x:is>
      </x:c>
      <x:c r="AC45" s="6" t="inlineStr">
        <x:is>
          <x:t xml:space="preserve">—</x:t>
        </x:is>
      </x:c>
      <x:c r="AD45" s="30" t="str">
        <x:v>KPI-44</x:v>
      </x:c>
      <x:c r="AE45" s="30" t="str">
        <x:v>Proposed</x:v>
      </x:c>
    </x:row>
    <x:row r="46">
      <x:c r="A46" s="17" t="inlineStr">
        <x:is>
          <x:t xml:space="preserve">KPI-45</x:t>
        </x:is>
      </x:c>
      <x:c r="B46" s="4" t="inlineStr">
        <x:is>
          <x:t xml:space="preserve">Contribution Margin</x:t>
        </x:is>
      </x:c>
      <x:c r="C46" s="4" t="inlineStr">
        <x:is>
          <x:t xml:space="preserve">حاشیه سهم بازاریابی</x:t>
        </x:is>
      </x:c>
      <x:c r="D46" s="4" t="inlineStr">
        <x:is>
          <x:t xml:space="preserve">CM</x:t>
        </x:is>
      </x:c>
      <x:c r="E46" s="4" t="inlineStr">
        <x:is>
          <x:t xml:space="preserve">سود و اقتصاد واحد</x:t>
        </x:is>
      </x:c>
      <x:c r="F46" s="4" t="inlineStr">
        <x:is>
          <x:t xml:space="preserve">باقی‌مانده پس از COGS+ادز+کارمزد+ارسال+پورسانت</x:t>
        </x:is>
      </x:c>
      <x:c r="G46" s="4" t="inlineStr">
        <x:is>
          <x:t xml:space="preserve">Net Revenue − (COGS + Var Ad + Fees + Shipping + Commissions)</x:t>
        </x:is>
      </x:c>
      <x:c r="H46" s="4" t="inlineStr">
        <x:is>
          <x:t xml:space="preserve">—</x:t>
        </x:is>
      </x:c>
      <x:c r="I46" s="4" t="inlineStr">
        <x:is>
          <x:t xml:space="preserve">—</x:t>
        </x:is>
      </x:c>
      <x:c r="J46" s="4" t="inlineStr">
        <x:is>
          <x:t xml:space="preserve">ریال/٪</x:t>
        </x:is>
      </x:c>
      <x:c r="K46" s="4" t="inlineStr">
        <x:is>
          <x:t xml:space="preserve">Marketing Profitability</x:t>
        </x:is>
      </x:c>
      <x:c r="L46" s="4" t="inlineStr">
        <x:is>
          <x:t xml:space="preserve">Campaign/Channel/Category/Order</x:t>
        </x:is>
      </x:c>
      <x:c r="M46" s="4" t="inlineStr">
        <x:is>
          <x:t xml:space="preserve">DWH (Ads+حمل+مالی)</x:t>
        </x:is>
      </x:c>
      <x:c r="N46" s="4" t="inlineStr">
        <x:is>
          <x:t xml:space="preserve">EVT-13</x:t>
        </x:is>
      </x:c>
      <x:c r="O46" s="4" t="inlineStr">
        <x:is>
          <x:t xml:space="preserve">MET-27</x:t>
        </x:is>
      </x:c>
      <x:c r="P46" s="4" t="inlineStr">
        <x:is>
          <x:t xml:space="preserve">DIM-01,29,21</x:t>
        </x:is>
      </x:c>
      <x:c r="Q46" s="4" t="inlineStr">
        <x:is>
          <x:t xml:space="preserve">هفتگی/ماهانه</x:t>
        </x:is>
      </x:c>
      <x:c r="R46" s="4" t="inlineStr">
        <x:is>
          <x:t xml:space="preserve">بازاریابی بهره‌ور/پوشش هزینه ثابت</x:t>
        </x:is>
      </x:c>
      <x:c r="S46" s="4" t="inlineStr">
        <x:is>
          <x:t xml:space="preserve">سوختن سود در ادز/ارسال رایگان سنگین</x:t>
        </x:is>
      </x:c>
      <x:c r="T46" s="4" t="inlineStr">
        <x:is>
          <x:t xml:space="preserve">KPI-44,KPI-47</x:t>
        </x:is>
      </x:c>
      <x:c r="U46" s="4" t="inlineStr">
        <x:is>
          <x:t xml:space="preserve">تمرکز بر سود ناخالص بدون متغیرها</x:t>
        </x:is>
      </x:c>
      <x:c r="V46" s="4" t="inlineStr">
        <x:is>
          <x:t xml:space="preserve">نیازمند حسابداری مدیریتی دقیق</x:t>
        </x:is>
      </x:c>
      <x:c r="W46" s="4" t="inlineStr">
        <x:is>
          <x:t xml:space="preserve">۱۶-۲۲٪ درآمد کل</x:t>
        </x:is>
      </x:c>
      <x:c r="X46" s="4" t="inlineStr">
        <x:is>
          <x:t xml:space="preserve">فرض اولیه — نیازمند اعتبارسنجی با داده واقعی Titana</x:t>
        </x:is>
      </x:c>
      <x:c r="Y46" s="4" t="inlineStr">
        <x:is>
          <x:t xml:space="preserve">خاموش‌کردن کمپین‌های CM&lt;۵٪</x:t>
        </x:is>
      </x:c>
      <x:c r="Z46" s="17" t="inlineStr">
        <x:is>
          <x:t xml:space="preserve">W4</x:t>
        </x:is>
      </x:c>
      <x:c r="AA46" s="17" t="inlineStr">
        <x:is>
          <x:t xml:space="preserve">Critical</x:t>
        </x:is>
      </x:c>
      <x:c r="AB46" s="4" t="inlineStr">
        <x:is>
          <x:t xml:space="preserve">Data Engineer</x:t>
        </x:is>
      </x:c>
      <x:c r="AC46" s="4" t="inlineStr">
        <x:is>
          <x:t xml:space="preserve">—</x:t>
        </x:is>
      </x:c>
      <x:c r="AD46" s="30" t="str">
        <x:v>KPI-45</x:v>
      </x:c>
      <x:c r="AE46" s="30" t="str">
        <x:v>Proposed</x:v>
      </x:c>
    </x:row>
    <x:row r="47">
      <x:c r="A47" s="19" t="inlineStr">
        <x:is>
          <x:t xml:space="preserve">KPI-46</x:t>
        </x:is>
      </x:c>
      <x:c r="B47" s="6" t="inlineStr">
        <x:is>
          <x:t xml:space="preserve">Net Profit</x:t>
        </x:is>
      </x:c>
      <x:c r="C47" s="6" t="inlineStr">
        <x:is>
          <x:t xml:space="preserve">سود خالص کسب‌وکار</x:t>
        </x:is>
      </x:c>
      <x:c r="D47" s="6" t="inlineStr">
        <x:is>
          <x:t xml:space="preserve">Net Profit</x:t>
        </x:is>
      </x:c>
      <x:c r="E47" s="6" t="inlineStr">
        <x:is>
          <x:t xml:space="preserve">سود و اقتصاد واحد</x:t>
        </x:is>
      </x:c>
      <x:c r="F47" s="6" t="inlineStr">
        <x:is>
          <x:t xml:space="preserve">سود پس از تمام هزینه‌ها و مالیات</x:t>
        </x:is>
      </x:c>
      <x:c r="G47" s="6" t="inlineStr">
        <x:is>
          <x:t xml:space="preserve">Gross Profit − (OpEx + Mgmt Costs + Depreciation + Taxes)</x:t>
        </x:is>
      </x:c>
      <x:c r="H47" s="6" t="inlineStr">
        <x:is>
          <x:t xml:space="preserve">—</x:t>
        </x:is>
      </x:c>
      <x:c r="I47" s="6" t="inlineStr">
        <x:is>
          <x:t xml:space="preserve">—</x:t>
        </x:is>
      </x:c>
      <x:c r="J47" s="6" t="inlineStr">
        <x:is>
          <x:t xml:space="preserve">ریال</x:t>
        </x:is>
      </x:c>
      <x:c r="K47" s="6" t="inlineStr">
        <x:is>
          <x:t xml:space="preserve">Executive P&amp;L</x:t>
        </x:is>
      </x:c>
      <x:c r="L47" s="6" t="inlineStr">
        <x:is>
          <x:t xml:space="preserve">Company (Executive)</x:t>
        </x:is>
      </x:c>
      <x:c r="M47" s="6" t="inlineStr">
        <x:is>
          <x:t xml:space="preserve">صورت‌های مالی حسابرسی‌شده</x:t>
        </x:is>
      </x:c>
      <x:c r="N47" s="6" t="inlineStr">
        <x:is>
          <x:t xml:space="preserve">—</x:t>
        </x:is>
      </x:c>
      <x:c r="O47" s="6" t="inlineStr">
        <x:is>
          <x:t xml:space="preserve">—</x:t>
        </x:is>
      </x:c>
      <x:c r="P47" s="6" t="inlineStr">
        <x:is>
          <x:t xml:space="preserve">DIM-17,27</x:t>
        </x:is>
      </x:c>
      <x:c r="Q47" s="6" t="inlineStr">
        <x:is>
          <x:t xml:space="preserve">فصلی/سالانه</x:t>
        </x:is>
      </x:c>
      <x:c r="R47" s="6" t="inlineStr">
        <x:is>
          <x:t xml:space="preserve">سلامت کامل ساختار تجاری</x:t>
        </x:is>
      </x:c>
      <x:c r="S47" s="6" t="inlineStr">
        <x:is>
          <x:t xml:space="preserve">بزرگ‌شدن اداری/بدهی/افت بهره‌وری</x:t>
        </x:is>
      </x:c>
      <x:c r="T47" s="6" t="inlineStr">
        <x:is>
          <x:t xml:space="preserve">KPI-44,KPI-45</x:t>
        </x:is>
      </x:c>
      <x:c r="U47" s="6" t="inlineStr">
        <x:is>
          <x:t xml:space="preserve">تصمیم روزمره مارکتینگ با سود خالص</x:t>
        </x:is>
      </x:c>
      <x:c r="V47" s="6" t="inlineStr">
        <x:is>
          <x:t xml:space="preserve">تحریف با سیاست‌های مالیاتی</x:t>
        </x:is>
      </x:c>
      <x:c r="W47" s="6" t="inlineStr">
        <x:is>
          <x:t xml:space="preserve">۱۰-۱۵٪ توزیع تجهیزات پزشکی</x:t>
        </x:is>
      </x:c>
      <x:c r="X47" s="6" t="inlineStr">
        <x:is>
          <x:t xml:space="preserve">فرض اولیه — نیازمند اعتبارسنجی با داده واقعی Titana</x:t>
        </x:is>
      </x:c>
      <x:c r="Y47" s="6" t="inlineStr">
        <x:is>
          <x:t xml:space="preserve">بازبینی CAC و کانال‌های کم‌بازده</x:t>
        </x:is>
      </x:c>
      <x:c r="Z47" s="19" t="inlineStr">
        <x:is>
          <x:t xml:space="preserve">W4</x:t>
        </x:is>
      </x:c>
      <x:c r="AA47" s="19" t="inlineStr">
        <x:is>
          <x:t xml:space="preserve">Medium</x:t>
        </x:is>
      </x:c>
      <x:c r="AB47" s="6" t="inlineStr">
        <x:is>
          <x:t xml:space="preserve">مدیر مالی</x:t>
        </x:is>
      </x:c>
      <x:c r="AC47" s="6" t="inlineStr">
        <x:is>
          <x:t xml:space="preserve">—</x:t>
        </x:is>
      </x:c>
      <x:c r="AD47" s="30" t="str">
        <x:v>KPI-46</x:v>
      </x:c>
      <x:c r="AE47" s="30" t="str">
        <x:v>Proposed</x:v>
      </x:c>
    </x:row>
    <x:row r="48">
      <x:c r="A48" s="17" t="inlineStr">
        <x:is>
          <x:t xml:space="preserve">KPI-47</x:t>
        </x:is>
      </x:c>
      <x:c r="B48" s="4" t="inlineStr">
        <x:is>
          <x:t xml:space="preserve">Profit on Ad Spend</x:t>
        </x:is>
      </x:c>
      <x:c r="C48" s="4" t="inlineStr">
        <x:is>
          <x:t xml:space="preserve">بازگشت تبلیغات بر مبنای سود</x:t>
        </x:is>
      </x:c>
      <x:c r="D48" s="4" t="inlineStr">
        <x:is>
          <x:t xml:space="preserve">POAS</x:t>
        </x:is>
      </x:c>
      <x:c r="E48" s="4" t="inlineStr">
        <x:is>
          <x:t xml:space="preserve">سود و اقتصاد واحد</x:t>
        </x:is>
      </x:c>
      <x:c r="F48" s="4" t="inlineStr">
        <x:is>
          <x:t xml:space="preserve">نسبت سود ناخالص منسوب به هزینه تبلیغات</x:t>
        </x:is>
      </x:c>
      <x:c r="G48" s="4" t="inlineStr">
        <x:is>
          <x:t xml:space="preserve">Attributed Gross Profit / Total Ad Spend</x:t>
        </x:is>
      </x:c>
      <x:c r="H48" s="4" t="inlineStr">
        <x:is>
          <x:t xml:space="preserve">Gross Profit Attributed</x:t>
        </x:is>
      </x:c>
      <x:c r="I48" s="4" t="inlineStr">
        <x:is>
          <x:t xml:space="preserve">Ad Spend</x:t>
        </x:is>
      </x:c>
      <x:c r="J48" s="4" t="inlineStr">
        <x:is>
          <x:t xml:space="preserve">ضریب</x:t>
        </x:is>
      </x:c>
      <x:c r="K48" s="4" t="inlineStr">
        <x:is>
          <x:t xml:space="preserve">Ad Economics</x:t>
        </x:is>
      </x:c>
      <x:c r="L48" s="4" t="inlineStr">
        <x:is>
          <x:t xml:space="preserve">Campaign/AdSet/Keyword/Product</x:t>
        </x:is>
      </x:c>
      <x:c r="M48" s="4" t="inlineStr">
        <x:is>
          <x:t xml:space="preserve">dbt DWH (Ads+COGS)</x:t>
        </x:is>
      </x:c>
      <x:c r="N48" s="4" t="inlineStr">
        <x:is>
          <x:t xml:space="preserve">EVT-13</x:t>
        </x:is>
      </x:c>
      <x:c r="O48" s="4" t="inlineStr">
        <x:is>
          <x:t xml:space="preserve">MET-23/MET-03</x:t>
        </x:is>
      </x:c>
      <x:c r="P48" s="4" t="inlineStr">
        <x:is>
          <x:t xml:space="preserve">DIM-17,25,01</x:t>
        </x:is>
      </x:c>
      <x:c r="Q48" s="4" t="inlineStr">
        <x:is>
          <x:t xml:space="preserve">روزانه/هفتگی</x:t>
        </x:is>
      </x:c>
      <x:c r="R48" s="4" t="inlineStr">
        <x:is>
          <x:t xml:space="preserve">هدایت به حاشیه بالا/سود نقدی بیشتر</x:t>
        </x:is>
      </x:c>
      <x:c r="S48" s="4" t="inlineStr">
        <x:is>
          <x:t xml:space="preserve">خرید گران → سود ناچیز با درآمد بالا</x:t>
        </x:is>
      </x:c>
      <x:c r="T48" s="4" t="inlineStr">
        <x:is>
          <x:t xml:space="preserve">KPI-44,KPI-49,KPI-51</x:t>
        </x:is>
      </x:c>
      <x:c r="U48" s="4" t="inlineStr">
        <x:is>
          <x:t xml:space="preserve">ROAS=۵ با مارجین ۱۰٪ → POAS=۰.۵ شکست</x:t>
        </x:is>
      </x:c>
      <x:c r="V48" s="4" t="inlineStr">
        <x:is>
          <x:t xml:space="preserve">پنجره‌های B2B طولانی</x:t>
        </x:is>
      </x:c>
      <x:c r="W48" s="4" t="inlineStr">
        <x:is>
          <x:t xml:space="preserve">پایدار &gt; 1.8x | حداقل &gt; 1.3x</x:t>
        </x:is>
      </x:c>
      <x:c r="X48" s="4" t="inlineStr">
        <x:is>
          <x:t xml:space="preserve">فرض اولیه — نیازمند اعتبارسنجی با داده واقعی Titana</x:t>
        </x:is>
      </x:c>
      <x:c r="Y48" s="4" t="inlineStr">
        <x:is>
          <x:t xml:space="preserve">POAS ۱۴ روزه &lt; ۱.۱ → کاهش ۵۰٪ بودجه</x:t>
        </x:is>
      </x:c>
      <x:c r="Z48" s="17" t="inlineStr">
        <x:is>
          <x:t xml:space="preserve">W4</x:t>
        </x:is>
      </x:c>
      <x:c r="AA48" s="17" t="inlineStr">
        <x:is>
          <x:t xml:space="preserve">Critical</x:t>
        </x:is>
      </x:c>
      <x:c r="AB48" s="4" t="inlineStr">
        <x:is>
          <x:t xml:space="preserve">Data Engineer</x:t>
        </x:is>
      </x:c>
      <x:c r="AC48" s="4" t="inlineStr">
        <x:is>
          <x:t xml:space="preserve">—</x:t>
        </x:is>
      </x:c>
      <x:c r="AD48" s="30" t="str">
        <x:v>KPI-47</x:v>
      </x:c>
      <x:c r="AE48" s="30" t="str">
        <x:v>Proposed</x:v>
      </x:c>
    </x:row>
    <x:row r="49">
      <x:c r="A49" s="19" t="inlineStr">
        <x:is>
          <x:t xml:space="preserve">KPI-48</x:t>
        </x:is>
      </x:c>
      <x:c r="B49" s="6" t="inlineStr">
        <x:is>
          <x:t xml:space="preserve">Profit per Order</x:t>
        </x:is>
      </x:c>
      <x:c r="C49" s="6" t="inlineStr">
        <x:is>
          <x:t xml:space="preserve">سود به ازای هر سفارش</x:t>
        </x:is>
      </x:c>
      <x:c r="D49" s="6" t="inlineStr">
        <x:is>
          <x:t xml:space="preserve">PPO</x:t>
        </x:is>
      </x:c>
      <x:c r="E49" s="6" t="inlineStr">
        <x:is>
          <x:t xml:space="preserve">سود و اقتصاد واحد</x:t>
        </x:is>
      </x:c>
      <x:c r="F49" s="6" t="inlineStr">
        <x:is>
          <x:t xml:space="preserve">میانگین حاشیه سهم هر سفارش</x:t>
        </x:is>
      </x:c>
      <x:c r="G49" s="6" t="inlineStr">
        <x:is>
          <x:t xml:space="preserve">Total CM / Completed Orders</x:t>
        </x:is>
      </x:c>
      <x:c r="H49" s="6" t="inlineStr">
        <x:is>
          <x:t xml:space="preserve">CM</x:t>
        </x:is>
      </x:c>
      <x:c r="I49" s="6" t="inlineStr">
        <x:is>
          <x:t xml:space="preserve">Orders</x:t>
        </x:is>
      </x:c>
      <x:c r="J49" s="6" t="inlineStr">
        <x:is>
          <x:t xml:space="preserve">ریال</x:t>
        </x:is>
      </x:c>
      <x:c r="K49" s="6" t="inlineStr">
        <x:is>
          <x:t xml:space="preserve">Order Profitability</x:t>
        </x:is>
      </x:c>
      <x:c r="L49" s="6" t="inlineStr">
        <x:is>
          <x:t xml:space="preserve">Category/OrderTier/Payment</x:t>
        </x:is>
      </x:c>
      <x:c r="M49" s="6" t="inlineStr">
        <x:is>
          <x:t xml:space="preserve">مالی+لجستیک</x:t>
        </x:is>
      </x:c>
      <x:c r="N49" s="6" t="inlineStr">
        <x:is>
          <x:t xml:space="preserve">EVT-13</x:t>
        </x:is>
      </x:c>
      <x:c r="O49" s="6" t="inlineStr">
        <x:is>
          <x:t xml:space="preserve">MET-27/MET-29</x:t>
        </x:is>
      </x:c>
      <x:c r="P49" s="6" t="inlineStr">
        <x:is>
          <x:t xml:space="preserve">DIM-17,29,21</x:t>
        </x:is>
      </x:c>
      <x:c r="Q49" s="6" t="inlineStr">
        <x:is>
          <x:t xml:space="preserve">ماهانه</x:t>
        </x:is>
      </x:c>
      <x:c r="R49" s="6" t="inlineStr">
        <x:is>
          <x:t xml:space="preserve">سبدهای ترکیبی/رشد تجهیزات</x:t>
        </x:is>
      </x:c>
      <x:c r="S49" s="6" t="inlineStr">
        <x:is>
          <x:t xml:space="preserve">کرایه پنهان/تخفیف پله‌ای</x:t>
        </x:is>
      </x:c>
      <x:c r="T49" s="6" t="inlineStr">
        <x:is>
          <x:t xml:space="preserve">KPI-35,KPI-45</x:t>
        </x:is>
      </x:c>
      <x:c r="U49" s="6" t="inlineStr">
        <x:is>
          <x:t xml:space="preserve">ارزیابی فقط با مبالغ درشت</x:t>
        </x:is>
      </x:c>
      <x:c r="V49" s="6" t="inlineStr">
        <x:is>
          <x:t xml:space="preserve">خرده‌خرده‌ها ممکن است PPO منفی باشند</x:t>
        </x:is>
      </x:c>
      <x:c r="W49" s="6" t="inlineStr">
        <x:is>
          <x:t xml:space="preserve">مواد &gt; 8,000,000 ریال/سبد</x:t>
        </x:is>
      </x:c>
      <x:c r="X49" s="6" t="inlineStr">
        <x:is>
          <x:t xml:space="preserve">فرض اولیه — نیازمند اعتبارسنجی با داده واقعی Titana</x:t>
        </x:is>
      </x:c>
      <x:c r="Y49" s="6" t="inlineStr">
        <x:is>
          <x:t xml:space="preserve">کرایه سفارش‌های زیر ۲ میلیون تومان</x:t>
        </x:is>
      </x:c>
      <x:c r="Z49" s="19" t="inlineStr">
        <x:is>
          <x:t xml:space="preserve">W4</x:t>
        </x:is>
      </x:c>
      <x:c r="AA49" s="19" t="inlineStr">
        <x:is>
          <x:t xml:space="preserve">Medium</x:t>
        </x:is>
      </x:c>
      <x:c r="AB49" s="6" t="inlineStr">
        <x:is>
          <x:t xml:space="preserve">Data Analyst</x:t>
        </x:is>
      </x:c>
      <x:c r="AC49" s="6" t="inlineStr">
        <x:is>
          <x:t xml:space="preserve">—</x:t>
        </x:is>
      </x:c>
      <x:c r="AD49" s="30" t="str">
        <x:v>KPI-48</x:v>
      </x:c>
      <x:c r="AE49" s="30" t="str">
        <x:v>Proposed</x:v>
      </x:c>
    </x:row>
    <x:row r="50">
      <x:c r="A50" s="17" t="inlineStr">
        <x:is>
          <x:t xml:space="preserve">KPI-49</x:t>
        </x:is>
      </x:c>
      <x:c r="B50" s="4" t="inlineStr">
        <x:is>
          <x:t xml:space="preserve">Break-even ROAS</x:t>
        </x:is>
      </x:c>
      <x:c r="C50" s="4" t="inlineStr">
        <x:is>
          <x:t xml:space="preserve">بازگشت سر‌به‌سر تبلیغات</x:t>
        </x:is>
      </x:c>
      <x:c r="D50" s="4" t="inlineStr">
        <x:is>
          <x:t xml:space="preserve">BE-ROAS</x:t>
        </x:is>
      </x:c>
      <x:c r="E50" s="4" t="inlineStr">
        <x:is>
          <x:t xml:space="preserve">آستانه‌های تصمیم</x:t>
        </x:is>
      </x:c>
      <x:c r="F50" s="4" t="inlineStr">
        <x:is>
          <x:t xml:space="preserve">حداقل ROAS برای پوشش کامل هزینه</x:t>
        </x:is>
      </x:c>
      <x:c r="G50" s="4" t="inlineStr">
        <x:is>
          <x:t xml:space="preserve">1 / Gross Margin % = Net Revenue / Gross Profit</x:t>
        </x:is>
      </x:c>
      <x:c r="H50" s="4" t="inlineStr">
        <x:is>
          <x:t xml:space="preserve">100</x:t>
        </x:is>
      </x:c>
      <x:c r="I50" s="4" t="inlineStr">
        <x:is>
          <x:t xml:space="preserve">Gross Margin %</x:t>
        </x:is>
      </x:c>
      <x:c r="J50" s="4" t="inlineStr">
        <x:is>
          <x:t xml:space="preserve">ضریب</x:t>
        </x:is>
      </x:c>
      <x:c r="K50" s="4" t="inlineStr">
        <x:is>
          <x:t xml:space="preserve">Critical Threshold</x:t>
        </x:is>
      </x:c>
      <x:c r="L50" s="4" t="inlineStr">
        <x:is>
          <x:t xml:space="preserve">Category/SKU/Campaign</x:t>
        </x:is>
      </x:c>
      <x:c r="M50" s="4" t="inlineStr">
        <x:is>
          <x:t xml:space="preserve">مالی+Ads</x:t>
        </x:is>
      </x:c>
      <x:c r="N50" s="4" t="inlineStr">
        <x:is>
          <x:t xml:space="preserve">—</x:t>
        </x:is>
      </x:c>
      <x:c r="O50" s="4" t="inlineStr">
        <x:is>
          <x:t xml:space="preserve">—</x:t>
        </x:is>
      </x:c>
      <x:c r="P50" s="4" t="inlineStr">
        <x:is>
          <x:t xml:space="preserve">DIM-17,16</x:t>
        </x:is>
      </x:c>
      <x:c r="Q50" s="4" t="inlineStr">
        <x:is>
          <x:t xml:space="preserve">ماهانه (استاتیک)</x:t>
        </x:is>
      </x:c>
      <x:c r="R50" s="4" t="inlineStr">
        <x:is>
          <x:t xml:space="preserve">مارژین کمتر → BE بالاتر</x:t>
        </x:is>
      </x:c>
      <x:c r="S50" s="4" t="inlineStr">
        <x:is>
          <x:t xml:space="preserve">مارژین کمتر = ریسک ضرر در ROAS پایین</x:t>
        </x:is>
      </x:c>
      <x:c r="T50" s="4" t="inlineStr">
        <x:is>
          <x:t xml:space="preserve">KPI-47,KPI-44</x:t>
        </x:is>
      </x:c>
      <x:c r="U50" s="4" t="inlineStr">
        <x:is>
          <x:t xml:space="preserve">ROAS یکسان برای کل اکانت (سود یونیت ≠ کامپوزیت)</x:t>
        </x:is>
      </x:c>
      <x:c r="V50" s="4" t="inlineStr">
        <x:is>
          <x:t xml:space="preserve">اثر خریدهای مجدد لحظه‌ای لحاظ نمی‌شود</x:t>
        </x:is>
      </x:c>
      <x:c r="W50" s="4" t="inlineStr">
        <x:is>
          <x:t xml:space="preserve">مواد (۲۰٪): 5.0x | ابزار (۵۰٪): 2.0x</x:t>
        </x:is>
      </x:c>
      <x:c r="X50" s="4" t="inlineStr">
        <x:is>
          <x:t xml:space="preserve">فرض اولیه — نیازمند اعتبارسنجی با داده واقعی Titana</x:t>
        </x:is>
      </x:c>
      <x:c r="Y50" s="4" t="inlineStr">
        <x:is>
          <x:t xml:space="preserve">دسته‌بندی شاپینگ/کاتالوگ بر اساس BE-ROAS</x:t>
        </x:is>
      </x:c>
      <x:c r="Z50" s="17" t="inlineStr">
        <x:is>
          <x:t xml:space="preserve">W4</x:t>
        </x:is>
      </x:c>
      <x:c r="AA50" s="17" t="inlineStr">
        <x:is>
          <x:t xml:space="preserve">Critical</x:t>
        </x:is>
      </x:c>
      <x:c r="AB50" s="4" t="inlineStr">
        <x:is>
          <x:t xml:space="preserve">مدیر مالی</x:t>
        </x:is>
      </x:c>
      <x:c r="AC50" s="4" t="inlineStr">
        <x:is>
          <x:t xml:space="preserve">—</x:t>
        </x:is>
      </x:c>
      <x:c r="AD50" s="30" t="str">
        <x:v>KPI-49</x:v>
      </x:c>
      <x:c r="AE50" s="30" t="str">
        <x:v>Proposed</x:v>
      </x:c>
    </x:row>
    <x:row r="51">
      <x:c r="A51" s="19" t="inlineStr">
        <x:is>
          <x:t xml:space="preserve">KPI-50</x:t>
        </x:is>
      </x:c>
      <x:c r="B51" s="6" t="inlineStr">
        <x:is>
          <x:t xml:space="preserve">Break-even CAC</x:t>
        </x:is>
      </x:c>
      <x:c r="C51" s="6" t="inlineStr">
        <x:is>
          <x:t xml:space="preserve">هزینه جذب سر‌به‌سر</x:t>
        </x:is>
      </x:c>
      <x:c r="D51" s="6" t="inlineStr">
        <x:is>
          <x:t xml:space="preserve">BE-CAC</x:t>
        </x:is>
      </x:c>
      <x:c r="E51" s="6" t="inlineStr">
        <x:is>
          <x:t xml:space="preserve">آستانه‌های تصمیم</x:t>
        </x:is>
      </x:c>
      <x:c r="F51" s="6" t="inlineStr">
        <x:is>
          <x:t xml:space="preserve">حداکثر هزینه جذب بدون زیان تراکنش اول</x:t>
        </x:is>
      </x:c>
      <x:c r="G51" s="6" t="inlineStr">
        <x:is>
          <x:t xml:space="preserve">AOV(First Order) × Gross Margin %</x:t>
        </x:is>
      </x:c>
      <x:c r="H51" s="6" t="inlineStr">
        <x:is>
          <x:t xml:space="preserve">AOV × Margin</x:t>
        </x:is>
      </x:c>
      <x:c r="I51" s="6" t="inlineStr">
        <x:is>
          <x:t xml:space="preserve">—</x:t>
        </x:is>
      </x:c>
      <x:c r="J51" s="6" t="inlineStr">
        <x:is>
          <x:t xml:space="preserve">ریال</x:t>
        </x:is>
      </x:c>
      <x:c r="K51" s="6" t="inlineStr">
        <x:is>
          <x:t xml:space="preserve">Acquisition Ceiling</x:t>
        </x:is>
      </x:c>
      <x:c r="L51" s="6" t="inlineStr">
        <x:is>
          <x:t xml:space="preserve">Channel/Segment</x:t>
        </x:is>
      </x:c>
      <x:c r="M51" s="6" t="inlineStr">
        <x:is>
          <x:t xml:space="preserve">جدول سفارشات اول</x:t>
        </x:is>
      </x:c>
      <x:c r="N51" s="6" t="inlineStr">
        <x:is>
          <x:t xml:space="preserve">EVT-13</x:t>
        </x:is>
      </x:c>
      <x:c r="O51" s="6" t="inlineStr">
        <x:is>
          <x:t xml:space="preserve">MET-21</x:t>
        </x:is>
      </x:c>
      <x:c r="P51" s="6" t="inlineStr">
        <x:is>
          <x:t xml:space="preserve">DIM-01,28,21</x:t>
        </x:is>
      </x:c>
      <x:c r="Q51" s="6" t="inlineStr">
        <x:is>
          <x:t xml:space="preserve">ماهانه/فصلی</x:t>
        </x:is>
      </x:c>
      <x:c r="R51" s="6" t="inlineStr">
        <x:is>
          <x:t xml:space="preserve">سقف مجاز بدون فرض خرید مجدد</x:t>
        </x:is>
      </x:c>
      <x:c r="S51" s="6" t="inlineStr">
        <x:is>
          <x:t xml:space="preserve">افت ارزش اول → آستانه پایین‌تر</x:t>
        </x:is>
      </x:c>
      <x:c r="T51" s="6" t="inlineStr">
        <x:is>
          <x:t xml:space="preserve">KPI-20,KPI-49</x:t>
        </x:is>
      </x:c>
      <x:c r="U51" s="6" t="inlineStr">
        <x:is>
          <x:t xml:space="preserve">نگه‌داشتن CAC زیر BE در کسب‌وکار تکراربالا</x:t>
        </x:is>
      </x:c>
      <x:c r="V51" s="6" t="inlineStr">
        <x:is>
          <x:t xml:space="preserve">استراتژی‌های تهاجمی عمداً بالاتر</x:t>
        </x:is>
      </x:c>
      <x:c r="W51" s="6" t="inlineStr">
        <x:is>
          <x:t xml:space="preserve">مواد: سقف ۶,۰۰,۰۰۰ ریال</x:t>
        </x:is>
      </x:c>
      <x:c r="X51" s="6" t="inlineStr">
        <x:is>
          <x:t xml:space="preserve">فرض اولیه — نیازمند اعتبارسنجی با داده واقعی Titana</x:t>
        </x:is>
      </x:c>
      <x:c r="Y51" s="6" t="inlineStr">
        <x:is>
          <x:t xml:space="preserve">مزایده‌ها طوری که CAC &lt; BE-CAC</x:t>
        </x:is>
      </x:c>
      <x:c r="Z51" s="19" t="inlineStr">
        <x:is>
          <x:t xml:space="preserve">W4</x:t>
        </x:is>
      </x:c>
      <x:c r="AA51" s="19" t="inlineStr">
        <x:is>
          <x:t xml:space="preserve">High</x:t>
        </x:is>
      </x:c>
      <x:c r="AB51" s="6" t="inlineStr">
        <x:is>
          <x:t xml:space="preserve">Data Analyst</x:t>
        </x:is>
      </x:c>
      <x:c r="AC51" s="6" t="inlineStr">
        <x:is>
          <x:t xml:space="preserve">—</x:t>
        </x:is>
      </x:c>
      <x:c r="AD51" s="30" t="str">
        <x:v>KPI-50</x:v>
      </x:c>
      <x:c r="AE51" s="30" t="str">
        <x:v>Proposed</x:v>
      </x:c>
    </x:row>
    <x:row r="52">
      <x:c r="A52" s="17" t="inlineStr">
        <x:is>
          <x:t xml:space="preserve">KPI-51</x:t>
        </x:is>
      </x:c>
      <x:c r="B52" s="4" t="inlineStr">
        <x:is>
          <x:t xml:space="preserve">Marginal ROAS</x:t>
        </x:is>
      </x:c>
      <x:c r="C52" s="4" t="inlineStr">
        <x:is>
          <x:t xml:space="preserve">بازگشت حاشیه‌ای</x:t>
        </x:is>
      </x:c>
      <x:c r="D52" s="4" t="inlineStr">
        <x:is>
          <x:t xml:space="preserve">mROAS</x:t>
        </x:is>
      </x:c>
      <x:c r="E52" s="4" t="inlineStr">
        <x:is>
          <x:t xml:space="preserve">آستانه‌های تصمیم</x:t>
        </x:is>
      </x:c>
      <x:c r="F52" s="4" t="inlineStr">
        <x:is>
          <x:t xml:space="preserve">بازگشت هر ریال بودجه اضافه‌شده</x:t>
        </x:is>
      </x:c>
      <x:c r="G52" s="4" t="inlineStr">
        <x:is>
          <x:t xml:space="preserve">ΔRevenue / ΔAd Spend</x:t>
        </x:is>
      </x:c>
      <x:c r="H52" s="4" t="inlineStr">
        <x:is>
          <x:t xml:space="preserve">Rev2−Rev1</x:t>
        </x:is>
      </x:c>
      <x:c r="I52" s="4" t="inlineStr">
        <x:is>
          <x:t xml:space="preserve">Spend2−Spend1</x:t>
        </x:is>
      </x:c>
      <x:c r="J52" s="4" t="inlineStr">
        <x:is>
          <x:t xml:space="preserve">ضریب</x:t>
        </x:is>
      </x:c>
      <x:c r="K52" s="4" t="inlineStr">
        <x:is>
          <x:t xml:space="preserve">Scalability</x:t>
        </x:is>
      </x:c>
      <x:c r="L52" s="4" t="inlineStr">
        <x:is>
          <x:t xml:space="preserve">Campaign/AdSet/Channel</x:t>
        </x:is>
      </x:c>
      <x:c r="M52" s="4" t="inlineStr">
        <x:is>
          <x:t xml:space="preserve">BI time series</x:t>
        </x:is>
      </x:c>
      <x:c r="N52" s="4" t="inlineStr">
        <x:is>
          <x:t xml:space="preserve">EVT-13</x:t>
        </x:is>
      </x:c>
      <x:c r="O52" s="4" t="inlineStr">
        <x:is>
          <x:t xml:space="preserve">MET-21/MET-03</x:t>
        </x:is>
      </x:c>
      <x:c r="P52" s="4" t="inlineStr">
        <x:is>
          <x:t xml:space="preserve">DIM-01,04</x:t>
        </x:is>
      </x:c>
      <x:c r="Q52" s="4" t="inlineStr">
        <x:is>
          <x:t xml:space="preserve">هفتگی/اسکیل</x:t>
        </x:is>
      </x:c>
      <x:c r="R52" s="4" t="inlineStr">
        <x:is>
          <x:t xml:space="preserve">کشش‌پذیری/ظرفیت اشباع‌نشده</x:t>
        </x:is>
      </x:c>
      <x:c r="S52" s="4" t="inlineStr">
        <x:is>
          <x:t xml:space="preserve">اشباع/گرانی کلیک/بازده نزولی</x:t>
        </x:is>
      </x:c>
      <x:c r="T52" s="4" t="inlineStr">
        <x:is>
          <x:t xml:space="preserve">KPI-49,KPI-47</x:t>
        </x:is>
      </x:c>
      <x:c r="U52" s="4" t="inlineStr">
        <x:is>
          <x:t xml:space="preserve">تکیه به میانگین ROAS</x:t>
        </x:is>
      </x:c>
      <x:c r="V52" s="4" t="inlineStr">
        <x:is>
          <x:t xml:space="preserve">نیازمند ثبات بازار</x:t>
        </x:is>
      </x:c>
      <x:c r="W52" s="4" t="inlineStr">
        <x:is>
          <x:t xml:space="preserve">mROAS &gt; 1.8x در گام‌های اسکیل</x:t>
        </x:is>
      </x:c>
      <x:c r="X52" s="4" t="inlineStr">
        <x:is>
          <x:t xml:space="preserve">فرض اولیه — نیازمند اعتبارسنجی با داده واقعی Titana</x:t>
        </x:is>
      </x:c>
      <x:c r="Y52" s="4" t="inlineStr">
        <x:is>
          <x:t xml:space="preserve">mROAS &lt; ۱ → توقف افزایش + هدایت به ادست جدید</x:t>
        </x:is>
      </x:c>
      <x:c r="Z52" s="17" t="inlineStr">
        <x:is>
          <x:t xml:space="preserve">W4</x:t>
        </x:is>
      </x:c>
      <x:c r="AA52" s="17" t="inlineStr">
        <x:is>
          <x:t xml:space="preserve">High</x:t>
        </x:is>
      </x:c>
      <x:c r="AB52" s="4" t="inlineStr">
        <x:is>
          <x:t xml:space="preserve">لید پرفورمنس</x:t>
        </x:is>
      </x:c>
      <x:c r="AC52" s="4" t="inlineStr">
        <x:is>
          <x:t xml:space="preserve">—</x:t>
        </x:is>
      </x:c>
      <x:c r="AD52" s="30" t="str">
        <x:v>KPI-51</x:v>
      </x:c>
      <x:c r="AE52" s="30" t="str">
        <x:v>Proposed</x:v>
      </x:c>
    </x:row>
    <x:row r="53">
      <x:c r="A53" s="19" t="inlineStr">
        <x:is>
          <x:t xml:space="preserve">KPI-52</x:t>
        </x:is>
      </x:c>
      <x:c r="B53" s="6" t="inlineStr">
        <x:is>
          <x:t xml:space="preserve">CAC Payback Period</x:t>
        </x:is>
      </x:c>
      <x:c r="C53" s="6" t="inlineStr">
        <x:is>
          <x:t xml:space="preserve">دوره بازگشت هزینه جذب</x:t>
        </x:is>
      </x:c>
      <x:c r="D53" s="6" t="inlineStr">
        <x:is>
          <x:t xml:space="preserve">Payback Months</x:t>
        </x:is>
      </x:c>
      <x:c r="E53" s="6" t="inlineStr">
        <x:is>
          <x:t xml:space="preserve">سود و اقتصاد واحد</x:t>
        </x:is>
      </x:c>
      <x:c r="F53" s="6" t="inlineStr">
        <x:is>
          <x:t xml:space="preserve">زمان صفرشدن هزینه جذب با سود ناخالص</x:t>
        </x:is>
      </x:c>
      <x:c r="G53" s="6" t="inlineStr">
        <x:is>
          <x:t xml:space="preserve">CAC / Avg Monthly GP per Customer</x:t>
        </x:is>
      </x:c>
      <x:c r="H53" s="6" t="inlineStr">
        <x:is>
          <x:t xml:space="preserve">CAC</x:t>
        </x:is>
      </x:c>
      <x:c r="I53" s="6" t="inlineStr">
        <x:is>
          <x:t xml:space="preserve">Monthly GP Contribution</x:t>
        </x:is>
      </x:c>
      <x:c r="J53" s="6" t="inlineStr">
        <x:is>
          <x:t xml:space="preserve">ماه/روز</x:t>
        </x:is>
      </x:c>
      <x:c r="K53" s="6" t="inlineStr">
        <x:is>
          <x:t xml:space="preserve">Liquidity Health</x:t>
        </x:is>
      </x:c>
      <x:c r="L53" s="6" t="inlineStr">
        <x:is>
          <x:t xml:space="preserve">Cohort/Channel</x:t>
        </x:is>
      </x:c>
      <x:c r="M53" s="6" t="inlineStr">
        <x:is>
          <x:t xml:space="preserve">DWH cohort P&amp;L</x:t>
        </x:is>
      </x:c>
      <x:c r="N53" s="6" t="inlineStr">
        <x:is>
          <x:t xml:space="preserve">EVT-13</x:t>
        </x:is>
      </x:c>
      <x:c r="O53" s="6" t="inlineStr">
        <x:is>
          <x:t xml:space="preserve">—</x:t>
        </x:is>
      </x:c>
      <x:c r="P53" s="6" t="inlineStr">
        <x:is>
          <x:t xml:space="preserve">DIM-01,19</x:t>
        </x:is>
      </x:c>
      <x:c r="Q53" s="6" t="inlineStr">
        <x:is>
          <x:t xml:space="preserve">فصلی/سالانه</x:t>
        </x:is>
      </x:c>
      <x:c r="R53" s="6" t="inlineStr">
        <x:is>
          <x:t xml:space="preserve">ریسک نقدینگی/سرمایه در گردش</x:t>
        </x:is>
      </x:c>
      <x:c r="S53" s="6" t="inlineStr">
        <x:is>
          <x:t xml:space="preserve">گردش سریع/تسویه آنی</x:t>
        </x:is>
      </x:c>
      <x:c r="T53" s="6" t="inlineStr">
        <x:is>
          <x:t xml:space="preserve">KPI-20,KPI-57</x:t>
        </x:is>
      </x:c>
      <x:c r="U53" s="6" t="inlineStr">
        <x:is>
          <x:t xml:space="preserve">استفاده از درآمد به‌جای GP در مخرج</x:t>
        </x:is>
      </x:c>
      <x:c r="V53" s="6" t="inlineStr">
        <x:is>
          <x:t xml:space="preserve">ریز پیش از سررسید = ضرر قطعی</x:t>
        </x:is>
      </x:c>
      <x:c r="W53" s="6" t="inlineStr">
        <x:is>
          <x:t xml:space="preserve">مواد &lt; 3.5 ماه | تجهیزات &lt; 1 ماه</x:t>
        </x:is>
      </x:c>
      <x:c r="X53" s="6" t="inlineStr">
        <x:is>
          <x:t xml:space="preserve">فرض اولیه — نیازمند اعتبارسنجی با داده واقعی Titana</x:t>
        </x:is>
      </x:c>
      <x:c r="Y53" s="6" t="inlineStr">
        <x:is>
          <x:t xml:space="preserve">تخفیف ویژه سفارش دوم/سوم ظرف ۶۰ روز</x:t>
        </x:is>
      </x:c>
      <x:c r="Z53" s="19" t="inlineStr">
        <x:is>
          <x:t xml:space="preserve">W4</x:t>
        </x:is>
      </x:c>
      <x:c r="AA53" s="19" t="inlineStr">
        <x:is>
          <x:t xml:space="preserve">High</x:t>
        </x:is>
      </x:c>
      <x:c r="AB53" s="6" t="inlineStr">
        <x:is>
          <x:t xml:space="preserve">Data Analyst</x:t>
        </x:is>
      </x:c>
      <x:c r="AC53" s="6" t="inlineStr">
        <x:is>
          <x:t xml:space="preserve">—</x:t>
        </x:is>
      </x:c>
      <x:c r="AD53" s="30" t="str">
        <x:v>KPI-52</x:v>
      </x:c>
      <x:c r="AE53" s="30" t="str">
        <x:v>Proposed</x:v>
      </x:c>
    </x:row>
    <x:row r="54">
      <x:c r="A54" s="17" t="inlineStr">
        <x:is>
          <x:t xml:space="preserve">KPI-53</x:t>
        </x:is>
      </x:c>
      <x:c r="B54" s="4" t="inlineStr">
        <x:is>
          <x:t xml:space="preserve">Repeat Purchase Rate</x:t>
        </x:is>
      </x:c>
      <x:c r="C54" s="4" t="inlineStr">
        <x:is>
          <x:t xml:space="preserve">نرخ تکرار خرید</x:t>
        </x:is>
      </x:c>
      <x:c r="D54" s="4" t="inlineStr">
        <x:is>
          <x:t xml:space="preserve">RPR</x:t>
        </x:is>
      </x:c>
      <x:c r="E54" s="4" t="inlineStr">
        <x:is>
          <x:t xml:space="preserve">وفاداری و CLV</x:t>
        </x:is>
      </x:c>
      <x:c r="F54" s="4" t="inlineStr">
        <x:is>
          <x:t xml:space="preserve">درصد خریداران با ≥۲ سفارش در دوره</x:t>
        </x:is>
      </x:c>
      <x:c r="G54" s="4" t="inlineStr">
        <x:is>
          <x:t xml:space="preserve">(Customers ≥2 Purchases / Unique Buyers) × 100</x:t>
        </x:is>
      </x:c>
      <x:c r="H54" s="4" t="inlineStr">
        <x:is>
          <x:t xml:space="preserve">Repeat Buyers</x:t>
        </x:is>
      </x:c>
      <x:c r="I54" s="4" t="inlineStr">
        <x:is>
          <x:t xml:space="preserve">Unique Buyers</x:t>
        </x:is>
      </x:c>
      <x:c r="J54" s="4" t="inlineStr">
        <x:is>
          <x:t xml:space="preserve">%</x:t>
        </x:is>
      </x:c>
      <x:c r="K54" s="4" t="inlineStr">
        <x:is>
          <x:t xml:space="preserve">Stickiness</x:t>
        </x:is>
      </x:c>
      <x:c r="L54" s="4" t="inlineStr">
        <x:is>
          <x:t xml:space="preserve">Cohort/Specialty/FirstCategory</x:t>
        </x:is>
      </x:c>
      <x:c r="M54" s="4" t="inlineStr">
        <x:is>
          <x:t xml:space="preserve">CRM سفارشات</x:t>
        </x:is>
      </x:c>
      <x:c r="N54" s="4" t="inlineStr">
        <x:is>
          <x:t xml:space="preserve">EVT-15</x:t>
        </x:is>
      </x:c>
      <x:c r="O54" s="4" t="inlineStr">
        <x:is>
          <x:t xml:space="preserve">MET-30/MET-31</x:t>
        </x:is>
      </x:c>
      <x:c r="P54" s="4" t="inlineStr">
        <x:is>
          <x:t xml:space="preserve">DIM-19,17,20</x:t>
        </x:is>
      </x:c>
      <x:c r="Q54" s="4" t="inlineStr">
        <x:is>
          <x:t xml:space="preserve">فصلی(۹۰)/سالانه(۳۶۵)</x:t>
        </x:is>
      </x:c>
      <x:c r="R54" s="4" t="inlineStr">
        <x:is>
          <x:t xml:space="preserve">رضایت/اصالت/بازگشت دوره‌ای</x:t>
        </x:is>
      </x:c>
      <x:c r="S54" s="4" t="inlineStr">
        <x:is>
          <x:t xml:space="preserve">کیفیت/بدقولی/بنکدار/فراموشی برند</x:t>
        </x:is>
      </x:c>
      <x:c r="T54" s="4" t="inlineStr">
        <x:is>
          <x:t xml:space="preserve">KPI-54,KPI-57</x:t>
        </x:is>
      </x:c>
      <x:c r="U54" s="4" t="inlineStr">
        <x:is>
          <x:t xml:space="preserve">احتساب اتوکلاو در پایه تکرار مواد</x:t>
        </x:is>
      </x:c>
      <x:c r="V54" s="4" t="inlineStr">
        <x:is>
          <x:t xml:space="preserve">نیازمند گذشت زمان مصرف</x:t>
        </x:is>
      </x:c>
      <x:c r="W54" s="4" t="inlineStr">
        <x:is>
          <x:t xml:space="preserve">مواد &gt; 45٪ در ۱۸۰ روز</x:t>
        </x:is>
      </x:c>
      <x:c r="X54" s="4" t="inlineStr">
        <x:is>
          <x:t xml:space="preserve">فرض اولیه — نیازمند اعتبارسنجی با داده واقعی Titana</x:t>
        </x:is>
      </x:c>
      <x:c r="Y54" s="4" t="inlineStr">
        <x:is>
          <x:t xml:space="preserve">SMS خودکار شارژ بر پایه میانگین مصرف</x:t>
        </x:is>
      </x:c>
      <x:c r="Z54" s="17" t="inlineStr">
        <x:is>
          <x:t xml:space="preserve">W4</x:t>
        </x:is>
      </x:c>
      <x:c r="AA54" s="17" t="inlineStr">
        <x:is>
          <x:t xml:space="preserve">Critical</x:t>
        </x:is>
      </x:c>
      <x:c r="AB54" s="4" t="inlineStr">
        <x:is>
          <x:t xml:space="preserve">Data Analyst</x:t>
        </x:is>
      </x:c>
      <x:c r="AC54" s="4" t="inlineStr">
        <x:is>
          <x:t xml:space="preserve">—</x:t>
        </x:is>
      </x:c>
      <x:c r="AD54" s="30" t="str">
        <x:v>KPI-53</x:v>
      </x:c>
      <x:c r="AE54" s="30" t="str">
        <x:v>Proposed</x:v>
      </x:c>
    </x:row>
    <x:row r="55">
      <x:c r="A55" s="19" t="inlineStr">
        <x:is>
          <x:t xml:space="preserve">KPI-54</x:t>
        </x:is>
      </x:c>
      <x:c r="B55" s="6" t="inlineStr">
        <x:is>
          <x:t xml:space="preserve">Customer Retention Rate</x:t>
        </x:is>
      </x:c>
      <x:c r="C55" s="6" t="inlineStr">
        <x:is>
          <x:t xml:space="preserve">نرخ حفظ مشتری</x:t>
        </x:is>
      </x:c>
      <x:c r="D55" s="6" t="inlineStr">
        <x:is>
          <x:t xml:space="preserve">CRR</x:t>
        </x:is>
      </x:c>
      <x:c r="E55" s="6" t="inlineStr">
        <x:is>
          <x:t xml:space="preserve">وفاداری و CLV</x:t>
        </x:is>
      </x:c>
      <x:c r="F55" s="6" t="inlineStr">
        <x:is>
          <x:t xml:space="preserve">درصد فعال‌های ابتدا دوره که پایان فعال ماندند</x:t>
        </x:is>
      </x:c>
      <x:c r="G55" s="6" t="inlineStr">
        <x:is>
          <x:t xml:space="preserve">((Active End − New) / Active Start) × 100</x:t>
        </x:is>
      </x:c>
      <x:c r="H55" s="6" t="inlineStr">
        <x:is>
          <x:t xml:space="preserve">Retained</x:t>
        </x:is>
      </x:c>
      <x:c r="I55" s="6" t="inlineStr">
        <x:is>
          <x:t xml:space="preserve">Active Start</x:t>
        </x:is>
      </x:c>
      <x:c r="J55" s="6" t="inlineStr">
        <x:is>
          <x:t xml:space="preserve">%</x:t>
        </x:is>
      </x:c>
      <x:c r="K55" s="6" t="inlineStr">
        <x:is>
          <x:t xml:space="preserve">Loyalty</x:t>
        </x:is>
      </x:c>
      <x:c r="L55" s="6" t="inlineStr">
        <x:is>
          <x:t xml:space="preserve">Cohort/AccountTier</x:t>
        </x:is>
      </x:c>
      <x:c r="M55" s="6" t="inlineStr">
        <x:is>
          <x:t xml:space="preserve">CRM+DWH</x:t>
        </x:is>
      </x:c>
      <x:c r="N55" s="6" t="inlineStr">
        <x:is>
          <x:t xml:space="preserve">EVT-13</x:t>
        </x:is>
      </x:c>
      <x:c r="O55" s="6" t="inlineStr">
        <x:is>
          <x:t xml:space="preserve">MET-31</x:t>
        </x:is>
      </x:c>
      <x:c r="P55" s="6" t="inlineStr">
        <x:is>
          <x:t xml:space="preserve">DIM-28,21</x:t>
        </x:is>
      </x:c>
      <x:c r="Q55" s="6" t="inlineStr">
        <x:is>
          <x:t xml:space="preserve">سالانه/فصلی</x:t>
        </x:is>
      </x:c>
      <x:c r="R55" s="6" t="inlineStr">
        <x:is>
          <x:t xml:space="preserve">رابطه عمیق B2B/تأمین‌کننده اصلی</x:t>
        </x:is>
      </x:c>
      <x:c r="S55" s="6" t="inlineStr">
        <x:is>
          <x:t xml:space="preserve">رقیب/کیفیت/دمپینگ</x:t>
        </x:is>
      </x:c>
      <x:c r="T55" s="6" t="inlineStr">
        <x:is>
          <x:t xml:space="preserve">KPI-55</x:t>
        </x:is>
      </x:c>
      <x:c r="U55" s="6" t="inlineStr">
        <x:is>
          <x:t xml:space="preserve">شمارش بازدیدکننده بدون خرید به‌عنوان حفظ‌شده</x:t>
        </x:is>
      </x:c>
      <x:c r="V55" s="6" t="inlineStr">
        <x:is>
          <x:t xml:space="preserve">جابجایی مطب/مهاجرت پزشک</x:t>
        </x:is>
      </x:c>
      <x:c r="W55" s="6" t="inlineStr">
        <x:is>
          <x:t xml:space="preserve">همکاران &gt; 75٪ سالانه</x:t>
        </x:is>
      </x:c>
      <x:c r="X55" s="6" t="inlineStr">
        <x:is>
          <x:t xml:space="preserve">فرض اولیه — نیازمند اعتبارسنجی با داده واقعی Titana</x:t>
        </x:is>
      </x:c>
      <x:c r="Y55" s="6" t="inlineStr">
        <x:is>
          <x:t xml:space="preserve">قراردادهای سالیانه با ثبات قیمت</x:t>
        </x:is>
      </x:c>
      <x:c r="Z55" s="19" t="inlineStr">
        <x:is>
          <x:t xml:space="preserve">W4</x:t>
        </x:is>
      </x:c>
      <x:c r="AA55" s="19" t="inlineStr">
        <x:is>
          <x:t xml:space="preserve">High</x:t>
        </x:is>
      </x:c>
      <x:c r="AB55" s="6" t="inlineStr">
        <x:is>
          <x:t xml:space="preserve">مدیر CRM</x:t>
        </x:is>
      </x:c>
      <x:c r="AC55" s="6" t="inlineStr">
        <x:is>
          <x:t xml:space="preserve">—</x:t>
        </x:is>
      </x:c>
      <x:c r="AD55" s="30" t="str">
        <x:v>KPI-54</x:v>
      </x:c>
      <x:c r="AE55" s="30" t="str">
        <x:v>Proposed</x:v>
      </x:c>
    </x:row>
    <x:row r="56">
      <x:c r="A56" s="17" t="inlineStr">
        <x:is>
          <x:t xml:space="preserve">KPI-55</x:t>
        </x:is>
      </x:c>
      <x:c r="B56" s="4" t="inlineStr">
        <x:is>
          <x:t xml:space="preserve">Customer Churn Rate</x:t>
        </x:is>
      </x:c>
      <x:c r="C56" s="4" t="inlineStr">
        <x:is>
          <x:t xml:space="preserve">نرخ ریزش مشتریان</x:t>
        </x:is>
      </x:c>
      <x:c r="D56" s="4" t="inlineStr">
        <x:is>
          <x:t xml:space="preserve">Churn%</x:t>
        </x:is>
      </x:c>
      <x:c r="E56" s="4" t="inlineStr">
        <x:is>
          <x:t xml:space="preserve">وفاداری و CLV</x:t>
        </x:is>
      </x:c>
      <x:c r="F56" s="4" t="inlineStr">
        <x:is>
          <x:t xml:space="preserve">درصد فعال‌های بی‌سفارش در دوره</x:t>
        </x:is>
      </x:c>
      <x:c r="G56" s="4" t="inlineStr">
        <x:is>
          <x:t xml:space="preserve">(Lost Inactive / Active at Start) × 100</x:t>
        </x:is>
      </x:c>
      <x:c r="H56" s="4" t="inlineStr">
        <x:is>
          <x:t xml:space="preserve">Lost Customers</x:t>
        </x:is>
      </x:c>
      <x:c r="I56" s="4" t="inlineStr">
        <x:is>
          <x:t xml:space="preserve">Active Start</x:t>
        </x:is>
      </x:c>
      <x:c r="J56" s="4" t="inlineStr">
        <x:is>
          <x:t xml:space="preserve">%</x:t>
        </x:is>
      </x:c>
      <x:c r="K56" s="4" t="inlineStr">
        <x:is>
          <x:t xml:space="preserve">Customer Erosion</x:t>
        </x:is>
      </x:c>
      <x:c r="L56" s="4" t="inlineStr">
        <x:is>
          <x:t xml:space="preserve">Segment/Specialty</x:t>
        </x:is>
      </x:c>
      <x:c r="M56" s="4" t="inlineStr">
        <x:is>
          <x:t xml:space="preserve">CRM Behavior + خرید</x:t>
        </x:is>
      </x:c>
      <x:c r="N56" s="4" t="inlineStr">
        <x:is>
          <x:t xml:space="preserve">EVT-13</x:t>
        </x:is>
      </x:c>
      <x:c r="O56" s="4" t="inlineStr">
        <x:is>
          <x:t xml:space="preserve">MET-32/MET-31</x:t>
        </x:is>
      </x:c>
      <x:c r="P56" s="4" t="inlineStr">
        <x:is>
          <x:t xml:space="preserve">DIM-19,20,21</x:t>
        </x:is>
      </x:c>
      <x:c r="Q56" s="4" t="inlineStr">
        <x:is>
          <x:t xml:space="preserve">فصلی/سالانه</x:t>
        </x:is>
      </x:c>
      <x:c r="R56" s="4" t="inlineStr">
        <x:is>
          <x:t xml:space="preserve">نارضایتی پنهان/نقص پیگیری/کالای تاریخ‌نزدیک</x:t>
        </x:is>
      </x:c>
      <x:c r="S56" s="4" t="inlineStr">
        <x:is>
          <x:t xml:space="preserve">رضایت/کیفیت/تحویل بی‌نقص</x:t>
        </x:is>
      </x:c>
      <x:c r="T56" s="4" t="inlineStr">
        <x:is>
          <x:t xml:space="preserve">KPI-54,KPI-57</x:t>
        </x:is>
      </x:c>
      <x:c r="U56" s="4" t="inlineStr">
        <x:is>
          <x:t xml:space="preserve">چرخه ثابت چورن برای همه (۵ ساله تجهیزات اشتباه)</x:t>
        </x:is>
      </x:c>
      <x:c r="V56" s="4" t="inlineStr">
        <x:is>
          <x:t xml:space="preserve">چورن کاذب خریداران فصلی</x:t>
        </x:is>
      </x:c>
      <x:c r="W56" s="4" t="inlineStr">
        <x:is>
          <x:t xml:space="preserve">مواد &lt; 18٪ سال | VIP &lt; 6٪</x:t>
        </x:is>
      </x:c>
      <x:c r="X56" s="4" t="inlineStr">
        <x:is>
          <x:t xml:space="preserve">فرض اولیه — نیازمند اعتبارسنجی با داده واقعی Titana</x:t>
        </x:is>
      </x:c>
      <x:c r="Y56" s="4" t="inlineStr">
        <x:is>
          <x:t xml:space="preserve">&gt;۶۰ روز بی‌خرید → تسک تماس فوری رضایت</x:t>
        </x:is>
      </x:c>
      <x:c r="Z56" s="17" t="inlineStr">
        <x:is>
          <x:t xml:space="preserve">W4</x:t>
        </x:is>
      </x:c>
      <x:c r="AA56" s="17" t="inlineStr">
        <x:is>
          <x:t xml:space="preserve">Critical</x:t>
        </x:is>
      </x:c>
      <x:c r="AB56" s="4" t="inlineStr">
        <x:is>
          <x:t xml:space="preserve">مدیر CRM</x:t>
        </x:is>
      </x:c>
      <x:c r="AC56" s="4" t="inlineStr">
        <x:is>
          <x:t xml:space="preserve">—</x:t>
        </x:is>
      </x:c>
      <x:c r="AD56" s="30" t="str">
        <x:v>KPI-55</x:v>
      </x:c>
      <x:c r="AE56" s="30" t="str">
        <x:v>Proposed</x:v>
      </x:c>
    </x:row>
    <x:row r="57">
      <x:c r="A57" s="19" t="inlineStr">
        <x:is>
          <x:t xml:space="preserve">KPI-56</x:t>
        </x:is>
      </x:c>
      <x:c r="B57" s="6" t="inlineStr">
        <x:is>
          <x:t xml:space="preserve">Customer Reactivation Rate</x:t>
        </x:is>
      </x:c>
      <x:c r="C57" s="6" t="inlineStr">
        <x:is>
          <x:t xml:space="preserve">نرخ فعال‌سازی مجدد</x:t>
        </x:is>
      </x:c>
      <x:c r="D57" s="6" t="inlineStr">
        <x:is>
          <x:t xml:space="preserve">Win-back%</x:t>
        </x:is>
      </x:c>
      <x:c r="E57" s="6" t="inlineStr">
        <x:is>
          <x:t xml:space="preserve">وفاداری و CLV</x:t>
        </x:is>
      </x:c>
      <x:c r="F57" s="6" t="inlineStr">
        <x:is>
          <x:t xml:space="preserve">درصد لپس‌ها بازگشته از کمپین بازگشت</x:t>
        </x:is>
      </x:c>
      <x:c r="G57" s="6" t="inlineStr">
        <x:is>
          <x:t xml:space="preserve">(Reactivated / Lapsed Targeted) × 100</x:t>
        </x:is>
      </x:c>
      <x:c r="H57" s="6" t="inlineStr">
        <x:is>
          <x:t xml:space="preserve">Reactivated</x:t>
        </x:is>
      </x:c>
      <x:c r="I57" s="6" t="inlineStr">
        <x:is>
          <x:t xml:space="preserve">Lapsed Targeted</x:t>
        </x:is>
      </x:c>
      <x:c r="J57" s="6" t="inlineStr">
        <x:is>
          <x:t xml:space="preserve">%</x:t>
        </x:is>
      </x:c>
      <x:c r="K57" s="6" t="inlineStr">
        <x:is>
          <x:t xml:space="preserve">Recovery</x:t>
        </x:is>
      </x:c>
      <x:c r="L57" s="6" t="inlineStr">
        <x:is>
          <x:t xml:space="preserve">WinbackCampaign/Channel</x:t>
        </x:is>
      </x:c>
      <x:c r="M57" s="6" t="inlineStr">
        <x:is>
          <x:t xml:space="preserve">CRM+لاگ کمپین</x:t>
        </x:is>
      </x:c>
      <x:c r="N57" s="6" t="inlineStr">
        <x:is>
          <x:t xml:space="preserve">EVT-13</x:t>
        </x:is>
      </x:c>
      <x:c r="O57" s="6" t="inlineStr">
        <x:is>
          <x:t xml:space="preserve">—</x:t>
        </x:is>
      </x:c>
      <x:c r="P57" s="6" t="inlineStr">
        <x:is>
          <x:t xml:space="preserve">DIM-01,19</x:t>
        </x:is>
      </x:c>
      <x:c r="Q57" s="6" t="inlineStr">
        <x:is>
          <x:t xml:space="preserve">ماهانه</x:t>
        </x:is>
      </x:c>
      <x:c r="R57" s="6" t="inlineStr">
        <x:is>
          <x:t xml:space="preserve">کارآمدی آفر/زنده‌شدن پایگاه راکد</x:t>
        </x:is>
      </x:c>
      <x:c r="S57" s="6" t="inlineStr">
        <x:is>
          <x:t xml:space="preserve">تجربه تلخ/قرارداد انحصاری رقیب</x:t>
        </x:is>
      </x:c>
      <x:c r="T57" s="6" t="inlineStr">
        <x:is>
          <x:t xml:space="preserve">KPI-55</x:t>
        </x:is>
      </x:c>
      <x:c r="U57" s="6" t="inlineStr">
        <x:is>
          <x:t xml:space="preserve">محصول نامرتبط با تخصص در وین‌بک</x:t>
        </x:is>
      </x:c>
      <x:c r="V57" s="6" t="inlineStr">
        <x:is>
          <x:t xml:space="preserve">تخفیف یک‌باره → خاموشی مجدد</x:t>
        </x:is>
      </x:c>
      <x:c r="W57" s="6" t="inlineStr">
        <x:is>
          <x:t xml:space="preserve">بازگشت &gt; 12٪ راکد ۶ ماهه</x:t>
        </x:is>
      </x:c>
      <x:c r="X57" s="6" t="inlineStr">
        <x:is>
          <x:t xml:space="preserve">فرض اولیه — نیازمند اعتبارسنجی با داده واقعی Titana</x:t>
        </x:is>
      </x:c>
      <x:c r="Y57" s="6" t="inlineStr">
        <x:is>
          <x:t xml:space="preserve">تماس ارشد فروش + بسته نمونه رایگان</x:t>
        </x:is>
      </x:c>
      <x:c r="Z57" s="19" t="inlineStr">
        <x:is>
          <x:t xml:space="preserve">W5</x:t>
        </x:is>
      </x:c>
      <x:c r="AA57" s="19" t="inlineStr">
        <x:is>
          <x:t xml:space="preserve">Medium</x:t>
        </x:is>
      </x:c>
      <x:c r="AB57" s="6" t="inlineStr">
        <x:is>
          <x:t xml:space="preserve">متخصص اتوماسیون</x:t>
        </x:is>
      </x:c>
      <x:c r="AC57" s="6" t="inlineStr">
        <x:is>
          <x:t xml:space="preserve">—</x:t>
        </x:is>
      </x:c>
      <x:c r="AD57" s="30" t="str">
        <x:v>KPI-56</x:v>
      </x:c>
      <x:c r="AE57" s="30" t="str">
        <x:v>Proposed</x:v>
      </x:c>
    </x:row>
    <x:row r="58">
      <x:c r="A58" s="17" t="inlineStr">
        <x:is>
          <x:t xml:space="preserve">KPI-57</x:t>
        </x:is>
      </x:c>
      <x:c r="B58" s="4" t="inlineStr">
        <x:is>
          <x:t xml:space="preserve">Predictive Customer Lifetime Value</x:t>
        </x:is>
      </x:c>
      <x:c r="C58" s="4" t="inlineStr">
        <x:is>
          <x:t xml:space="preserve">ارزش طول عمر پیش‌بینی‌شده</x:t>
        </x:is>
      </x:c>
      <x:c r="D58" s="4" t="inlineStr">
        <x:is>
          <x:t xml:space="preserve">pCLV</x:t>
        </x:is>
      </x:c>
      <x:c r="E58" s="4" t="inlineStr">
        <x:is>
          <x:t xml:space="preserve">وفاداری و CLV</x:t>
        </x:is>
      </x:c>
      <x:c r="F58" s="4" t="inlineStr">
        <x:is>
          <x:t xml:space="preserve">امید سود ناخالص کل دوران همکاری</x:t>
        </x:is>
      </x:c>
      <x:c r="G58" s="4" t="inlineStr">
        <x:is>
          <x:t xml:space="preserve">E[N(t)] × E[Margin per Transaction]</x:t>
        </x:is>
      </x:c>
      <x:c r="H58" s="4" t="inlineStr">
        <x:is>
          <x:t xml:space="preserve">—</x:t>
        </x:is>
      </x:c>
      <x:c r="I58" s="4" t="inlineStr">
        <x:is>
          <x:t xml:space="preserve">—</x:t>
        </x:is>
      </x:c>
      <x:c r="J58" s="4" t="inlineStr">
        <x:is>
          <x:t xml:space="preserve">ریال</x:t>
        </x:is>
      </x:c>
      <x:c r="K58" s="4" t="inlineStr">
        <x:is>
          <x:t xml:space="preserve">Strategic Prediction</x:t>
        </x:is>
      </x:c>
      <x:c r="L58" s="4" t="inlineStr">
        <x:is>
          <x:t xml:space="preserve">CustomerId/CohortTier</x:t>
        </x:is>
      </x:c>
      <x:c r="M58" s="4" t="inlineStr">
        <x:is>
          <x:t xml:space="preserve">مدل‌های DWH (BG/NBD+Gamma-Gamma)</x:t>
        </x:is>
      </x:c>
      <x:c r="N58" s="4" t="inlineStr">
        <x:is>
          <x:t xml:space="preserve">EVT-13,EVT-15</x:t>
        </x:is>
      </x:c>
      <x:c r="O58" s="4" t="inlineStr">
        <x:is>
          <x:t xml:space="preserve">—</x:t>
        </x:is>
      </x:c>
      <x:c r="P58" s="4" t="inlineStr">
        <x:is>
          <x:t xml:space="preserve">DIM-19,01,17</x:t>
        </x:is>
      </x:c>
      <x:c r="Q58" s="4" t="inlineStr">
        <x:is>
          <x:t xml:space="preserve">سالانه/۳۶۵ غلتان</x:t>
        </x:is>
      </x:c>
      <x:c r="R58" s="4" t="inlineStr">
        <x:is>
          <x:t xml:space="preserve">ظرفیت جذب/ارزش پیوسته/کیفیت ورودی</x:t>
        </x:is>
      </x:c>
      <x:c r="S58" s="4" t="inlineStr">
        <x:is>
          <x:t xml:space="preserve">وفاداری کمتر/مشتری کم‌توان</x:t>
        </x:is>
      </x:c>
      <x:c r="T58" s="4" t="inlineStr">
        <x:is>
          <x:t xml:space="preserve">KPI-20,KPI-37</x:t>
        </x:is>
      </x:c>
      <x:c r="U58" s="4" t="inlineStr">
        <x:is>
          <x:t xml:space="preserve">فرمول ساده تاریخی بدون مدل ریزش</x:t>
        </x:is>
      </x:c>
      <x:c r="V58" s="4" t="inlineStr">
        <x:is>
          <x:t xml:space="preserve">حداقل ۱۲ ماه داده تمیز</x:t>
        </x:is>
      </x:c>
      <x:c r="W58" s="4" t="inlineStr">
        <x:is>
          <x:t xml:space="preserve">LTV/CAC &gt; 3.5x</x:t>
        </x:is>
      </x:c>
      <x:c r="X58" s="4" t="inlineStr">
        <x:is>
          <x:t xml:space="preserve">فرض اولیه — نیازمند اعتبارسنجی با داده واقعی Titana</x:t>
        </x:is>
      </x:c>
      <x:c r="Y58" s="4" t="inlineStr">
        <x:is>
          <x:t xml:space="preserve">تزریق pCLV به Enhanced Conversions گوگل</x:t>
        </x:is>
      </x:c>
      <x:c r="Z58" s="17" t="inlineStr">
        <x:is>
          <x:t xml:space="preserve">W6</x:t>
        </x:is>
      </x:c>
      <x:c r="AA58" s="17" t="inlineStr">
        <x:is>
          <x:t xml:space="preserve">Critical</x:t>
        </x:is>
      </x:c>
      <x:c r="AB58" s="4" t="inlineStr">
        <x:is>
          <x:t xml:space="preserve">Data Scientist</x:t>
        </x:is>
      </x:c>
      <x:c r="AC58" s="4" t="inlineStr">
        <x:is>
          <x:t xml:space="preserve">—</x:t>
        </x:is>
      </x:c>
      <x:c r="AD58" s="30" t="str">
        <x:v>KPI-57</x:v>
      </x:c>
      <x:c r="AE58" s="30" t="str">
        <x:v>Proposed</x:v>
      </x:c>
    </x:row>
    <x:row r="59">
      <x:c r="A59" s="19" t="inlineStr">
        <x:is>
          <x:t xml:space="preserve">KPI-58</x:t>
        </x:is>
      </x:c>
      <x:c r="B59" s="6" t="inlineStr">
        <x:is>
          <x:t xml:space="preserve">Budget Pacing Variance</x:t>
        </x:is>
      </x:c>
      <x:c r="C59" s="6" t="inlineStr">
        <x:is>
          <x:t xml:space="preserve">انحراف سرعت مصرف بودجه</x:t>
        </x:is>
      </x:c>
      <x:c r="D59" s="6" t="inlineStr">
        <x:is>
          <x:t xml:space="preserve">Pacing%</x:t>
        </x:is>
      </x:c>
      <x:c r="E59" s="6" t="inlineStr">
        <x:is>
          <x:t xml:space="preserve">بودجه و هزینه</x:t>
        </x:is>
      </x:c>
      <x:c r="F59" s="6" t="inlineStr">
        <x:is>
          <x:t xml:space="preserve">انحراف هزینه واقعی از برنامه خطی روزانه</x:t>
        </x:is>
      </x:c>
      <x:c r="G59" s="6" t="inlineStr">
        <x:is>
          <x:t xml:space="preserve">((Actual to Date − Planned to Date) / Planned) × 100</x:t>
        </x:is>
      </x:c>
      <x:c r="H59" s="6" t="inlineStr">
        <x:is>
          <x:t xml:space="preserve">Actual−Planned</x:t>
        </x:is>
      </x:c>
      <x:c r="I59" s="6" t="inlineStr">
        <x:is>
          <x:t xml:space="preserve">Planned to Date</x:t>
        </x:is>
      </x:c>
      <x:c r="J59" s="6" t="inlineStr">
        <x:is>
          <x:t xml:space="preserve">%</x:t>
        </x:is>
      </x:c>
      <x:c r="K59" s="6" t="inlineStr">
        <x:is>
          <x:t xml:space="preserve">Budget Control</x:t>
        </x:is>
      </x:c>
      <x:c r="L59" s="6" t="inlineStr">
        <x:is>
          <x:t xml:space="preserve">Campaign/AdSet/Account</x:t>
        </x:is>
      </x:c>
      <x:c r="M59" s="6" t="inlineStr">
        <x:is>
          <x:t xml:space="preserve">API Ads + بودجه‌ریزی</x:t>
        </x:is>
      </x:c>
      <x:c r="N59" s="6" t="inlineStr">
        <x:is>
          <x:t xml:space="preserve">—</x:t>
        </x:is>
      </x:c>
      <x:c r="O59" s="6" t="inlineStr">
        <x:is>
          <x:t xml:space="preserve">MET-03</x:t>
        </x:is>
      </x:c>
      <x:c r="P59" s="6" t="inlineStr">
        <x:is>
          <x:t xml:space="preserve">DIM-01,04</x:t>
        </x:is>
      </x:c>
      <x:c r="Q59" s="6" t="inlineStr">
        <x:is>
          <x:t xml:space="preserve">ساعتی/روزانه</x:t>
        </x:is>
      </x:c>
      <x:c r="R59" s="6" t="inlineStr">
        <x:is>
          <x:t xml:space="preserve">سوزان زودهنگام/اتمام اعتبار</x:t>
        </x:is>
      </x:c>
      <x:c r="S59" s="6" t="inlineStr">
        <x:is>
          <x:t xml:space="preserve">محدودیت فنی/بید پایین/مخاطب باریک</x:t>
        </x:is>
      </x:c>
      <x:c r="T59" s="6" t="inlineStr">
        <x:is>
          <x:t xml:space="preserve">KPI-59,KPI-67</x:t>
        </x:is>
      </x:c>
      <x:c r="U59" s="6" t="inlineStr">
        <x:is>
          <x:t xml:space="preserve">بی‌توجهی به تعطیلات/کنگره‌ها</x:t>
        </x:is>
      </x:c>
      <x:c r="V59" s="6" t="inlineStr">
        <x:is>
          <x:t xml:space="preserve">نوسان ارز پیسینگ ریالی را می‌شکند</x:t>
        </x:is>
      </x:c>
      <x:c r="W59" s="6" t="inlineStr">
        <x:is>
          <x:t xml:space="preserve">±۵٪ در ارزیابی هفتگی</x:t>
        </x:is>
      </x:c>
      <x:c r="X59" s="6" t="inlineStr">
        <x:is>
          <x:t xml:space="preserve">فرض اولیه — نیازمند اعتبارسنجی با داده واقعی Titana</x:t>
        </x:is>
      </x:c>
      <x:c r="Y59" s="6" t="inlineStr">
        <x:is>
          <x:t xml:space="preserve">انحراف +۱۵٪ → کاهش سقف روزانه ظرف ۲ ساعت</x:t>
        </x:is>
      </x:c>
      <x:c r="Z59" s="19" t="inlineStr">
        <x:is>
          <x:t xml:space="preserve">W4</x:t>
        </x:is>
      </x:c>
      <x:c r="AA59" s="19" t="inlineStr">
        <x:is>
          <x:t xml:space="preserve">Critical</x:t>
        </x:is>
      </x:c>
      <x:c r="AB59" s="6" t="inlineStr">
        <x:is>
          <x:t xml:space="preserve">کارشناس مدیا</x:t>
        </x:is>
      </x:c>
      <x:c r="AC59" s="6" t="inlineStr">
        <x:is>
          <x:t xml:space="preserve">—</x:t>
        </x:is>
      </x:c>
      <x:c r="AD59" s="30" t="str">
        <x:v>KPI-58</x:v>
      </x:c>
      <x:c r="AE59" s="30" t="str">
        <x:v>Proposed</x:v>
      </x:c>
    </x:row>
    <x:row r="60">
      <x:c r="A60" s="17" t="inlineStr">
        <x:is>
          <x:t xml:space="preserve">KPI-59</x:t>
        </x:is>
      </x:c>
      <x:c r="B60" s="4" t="inlineStr">
        <x:is>
          <x:t xml:space="preserve">Budget Utilization Risk</x:t>
        </x:is>
      </x:c>
      <x:c r="C60" s="4" t="inlineStr">
        <x:is>
          <x:t xml:space="preserve">ریسک استفاده از بودجه</x:t>
        </x:is>
      </x:c>
      <x:c r="D60" s="4" t="inlineStr">
        <x:is>
          <x:t xml:space="preserve">BUR</x:t>
        </x:is>
      </x:c>
      <x:c r="E60" s="4" t="inlineStr">
        <x:is>
          <x:t xml:space="preserve">بودجه و هزینه</x:t>
        </x:is>
      </x:c>
      <x:c r="F60" s="4" t="inlineStr">
        <x:is>
          <x:t xml:space="preserve">پیش‌بینی مصرف پایان ماه با Run-rate</x:t>
        </x:is>
      </x:c>
      <x:c r="G60" s="4" t="inlineStr">
        <x:is>
          <x:t xml:space="preserve">(Current + Avg3d × RemainingDays) / Approved Budget</x:t>
        </x:is>
      </x:c>
      <x:c r="H60" s="4" t="inlineStr">
        <x:is>
          <x:t xml:space="preserve">Projected Month-End</x:t>
        </x:is>
      </x:c>
      <x:c r="I60" s="4" t="inlineStr">
        <x:is>
          <x:t xml:space="preserve">Approved Budget</x:t>
        </x:is>
      </x:c>
      <x:c r="J60" s="4" t="inlineStr">
        <x:is>
          <x:t xml:space="preserve">ضریب</x:t>
        </x:is>
      </x:c>
      <x:c r="K60" s="4" t="inlineStr">
        <x:is>
          <x:t xml:space="preserve">Budget Forecast</x:t>
        </x:is>
      </x:c>
      <x:c r="L60" s="4" t="inlineStr">
        <x:is>
          <x:t xml:space="preserve">Channel/MasterBudget</x:t>
        </x:is>
      </x:c>
      <x:c r="M60" s="4" t="inlineStr">
        <x:is>
          <x:t xml:space="preserve">اسکریپت مانیتورینگ DWH</x:t>
        </x:is>
      </x:c>
      <x:c r="N60" s="4" t="inlineStr">
        <x:is>
          <x:t xml:space="preserve">—</x:t>
        </x:is>
      </x:c>
      <x:c r="O60" s="4" t="inlineStr">
        <x:is>
          <x:t xml:space="preserve">MET-03</x:t>
        </x:is>
      </x:c>
      <x:c r="P60" s="4" t="inlineStr">
        <x:is>
          <x:t xml:space="preserve">DIM-01,17</x:t>
        </x:is>
      </x:c>
      <x:c r="Q60" s="4" t="inlineStr">
        <x:is>
          <x:t xml:space="preserve">روزانه (از روز دهم)</x:t>
        </x:is>
      </x:c>
      <x:c r="R60" s="4" t="inlineStr">
        <x:is>
          <x:t xml:space="preserve">بالای ۱ = ریسک اضافه‌مصرف</x:t>
        </x:is>
      </x:c>
      <x:c r="S60" s="4" t="inlineStr">
        <x:is>
          <x:t xml:space="preserve">زیر ۱ = ریسک از دست دادن رشد</x:t>
        </x:is>
      </x:c>
      <x:c r="T60" s="4" t="inlineStr">
        <x:is>
          <x:t xml:space="preserve">KPI-58,KPI-68</x:t>
        </x:is>
      </x:c>
      <x:c r="U60" s="4" t="inlineStr">
        <x:is>
          <x:t xml:space="preserve">میانگین کل ماه به‌جای متحرک وزنی</x:t>
        </x:is>
      </x:c>
      <x:c r="V60" s="4" t="inlineStr">
        <x:is>
          <x:t xml:space="preserve">بیدینگ رقبا در پایان ماه</x:t>
        </x:is>
      </x:c>
      <x:c r="W60" s="4" t="inlineStr">
        <x:is>
          <x:t xml:space="preserve">۰.۹۸ تا ۱.۰۲ انتهای ماه</x:t>
        </x:is>
      </x:c>
      <x:c r="X60" s="4" t="inlineStr">
        <x:is>
          <x:t xml:space="preserve">فرض اولیه — نیازمند اعتبارسنجی با داده واقعی Titana</x:t>
        </x:is>
      </x:c>
      <x:c r="Y60" s="4" t="inlineStr">
        <x:is>
          <x:t xml:space="preserve">&gt;۱.۱۰ → کاهش کم‌بازده | &lt;۰.۸۵ → گسترش تارگتینگ</x:t>
        </x:is>
      </x:c>
      <x:c r="Z60" s="17" t="inlineStr">
        <x:is>
          <x:t xml:space="preserve">W4</x:t>
        </x:is>
      </x:c>
      <x:c r="AA60" s="17" t="inlineStr">
        <x:is>
          <x:t xml:space="preserve">High</x:t>
        </x:is>
      </x:c>
      <x:c r="AB60" s="4" t="inlineStr">
        <x:is>
          <x:t xml:space="preserve">لید پرفورمنس</x:t>
        </x:is>
      </x:c>
      <x:c r="AC60" s="4" t="inlineStr">
        <x:is>
          <x:t xml:space="preserve">—</x:t>
        </x:is>
      </x:c>
      <x:c r="AD60" s="30" t="str">
        <x:v>KPI-59</x:v>
      </x:c>
      <x:c r="AE60" s="30" t="str">
        <x:v>Proposed</x:v>
      </x:c>
    </x:row>
    <x:row r="61">
      <x:c r="A61" s="19" t="inlineStr">
        <x:is>
          <x:t xml:space="preserve">KPI-60</x:t>
        </x:is>
      </x:c>
      <x:c r="B61" s="6" t="inlineStr">
        <x:is>
          <x:t xml:space="preserve">Thumb-stop / Hook Rate</x:t>
        </x:is>
      </x:c>
      <x:c r="C61" s="6" t="inlineStr">
        <x:is>
          <x:t xml:space="preserve">نرخ قلاب ۳ ثانیه‌ای</x:t>
        </x:is>
      </x:c>
      <x:c r="D61" s="6" t="inlineStr">
        <x:is>
          <x:t xml:space="preserve">Hook%</x:t>
        </x:is>
      </x:c>
      <x:c r="E61" s="6" t="inlineStr">
        <x:is>
          <x:t xml:space="preserve">کریتیو و محتوا</x:t>
        </x:is>
      </x:c>
      <x:c r="F61" s="6" t="inlineStr">
        <x:is>
          <x:t xml:space="preserve">درصد توقف ≥۳ ثانیه هنگام اسکرول فید</x:t>
        </x:is>
      </x:c>
      <x:c r="G61" s="6" t="inlineStr">
        <x:is>
          <x:t xml:space="preserve">(3s Plays / Video Impressions) × 100</x:t>
        </x:is>
      </x:c>
      <x:c r="H61" s="6" t="inlineStr">
        <x:is>
          <x:t xml:space="preserve">3s Plays</x:t>
        </x:is>
      </x:c>
      <x:c r="I61" s="6" t="inlineStr">
        <x:is>
          <x:t xml:space="preserve">Video Impressions</x:t>
        </x:is>
      </x:c>
      <x:c r="J61" s="6" t="inlineStr">
        <x:is>
          <x:t xml:space="preserve">%</x:t>
        </x:is>
      </x:c>
      <x:c r="K61" s="6" t="inlineStr">
        <x:is>
          <x:t xml:space="preserve">Opening Seconds</x:t>
        </x:is>
      </x:c>
      <x:c r="L61" s="6" t="inlineStr">
        <x:is>
          <x:t xml:space="preserve">VideoAsset/Ad</x:t>
        </x:is>
      </x:c>
      <x:c r="M61" s="6" t="inlineStr">
        <x:is>
          <x:t xml:space="preserve">Meta, TikTok</x:t>
        </x:is>
      </x:c>
      <x:c r="N61" s="6" t="inlineStr">
        <x:is>
          <x:t xml:space="preserve">—</x:t>
        </x:is>
      </x:c>
      <x:c r="O61" s="6" t="inlineStr">
        <x:is>
          <x:t xml:space="preserve">MET-05/MET-01</x:t>
        </x:is>
      </x:c>
      <x:c r="P61" s="6" t="inlineStr">
        <x:is>
          <x:t xml:space="preserve">DIM-08,09</x:t>
        </x:is>
      </x:c>
      <x:c r="Q61" s="6" t="inlineStr">
        <x:is>
          <x:t xml:space="preserve">روزانه (کریتیو تازه)</x:t>
        </x:is>
      </x:c>
      <x:c r="R61" s="6" t="inlineStr">
        <x:is>
          <x:t xml:space="preserve">کلوزآپ قوی/تطابق دغدغه روز</x:t>
        </x:is>
      </x:c>
      <x:c r="S61" s="6" t="inlineStr">
        <x:is>
          <x:t xml:space="preserve">شروع کسل‌کننده/لوگوی تکراری</x:t>
        </x:is>
      </x:c>
      <x:c r="T61" s="6" t="inlineStr">
        <x:is>
          <x:t xml:space="preserve">KPI-12,KPI-61</x:t>
        </x:is>
      </x:c>
      <x:c r="U61" s="6" t="inlineStr">
        <x:is>
          <x:t xml:space="preserve">متن تبلیغاتی بدون تصویر واضح</x:t>
        </x:is>
      </x:c>
      <x:c r="V61" s="6" t="inlineStr">
        <x:is>
          <x:t xml:space="preserve">توقف ناخواسته اسکرول</x:t>
        </x:is>
      </x:c>
      <x:c r="W61" s="6" t="inlineStr">
        <x:is>
          <x:t xml:space="preserve">&gt; 32٪ ریلز/استوری تخصصی</x:t>
        </x:is>
      </x:c>
      <x:c r="X61" s="6" t="inlineStr">
        <x:is>
          <x:t xml:space="preserve">فرض اولیه — نیازمند اعتبارسنجی با داده واقعی Titana</x:t>
        </x:is>
      </x:c>
      <x:c r="Y61" s="6" t="inlineStr">
        <x:is>
          <x:t xml:space="preserve">&lt;۲۰٪ ظرف ۴۸ ساعت → تعویض ۳ ثانیه اول</x:t>
        </x:is>
      </x:c>
      <x:c r="Z61" s="19" t="inlineStr">
        <x:is>
          <x:t xml:space="preserve">W4</x:t>
        </x:is>
      </x:c>
      <x:c r="AA61" s="19" t="inlineStr">
        <x:is>
          <x:t xml:space="preserve">High</x:t>
        </x:is>
      </x:c>
      <x:c r="AB61" s="6" t="inlineStr">
        <x:is>
          <x:t xml:space="preserve">کارشناس مدیا</x:t>
        </x:is>
      </x:c>
      <x:c r="AC61" s="6" t="inlineStr">
        <x:is>
          <x:t xml:space="preserve">—</x:t>
        </x:is>
      </x:c>
      <x:c r="AD61" s="30" t="str">
        <x:v>KPI-60</x:v>
      </x:c>
      <x:c r="AE61" s="30" t="str">
        <x:v>Proposed</x:v>
      </x:c>
    </x:row>
    <x:row r="62">
      <x:c r="A62" s="17" t="inlineStr">
        <x:is>
          <x:t xml:space="preserve">KPI-61</x:t>
        </x:is>
      </x:c>
      <x:c r="B62" s="4" t="inlineStr">
        <x:is>
          <x:t xml:space="preserve">Hold Rate</x:t>
        </x:is>
      </x:c>
      <x:c r="C62" s="4" t="inlineStr">
        <x:is>
          <x:t xml:space="preserve">نرخ نگه‌داشت توجه</x:t>
        </x:is>
      </x:c>
      <x:c r="D62" s="4" t="inlineStr">
        <x:is>
          <x:t xml:space="preserve">Hold%</x:t>
        </x:is>
      </x:c>
      <x:c r="E62" s="4" t="inlineStr">
        <x:is>
          <x:t xml:space="preserve">کریتیو و محتوا</x:t>
        </x:is>
      </x:c>
      <x:c r="F62" s="4" t="inlineStr">
        <x:is>
          <x:t xml:space="preserve">درصد تداوم تماشای بینندگان قلاب تا ثانیه ۱۵</x:t>
        </x:is>
      </x:c>
      <x:c r="G62" s="4" t="inlineStr">
        <x:is>
          <x:t xml:space="preserve">(ThruPlays or 15s Views / 3s Plays) × 100</x:t>
        </x:is>
      </x:c>
      <x:c r="H62" s="4" t="inlineStr">
        <x:is>
          <x:t xml:space="preserve">15s/ThruPlays</x:t>
        </x:is>
      </x:c>
      <x:c r="I62" s="4" t="inlineStr">
        <x:is>
          <x:t xml:space="preserve">3s Plays</x:t>
        </x:is>
      </x:c>
      <x:c r="J62" s="4" t="inlineStr">
        <x:is>
          <x:t xml:space="preserve">%</x:t>
        </x:is>
      </x:c>
      <x:c r="K62" s="4" t="inlineStr">
        <x:is>
          <x:t xml:space="preserve">Content Pull</x:t>
        </x:is>
      </x:c>
      <x:c r="L62" s="4" t="inlineStr">
        <x:is>
          <x:t xml:space="preserve">VideoCreative/Ad</x:t>
        </x:is>
      </x:c>
      <x:c r="M62" s="4" t="inlineStr">
        <x:is>
          <x:t xml:space="preserve">Meta</x:t>
        </x:is>
      </x:c>
      <x:c r="N62" s="4" t="inlineStr">
        <x:is>
          <x:t xml:space="preserve">—</x:t>
        </x:is>
      </x:c>
      <x:c r="O62" s="4" t="inlineStr">
        <x:is>
          <x:t xml:space="preserve">MET-06/MET-05</x:t>
        </x:is>
      </x:c>
      <x:c r="P62" s="4" t="inlineStr">
        <x:is>
          <x:t xml:space="preserve">DIM-08,09</x:t>
        </x:is>
      </x:c>
      <x:c r="Q62" s="4" t="inlineStr">
        <x:is>
          <x:t xml:space="preserve">هفتگی</x:t>
        </x:is>
      </x:c>
      <x:c r="R62" s="4" t="inlineStr">
        <x:is>
          <x:t xml:space="preserve">سناریوی روان/نکات فنی</x:t>
        </x:is>
      </x:c>
      <x:c r="S62" s="4" t="inlineStr">
        <x:is>
          <x:t xml:space="preserve">افت پس از قلاب/لحن نامناسب</x:t>
        </x:is>
      </x:c>
      <x:c r="T62" s="4" t="inlineStr">
        <x:is>
          <x:t xml:space="preserve">KPI-13,KPI-60</x:t>
        </x:is>
      </x:c>
      <x:c r="U62" s="4" t="inlineStr">
        <x:is>
          <x:t xml:space="preserve">مقایسه طول ویدیوها بدون نرمال‌سازی</x:t>
        </x:is>
      </x:c>
      <x:c r="V62" s="4" t="inlineStr">
        <x:is>
          <x:t xml:space="preserve">Status صدا (on/off)</x:t>
        </x:is>
      </x:c>
      <x:c r="W62" s="4" t="inlineStr">
        <x:is>
          <x:t xml:space="preserve">&gt; 28٪ ویدیوهای تا ۳۰ ثانیه</x:t>
        </x:is>
      </x:c>
      <x:c r="X62" s="4" t="inlineStr">
        <x:is>
          <x:t xml:space="preserve">فرض اولیه — نیازمند اعتبارسنجی با داده واقعی Titana</x:t>
        </x:is>
      </x:c>
      <x:c r="Y62" s="4" t="inlineStr">
        <x:is>
          <x:t xml:space="preserve">کات سکوت‌ها + کات حرکتی + زیرنویس متحرک</x:t>
        </x:is>
      </x:c>
      <x:c r="Z62" s="17" t="inlineStr">
        <x:is>
          <x:t xml:space="preserve">W4</x:t>
        </x:is>
      </x:c>
      <x:c r="AA62" s="17" t="inlineStr">
        <x:is>
          <x:t xml:space="preserve">High</x:t>
        </x:is>
      </x:c>
      <x:c r="AB62" s="4" t="inlineStr">
        <x:is>
          <x:t xml:space="preserve">کارشناس مدیا</x:t>
        </x:is>
      </x:c>
      <x:c r="AC62" s="4" t="inlineStr">
        <x:is>
          <x:t xml:space="preserve">—</x:t>
        </x:is>
      </x:c>
      <x:c r="AD62" s="30" t="str">
        <x:v>KPI-61</x:v>
      </x:c>
      <x:c r="AE62" s="30" t="str">
        <x:v>Proposed</x:v>
      </x:c>
    </x:row>
    <x:row r="63">
      <x:c r="A63" s="19" t="inlineStr">
        <x:is>
          <x:t xml:space="preserve">KPI-62</x:t>
        </x:is>
      </x:c>
      <x:c r="B63" s="6" t="inlineStr">
        <x:is>
          <x:t xml:space="preserve">Creative Fatigue / Decay Rate</x:t>
        </x:is>
      </x:c>
      <x:c r="C63" s="6" t="inlineStr">
        <x:is>
          <x:t xml:space="preserve">نرخ فرسایش کریتیو</x:t>
        </x:is>
      </x:c>
      <x:c r="D63" s="6" t="inlineStr">
        <x:is>
          <x:t xml:space="preserve">Decay%</x:t>
        </x:is>
      </x:c>
      <x:c r="E63" s="6" t="inlineStr">
        <x:is>
          <x:t xml:space="preserve">کریتیو و محتوا</x:t>
        </x:is>
      </x:c>
      <x:c r="F63" s="6" t="inlineStr">
        <x:is>
          <x:t xml:space="preserve">درصد افت CTR نسبت به هفته لانچ</x:t>
        </x:is>
      </x:c>
      <x:c r="G63" s="6" t="inlineStr">
        <x:is>
          <x:t xml:space="preserve">((CTR_Launch − CTR_Current) / CTR_Launch) × 100</x:t>
        </x:is>
      </x:c>
      <x:c r="H63" s="6" t="inlineStr">
        <x:is>
          <x:t xml:space="preserve">CTR Decline</x:t>
        </x:is>
      </x:c>
      <x:c r="I63" s="6" t="inlineStr">
        <x:is>
          <x:t xml:space="preserve">CTR Launch</x:t>
        </x:is>
      </x:c>
      <x:c r="J63" s="6" t="inlineStr">
        <x:is>
          <x:t xml:space="preserve">٪ افت</x:t>
        </x:is>
      </x:c>
      <x:c r="K63" s="6" t="inlineStr">
        <x:is>
          <x:t xml:space="preserve">Creative Decay</x:t>
        </x:is>
      </x:c>
      <x:c r="L63" s="6" t="inlineStr">
        <x:is>
          <x:t xml:space="preserve">Asset/AdSet</x:t>
        </x:is>
      </x:c>
      <x:c r="M63" s="6" t="inlineStr">
        <x:is>
          <x:t xml:space="preserve">Looker Studio سری زمانی</x:t>
        </x:is>
      </x:c>
      <x:c r="N63" s="6" t="inlineStr">
        <x:is>
          <x:t xml:space="preserve">—</x:t>
        </x:is>
      </x:c>
      <x:c r="O63" s="6" t="inlineStr">
        <x:is>
          <x:t xml:space="preserve">MET-01..MET-03</x:t>
        </x:is>
      </x:c>
      <x:c r="P63" s="6" t="inlineStr">
        <x:is>
          <x:t xml:space="preserve">DIM-08,09,10</x:t>
        </x:is>
      </x:c>
      <x:c r="Q63" s="6" t="inlineStr">
        <x:is>
          <x:t xml:space="preserve">هفتگی (ترند ۱۴ روز)</x:t>
        </x:is>
      </x:c>
      <x:c r="R63" s="6" t="inlineStr">
        <x:is>
          <x:t xml:space="preserve">اشباع/کوررنگی بنری/هدر تصاعدی</x:t>
        </x:is>
      </x:c>
      <x:c r="S63" s="6" t="inlineStr">
        <x:is>
          <x:t xml:space="preserve">Evergreen/ورود مخاطب جدید</x:t>
        </x:is>
      </x:c>
      <x:c r="T63" s="6" t="inlineStr">
        <x:is>
          <x:t xml:space="preserve">KPI-03,KPI-06</x:t>
        </x:is>
      </x:c>
      <x:c r="U63" s="6" t="inlineStr">
        <x:is>
          <x:t xml:space="preserve">روشن‌ماندن اد قدیمی موفق چند ماهه</x:t>
        </x:is>
      </x:c>
      <x:c r="V63" s="6" t="inlineStr">
        <x:is>
          <x:t xml:space="preserve">فصلی تقاضا ≠ فرسایش</x:t>
        </x:is>
      </x:c>
      <x:c r="W63" s="6" t="inlineStr">
        <x:is>
          <x:t xml:space="preserve">افت &lt;۲۵٪ ظرف ۳۰ روز</x:t>
        </x:is>
      </x:c>
      <x:c r="X63" s="6" t="inlineStr">
        <x:is>
          <x:t xml:space="preserve">فرض اولیه — نیازمند اعتبارسنجی با داده واقعی Titana</x:t>
        </x:is>
      </x:c>
      <x:c r="Y63" s="6" t="inlineStr">
        <x:is>
          <x:t xml:space="preserve">افت &gt;۳۰٪ CTR + Freq&gt;3 → بازنشستگی فوری</x:t>
        </x:is>
      </x:c>
      <x:c r="Z63" s="19" t="inlineStr">
        <x:is>
          <x:t xml:space="preserve">W4</x:t>
        </x:is>
      </x:c>
      <x:c r="AA63" s="19" t="inlineStr">
        <x:is>
          <x:t xml:space="preserve">Critical</x:t>
        </x:is>
      </x:c>
      <x:c r="AB63" s="6" t="inlineStr">
        <x:is>
          <x:t xml:space="preserve">کارشناس مدیا</x:t>
        </x:is>
      </x:c>
      <x:c r="AC63" s="6" t="inlineStr">
        <x:is>
          <x:t xml:space="preserve">—</x:t>
        </x:is>
      </x:c>
      <x:c r="AD63" s="30" t="str">
        <x:v>KPI-62</x:v>
      </x:c>
      <x:c r="AE63" s="30" t="str">
        <x:v>Proposed</x:v>
      </x:c>
    </x:row>
    <x:row r="64">
      <x:c r="A64" s="17" t="inlineStr">
        <x:is>
          <x:t xml:space="preserve">KPI-63</x:t>
        </x:is>
      </x:c>
      <x:c r="B64" s="4" t="inlineStr">
        <x:is>
          <x:t xml:space="preserve">Assisted Revenue</x:t>
        </x:is>
      </x:c>
      <x:c r="C64" s="4" t="inlineStr">
        <x:is>
          <x:t xml:space="preserve">درآمد منتسب به تبدیل‌های کمکی</x:t>
        </x:is>
      </x:c>
      <x:c r="D64" s="4" t="inlineStr">
        <x:is>
          <x:t xml:space="preserve">Assisted Rev</x:t>
        </x:is>
      </x:c>
      <x:c r="E64" s="4" t="inlineStr">
        <x:is>
          <x:t xml:space="preserve">چندکاناله و افزایشی</x:t>
        </x:is>
      </x:c>
      <x:c r="F64" s="4" t="inlineStr">
        <x:is>
          <x:t xml:space="preserve">ارزش سفارش‌هایی که کانال در آن‌ها نقش تسهیل‌کننده داشت</x:t>
        </x:is>
      </x:c>
      <x:c r="G64" s="4" t="inlineStr">
        <x:is>
          <x:t xml:space="preserve">SUM(Revenue where Channel present before Last)</x:t>
        </x:is>
      </x:c>
      <x:c r="H64" s="4" t="inlineStr">
        <x:is>
          <x:t xml:space="preserve">—</x:t>
        </x:is>
      </x:c>
      <x:c r="I64" s="4" t="inlineStr">
        <x:is>
          <x:t xml:space="preserve">—</x:t>
        </x:is>
      </x:c>
      <x:c r="J64" s="4" t="inlineStr">
        <x:is>
          <x:t xml:space="preserve">ریال</x:t>
        </x:is>
      </x:c>
      <x:c r="K64" s="4" t="inlineStr">
        <x:is>
          <x:t xml:space="preserve">Assist Value</x:t>
        </x:is>
      </x:c>
      <x:c r="L64" s="4" t="inlineStr">
        <x:is>
          <x:t xml:space="preserve">Channel/Campaign/Content</x:t>
        </x:is>
      </x:c>
      <x:c r="M64" s="4" t="inlineStr">
        <x:is>
          <x:t xml:space="preserve">GA4 MCF, BigQuery</x:t>
        </x:is>
      </x:c>
      <x:c r="N64" s="4" t="inlineStr">
        <x:is>
          <x:t xml:space="preserve">EVT-01..EVT-13</x:t>
        </x:is>
      </x:c>
      <x:c r="O64" s="4" t="inlineStr">
        <x:is>
          <x:t xml:space="preserve">—</x:t>
        </x:is>
      </x:c>
      <x:c r="P64" s="4" t="inlineStr">
        <x:is>
          <x:t xml:space="preserve">DIM-01,04</x:t>
        </x:is>
      </x:c>
      <x:c r="Q64" s="4" t="inlineStr">
        <x:is>
          <x:t xml:space="preserve">ماهانه/فصلی</x:t>
        </x:is>
      </x:c>
      <x:c r="R64" s="4" t="inlineStr">
        <x:is>
          <x:t xml:space="preserve">نقش حیاتی آگاهی/هدایت MOFU</x:t>
        </x:is>
      </x:c>
      <x:c r="S64" s="4" t="inlineStr">
        <x:is>
          <x:t xml:space="preserve">عملکرد ایزوله/تک‌کاناله</x:t>
        </x:is>
      </x:c>
      <x:c r="T64" s="4" t="inlineStr">
        <x:is>
          <x:t xml:space="preserve">KPI-80..KPI-85</x:t>
        </x:is>
      </x:c>
      <x:c r="U64" s="4" t="inlineStr">
        <x:is>
          <x:t xml:space="preserve">حذف ویدیو به بهانه LTA صفر</x:t>
        </x:is>
      </x:c>
      <x:c r="V64" s="4" t="inlineStr">
        <x:is>
          <x:t xml:space="preserve">خطای حذف کوکی</x:t>
        </x:is>
      </x:c>
      <x:c r="W64" s="4" t="inlineStr">
        <x:is>
          <x:t xml:space="preserve">سهم کمکی ویدیو &gt; 40٪ فروش درگیر</x:t>
        </x:is>
      </x:c>
      <x:c r="X64" s="4" t="inlineStr">
        <x:is>
          <x:t xml:space="preserve">فرض اولیه — نیازمند اعتبارسنجی با داده واقعی Titana</x:t>
        </x:is>
      </x:c>
      <x:c r="Y64" s="4" t="inlineStr">
        <x:is>
          <x:t xml:space="preserve">حفظ بودجه Assisted بالا حتی با LTA پایین</x:t>
        </x:is>
      </x:c>
      <x:c r="Z64" s="17" t="inlineStr">
        <x:is>
          <x:t xml:space="preserve">W4</x:t>
        </x:is>
      </x:c>
      <x:c r="AA64" s="17" t="inlineStr">
        <x:is>
          <x:t xml:space="preserve">High</x:t>
        </x:is>
      </x:c>
      <x:c r="AB64" s="4" t="inlineStr">
        <x:is>
          <x:t xml:space="preserve">تحلیل‌گر داده</x:t>
        </x:is>
      </x:c>
      <x:c r="AC64" s="4" t="inlineStr">
        <x:is>
          <x:t xml:space="preserve">—</x:t>
        </x:is>
      </x:c>
      <x:c r="AD64" s="30" t="str">
        <x:v>KPI-63</x:v>
      </x:c>
      <x:c r="AE64" s="30" t="str">
        <x:v>Proposed</x:v>
      </x:c>
    </x:row>
    <x:row r="65">
      <x:c r="A65" s="19" t="inlineStr">
        <x:is>
          <x:t xml:space="preserve">KPI-64</x:t>
        </x:is>
      </x:c>
      <x:c r="B65" s="6" t="inlineStr">
        <x:is>
          <x:t xml:space="preserve">Incremental ROAS</x:t>
        </x:is>
      </x:c>
      <x:c r="C65" s="6" t="inlineStr">
        <x:is>
          <x:t xml:space="preserve">بازگشت خالص افزایشی</x:t>
        </x:is>
      </x:c>
      <x:c r="D65" s="6" t="inlineStr">
        <x:is>
          <x:t xml:space="preserve">iROAS</x:t>
        </x:is>
      </x:c>
      <x:c r="E65" s="6" t="inlineStr">
        <x:is>
          <x:t xml:space="preserve">چندکاناله و افزایشی</x:t>
        </x:is>
      </x:c>
      <x:c r="F65" s="6" t="inlineStr">
        <x:is>
          <x:t xml:space="preserve">درآمد مازاد صرفاً ناشی از تبلیغات (بدون ارگانیک)</x:t>
        </x:is>
      </x:c>
      <x:c r="G65" s="6" t="inlineStr">
        <x:is>
          <x:t xml:space="preserve">(Rev_Test − Rev_Control) / Spend_Test</x:t>
        </x:is>
      </x:c>
      <x:c r="H65" s="6" t="inlineStr">
        <x:is>
          <x:t xml:space="preserve">ΔRevenue</x:t>
        </x:is>
      </x:c>
      <x:c r="I65" s="6" t="inlineStr">
        <x:is>
          <x:t xml:space="preserve">Test Spend</x:t>
        </x:is>
      </x:c>
      <x:c r="J65" s="6" t="inlineStr">
        <x:is>
          <x:t xml:space="preserve">ضریب</x:t>
        </x:is>
      </x:c>
      <x:c r="K65" s="6" t="inlineStr">
        <x:is>
          <x:t xml:space="preserve">Causal Lift</x:t>
        </x:is>
      </x:c>
      <x:c r="L65" s="6" t="inlineStr">
        <x:is>
          <x:t xml:space="preserve">CampaignGroup/Geo/Channel</x:t>
        </x:is>
      </x:c>
      <x:c r="M65" s="6" t="inlineStr">
        <x:is>
          <x:t xml:space="preserve">Geo-Lift, Meta Lift API</x:t>
        </x:is>
      </x:c>
      <x:c r="N65" s="6" t="inlineStr">
        <x:is>
          <x:t xml:space="preserve">EVT-13</x:t>
        </x:is>
      </x:c>
      <x:c r="O65" s="6" t="inlineStr">
        <x:is>
          <x:t xml:space="preserve">—</x:t>
        </x:is>
      </x:c>
      <x:c r="P65" s="6" t="inlineStr">
        <x:is>
          <x:t xml:space="preserve">DIM-21,04</x:t>
        </x:is>
      </x:c>
      <x:c r="Q65" s="6" t="inlineStr">
        <x:is>
          <x:t xml:space="preserve">۴ تا ۶ هفته تست</x:t>
        </x:is>
      </x:c>
      <x:c r="R65" s="6" t="inlineStr">
        <x:is>
          <x:t xml:space="preserve">کارآمدی حقیقی/جلوگیری از ربودن اعتبار</x:t>
        </x:is>
      </x:c>
      <x:c r="S65" s="6" t="inlineStr">
        <x:is>
          <x:t xml:space="preserve">اثر علّی ناچیز/Claiming Credit</x:t>
        </x:is>
      </x:c>
      <x:c r="T65" s="6" t="inlineStr">
        <x:is>
          <x:t xml:space="preserve">KPI-51,KPI-63</x:t>
        </x:is>
      </x:c>
      <x:c r="U65" s="6" t="inlineStr">
        <x:is>
          <x:t xml:space="preserve">اکتفا به ROAS پنل برنده/برند</x:t>
        </x:is>
      </x:c>
      <x:c r="V65" s="6" t="inlineStr">
        <x:is>
          <x:t xml:space="preserve">نیازمند ایزولاسیون توزیع</x:t>
        </x:is>
      </x:c>
      <x:c r="W65" s="6" t="inlineStr">
        <x:is>
          <x:t xml:space="preserve">غیربرند &gt; 1.8x</x:t>
        </x:is>
      </x:c>
      <x:c r="X65" s="6" t="inlineStr">
        <x:is>
          <x:t xml:space="preserve">فرض اولیه — نیازمند اعتبارسنجی با داده واقعی Titana</x:t>
        </x:is>
      </x:c>
      <x:c r="Y65" s="6" t="inlineStr">
        <x:is>
          <x:t xml:space="preserve">iROAS &lt; ۱ کلمه برند → نصف‌کردن بودجه برند</x:t>
        </x:is>
      </x:c>
      <x:c r="Z65" s="19" t="inlineStr">
        <x:is>
          <x:t xml:space="preserve">W6</x:t>
        </x:is>
      </x:c>
      <x:c r="AA65" s="19" t="inlineStr">
        <x:is>
          <x:t xml:space="preserve">Critical</x:t>
        </x:is>
      </x:c>
      <x:c r="AB65" s="6" t="inlineStr">
        <x:is>
          <x:t xml:space="preserve">Data Scientist</x:t>
        </x:is>
      </x:c>
      <x:c r="AC65" s="6" t="inlineStr">
        <x:is>
          <x:t xml:space="preserve">—</x:t>
        </x:is>
      </x:c>
      <x:c r="AD65" s="30" t="str">
        <x:v>KPI-64</x:v>
      </x:c>
      <x:c r="AE65" s="30" t="str">
        <x:v>Proposed</x:v>
      </x:c>
    </x:row>
    <x:row r="66">
      <x:c r="A66" s="17" t="inlineStr">
        <x:is>
          <x:t xml:space="preserve">KPI-65</x:t>
        </x:is>
      </x:c>
      <x:c r="B66" s="4" t="inlineStr">
        <x:is>
          <x:t xml:space="preserve">Event Match Quality</x:t>
        </x:is>
      </x:c>
      <x:c r="C66" s="4" t="inlineStr">
        <x:is>
          <x:t xml:space="preserve">کیفیت تطابق رویدادهای سرور</x:t>
        </x:is>
      </x:c>
      <x:c r="D66" s="4" t="inlineStr">
        <x:is>
          <x:t xml:space="preserve">EMQ</x:t>
        </x:is>
      </x:c>
      <x:c r="E66" s="4" t="inlineStr">
        <x:is>
          <x:t xml:space="preserve">ترکینگ و حاکمیت داده</x:t>
        </x:is>
      </x:c>
      <x:c r="F66" s="4" t="inlineStr">
        <x:is>
          <x:t xml:space="preserve">نمره تطابق داده‌های هش‌شده با پروفایل پلتفرم</x:t>
        </x:is>
      </x:c>
      <x:c r="G66" s="4" t="inlineStr">
        <x:is>
          <x:t xml:space="preserve">Platform Match Quality Score (0-10)</x:t>
        </x:is>
      </x:c>
      <x:c r="H66" s="4" t="inlineStr">
        <x:is>
          <x:t xml:space="preserve">—</x:t>
        </x:is>
      </x:c>
      <x:c r="I66" s="4" t="inlineStr">
        <x:is>
          <x:t xml:space="preserve">—</x:t>
        </x:is>
      </x:c>
      <x:c r="J66" s="4" t="inlineStr">
        <x:is>
          <x:t xml:space="preserve">نمره/۱۰</x:t>
        </x:is>
      </x:c>
      <x:c r="K66" s="4" t="inlineStr">
        <x:is>
          <x:t xml:space="preserve">Signal Integrity</x:t>
        </x:is>
      </x:c>
      <x:c r="L66" s="4" t="inlineStr">
        <x:is>
          <x:t xml:space="preserve">DataStream/EventType</x:t>
        </x:is>
      </x:c>
      <x:c r="M66" s="4" t="inlineStr">
        <x:is>
          <x:t xml:space="preserve">Meta Events Mgr, Google Diag</x:t>
        </x:is>
      </x:c>
      <x:c r="N66" s="4" t="inlineStr">
        <x:is>
          <x:t xml:space="preserve">EVT-13,EVT-16</x:t>
        </x:is>
      </x:c>
      <x:c r="O66" s="4" t="inlineStr">
        <x:is>
          <x:t xml:space="preserve">—</x:t>
        </x:is>
      </x:c>
      <x:c r="P66" s="4" t="inlineStr">
        <x:is>
          <x:t xml:space="preserve">DIM-32,01</x:t>
        </x:is>
      </x:c>
      <x:c r="Q66" s="4" t="inlineStr">
        <x:is>
          <x:t xml:space="preserve">روزانه/هفتگی</x:t>
        </x:is>
      </x:c>
      <x:c r="R66" s="4" t="inlineStr">
        <x:is>
          <x:t xml:space="preserve">سیگنال تمیز/هوشمندتر شدن الگوریتم</x:t>
        </x:is>
      </x:c>
      <x:c r="S66" s="4" t="inlineStr">
        <x:is>
          <x:t xml:space="preserve">ناقص/فرمت اشتباه/افت بهینه‌سازی</x:t>
        </x:is>
      </x:c>
      <x:c r="T66" s="4" t="inlineStr">
        <x:is>
          <x:t xml:space="preserve">KPI-76,KPI-77</x:t>
        </x:is>
      </x:c>
      <x:c r="U66" s="4" t="inlineStr">
        <x:is>
          <x:t xml:space="preserve">فرمت‌های مختلف تلفن بدون E.164</x:t>
        </x:is>
      </x:c>
      <x:c r="V66" s="4" t="inlineStr">
        <x:is>
          <x:t xml:space="preserve">وزن‌دهی پلتفرم‌ها افشا نمی‌شود</x:t>
        </x:is>
      </x:c>
      <x:c r="W66" s="4" t="inlineStr">
        <x:is>
          <x:t xml:space="preserve">Purchase/Lead &gt; 8.0</x:t>
        </x:is>
      </x:c>
      <x:c r="X66" s="4" t="inlineStr">
        <x:is>
          <x:t xml:space="preserve">استاندارد پلتفرم Meta (نیازمند پایش مستمر)</x:t>
        </x:is>
      </x:c>
      <x:c r="Y66" s="4" t="inlineStr">
        <x:is>
          <x:t xml:space="preserve">اصلاح تگ‌های سرور: ph + email + client_id هم‌زمان</x:t>
        </x:is>
      </x:c>
      <x:c r="Z66" s="17" t="inlineStr">
        <x:is>
          <x:t xml:space="preserve">W4</x:t>
        </x:is>
      </x:c>
      <x:c r="AA66" s="17" t="inlineStr">
        <x:is>
          <x:t xml:space="preserve">Critical</x:t>
        </x:is>
      </x:c>
      <x:c r="AB66" s="4" t="inlineStr">
        <x:is>
          <x:t xml:space="preserve">مهندس داده/ردیابی</x:t>
        </x:is>
      </x:c>
      <x:c r="AC66" s="4" t="inlineStr">
        <x:is>
          <x:t xml:space="preserve">EMQ ≥ 8.0 در Test Events و Production</x:t>
        </x:is>
      </x:c>
      <x:c r="AD66" s="30" t="str">
        <x:v>KPI-65</x:v>
      </x:c>
      <x:c r="AE66" s="30" t="str">
        <x:v>Proposed</x:v>
      </x:c>
    </x:row>
    <x:row r="67">
      <x:c r="A67" s="19" t="inlineStr">
        <x:is>
          <x:t xml:space="preserve">KPI-66</x:t>
        </x:is>
      </x:c>
      <x:c r="B67" s="6" t="inlineStr">
        <x:is>
          <x:t xml:space="preserve">Platform-to-Backend Attribution Discrepancy</x:t>
        </x:is>
      </x:c>
      <x:c r="C67" s="6" t="inlineStr">
        <x:is>
          <x:t xml:space="preserve">شکاف انتساب پلتفرم↔بک‌اند</x:t>
        </x:is>
      </x:c>
      <x:c r="D67" s="6" t="inlineStr">
        <x:is>
          <x:t xml:space="preserve">Discrepancy%</x:t>
        </x:is>
      </x:c>
      <x:c r="E67" s="6" t="inlineStr">
        <x:is>
          <x:t xml:space="preserve">ترکینگ و حاکمیت داده</x:t>
        </x:is>
      </x:c>
      <x:c r="F67" s="6" t="inlineStr">
        <x:is>
          <x:t xml:space="preserve">درصد تفاوت کانورژن پلتفرم با سفارش واقعی مالی</x:t>
        </x:is>
      </x:c>
      <x:c r="G67" s="6" t="inlineStr">
        <x:is>
          <x:t xml:space="preserve">(|Platform Conv − Backend Orders| / Backend Orders) × 100</x:t>
        </x:is>
      </x:c>
      <x:c r="H67" s="6" t="inlineStr">
        <x:is>
          <x:t xml:space="preserve">|Δ|</x:t>
        </x:is>
      </x:c>
      <x:c r="I67" s="6" t="inlineStr">
        <x:is>
          <x:t xml:space="preserve">Backend Orders</x:t>
        </x:is>
      </x:c>
      <x:c r="J67" s="6" t="inlineStr">
        <x:is>
          <x:t xml:space="preserve">٪ خطا</x:t>
        </x:is>
      </x:c>
      <x:c r="K67" s="6" t="inlineStr">
        <x:is>
          <x:t xml:space="preserve">Data Governance</x:t>
        </x:is>
      </x:c>
      <x:c r="L67" s="6" t="inlineStr">
        <x:is>
          <x:t xml:space="preserve">Channel (Ads vs DB)</x:t>
        </x:is>
      </x:c>
      <x:c r="M67" s="6" t="inlineStr">
        <x:is>
          <x:t xml:space="preserve">API Ads + BigQuery</x:t>
        </x:is>
      </x:c>
      <x:c r="N67" s="6" t="inlineStr">
        <x:is>
          <x:t xml:space="preserve">EVT-13</x:t>
        </x:is>
      </x:c>
      <x:c r="O67" s="6" t="inlineStr">
        <x:is>
          <x:t xml:space="preserve">MET-18</x:t>
        </x:is>
      </x:c>
      <x:c r="P67" s="6" t="inlineStr">
        <x:is>
          <x:t xml:space="preserve">DIM-01,32</x:t>
        </x:is>
      </x:c>
      <x:c r="Q67" s="6" t="inlineStr">
        <x:is>
          <x:t xml:space="preserve">هفتگی/ماهانه</x:t>
        </x:is>
      </x:c>
      <x:c r="R67" s="6" t="inlineStr">
        <x:is>
          <x:t xml:space="preserve">ادعای مضاعف/تگ تکراری/حذف لغو‌شده</x:t>
        </x:is>
      </x:c>
      <x:c r="S67" s="6" t="inlineStr">
        <x:is>
          <x:t xml:space="preserve">همگرایی/سلامت CAPI/Dedup</x:t>
        </x:is>
      </x:c>
      <x:c r="T67" s="6" t="inlineStr">
        <x:is>
          <x:t xml:space="preserve">KPI-47,KPI-65</x:t>
        </x:is>
      </x:c>
      <x:c r="U67" s="6" t="inlineStr">
        <x:is>
          <x:t xml:space="preserve">تطبیق زمان کلیک با زمان تراکنش</x:t>
        </x:is>
      </x:c>
      <x:c r="V67" s="6" t="inlineStr">
        <x:is>
          <x:t xml:space="preserve">پنجره چندروزه = شکاف ذاتی ناچیز</x:t>
        </x:is>
      </x:c>
      <x:c r="W67" s="6" t="inlineStr">
        <x:is>
          <x:t xml:space="preserve">گوگل &lt; 8٪ | متا &lt; 15٪</x:t>
        </x:is>
      </x:c>
      <x:c r="X67" s="6" t="inlineStr">
        <x:is>
          <x:t xml:space="preserve">فرض اولیه — نیازمند اعتبارسنجی با داده واقعی Titana</x:t>
        </x:is>
      </x:c>
      <x:c r="Y67" s="6" t="inlineStr">
        <x:is>
          <x:t xml:space="preserve">شکاف &gt;۲۰٪ → تطبیق Order_ID در رویداد سروری</x:t>
        </x:is>
      </x:c>
      <x:c r="Z67" s="19" t="inlineStr">
        <x:is>
          <x:t xml:space="preserve">W4</x:t>
        </x:is>
      </x:c>
      <x:c r="AA67" s="19" t="inlineStr">
        <x:is>
          <x:t xml:space="preserve">Critical</x:t>
        </x:is>
      </x:c>
      <x:c r="AB67" s="6" t="inlineStr">
        <x:is>
          <x:t xml:space="preserve">Data Engineer</x:t>
        </x:is>
      </x:c>
      <x:c r="AC67" s="6" t="inlineStr">
        <x:is>
          <x:t xml:space="preserve">مغایرت صفر ریالی برای درآمد (الزام ممیزی)</x:t>
        </x:is>
      </x:c>
      <x:c r="AD67" s="30" t="str">
        <x:v>KPI-66</x:v>
      </x:c>
      <x:c r="AE67" s="30" t="str">
        <x:v>Proposed</x:v>
      </x:c>
    </x:row>
    <x:row r="68">
      <x:c r="A68" s="17" t="inlineStr">
        <x:is>
          <x:t xml:space="preserve">KPI-67</x:t>
        </x:is>
      </x:c>
      <x:c r="B68" s="4" t="inlineStr">
        <x:is>
          <x:t xml:space="preserve">Forecasted Spend</x:t>
        </x:is>
      </x:c>
      <x:c r="C68" s="4" t="inlineStr">
        <x:is>
          <x:t xml:space="preserve">هزینه پیش‌بینی‌شده رسانه</x:t>
        </x:is>
      </x:c>
      <x:c r="D68" s="4" t="inlineStr">
        <x:is>
          <x:t xml:space="preserve">FC-Spend</x:t>
        </x:is>
      </x:c>
      <x:c r="E68" s="4" t="inlineStr">
        <x:is>
          <x:t xml:space="preserve">بودجه و هزینه</x:t>
        </x:is>
      </x:c>
      <x:c r="F68" s="4" t="inlineStr">
        <x:is>
          <x:t xml:space="preserve">برآورد مصرف تا پایان دوره با روند کنونی</x:t>
        </x:is>
      </x:c>
      <x:c r="G68" s="4" t="inlineStr">
        <x:is>
          <x:t xml:space="preserve">Spend to Date + (WMA5d × Remaining Days)</x:t>
        </x:is>
      </x:c>
      <x:c r="H68" s="4" t="inlineStr">
        <x:is>
          <x:t xml:space="preserve">—</x:t>
        </x:is>
      </x:c>
      <x:c r="I68" s="4" t="inlineStr">
        <x:is>
          <x:t xml:space="preserve">—</x:t>
        </x:is>
      </x:c>
      <x:c r="J68" s="4" t="inlineStr">
        <x:is>
          <x:t xml:space="preserve">ریال/دلار</x:t>
        </x:is>
      </x:c>
      <x:c r="K68" s="4" t="inlineStr">
        <x:is>
          <x:t xml:space="preserve">Financial Forecast</x:t>
        </x:is>
      </x:c>
      <x:c r="L68" s="4" t="inlineStr">
        <x:is>
          <x:t xml:space="preserve">Account/Campaign/Platform</x:t>
        </x:is>
      </x:c>
      <x:c r="M68" s="4" t="inlineStr">
        <x:is>
          <x:t xml:space="preserve">DWH + الگوریتم پیش‌بین</x:t>
        </x:is>
      </x:c>
      <x:c r="N68" s="4" t="inlineStr">
        <x:is>
          <x:t xml:space="preserve">—</x:t>
        </x:is>
      </x:c>
      <x:c r="O68" s="4" t="inlineStr">
        <x:is>
          <x:t xml:space="preserve">MET-03</x:t>
        </x:is>
      </x:c>
      <x:c r="P68" s="4" t="inlineStr">
        <x:is>
          <x:t xml:space="preserve">DIM-01,04</x:t>
        </x:is>
      </x:c>
      <x:c r="Q68" s="4" t="inlineStr">
        <x:is>
          <x:t xml:space="preserve">روزانه</x:t>
        </x:is>
      </x:c>
      <x:c r="R68" s="4" t="inlineStr">
        <x:is>
          <x:t xml:space="preserve">ریسک اضافه‌مصرف/اتمام اعتبار</x:t>
        </x:is>
      </x:c>
      <x:c r="S68" s="4" t="inlineStr">
        <x:is>
          <x:t xml:space="preserve">افت مصرف/محدودیت ایمپرشن</x:t>
        </x:is>
      </x:c>
      <x:c r="T68" s="4" t="inlineStr">
        <x:is>
          <x:t xml:space="preserve">KPI-58,KPI-68</x:t>
        </x:is>
      </x:c>
      <x:c r="U68" s="4" t="inlineStr">
        <x:is>
          <x:t xml:space="preserve">میانگین ساده کل ماه</x:t>
        </x:is>
      </x:c>
      <x:c r="V68" s="4" t="inlineStr">
        <x:is>
          <x:t xml:space="preserve">نوسان دلار حواله‌ای</x:t>
        </x:is>
      </x:c>
      <x:c r="W68" s="4" t="inlineStr">
        <x:is>
          <x:t xml:space="preserve">انحراف &lt; ±۵٪ سقف مصوب</x:t>
        </x:is>
      </x:c>
      <x:c r="X68" s="4" t="inlineStr">
        <x:is>
          <x:t xml:space="preserve">فرض اولیه — نیازمند اعتبارسنجی با داده واقعی Titana</x:t>
        </x:is>
      </x:c>
      <x:c r="Y68" s="4" t="inlineStr">
        <x:is>
          <x:t xml:space="preserve">پیش‌بینی +۱۰٪ → تنظیم سقف روزانه</x:t>
        </x:is>
      </x:c>
      <x:c r="Z68" s="17" t="inlineStr">
        <x:is>
          <x:t xml:space="preserve">W4</x:t>
        </x:is>
      </x:c>
      <x:c r="AA68" s="17" t="inlineStr">
        <x:is>
          <x:t xml:space="preserve">High</x:t>
        </x:is>
      </x:c>
      <x:c r="AB68" s="4" t="inlineStr">
        <x:is>
          <x:t xml:space="preserve">لید پرفورمنس</x:t>
        </x:is>
      </x:c>
      <x:c r="AC68" s="4" t="inlineStr">
        <x:is>
          <x:t xml:space="preserve">—</x:t>
        </x:is>
      </x:c>
      <x:c r="AD68" s="30" t="str">
        <x:v>KPI-67</x:v>
      </x:c>
      <x:c r="AE68" s="30" t="str">
        <x:v>Proposed</x:v>
      </x:c>
    </x:row>
    <x:row r="69">
      <x:c r="A69" s="19" t="inlineStr">
        <x:is>
          <x:t xml:space="preserve">KPI-68</x:t>
        </x:is>
      </x:c>
      <x:c r="B69" s="6" t="inlineStr">
        <x:is>
          <x:t xml:space="preserve">Remaining Budget</x:t>
        </x:is>
      </x:c>
      <x:c r="C69" s="6" t="inlineStr">
        <x:is>
          <x:t xml:space="preserve">بودجه باقی‌مانده واقعی</x:t>
        </x:is>
      </x:c>
      <x:c r="D69" s="6" t="inlineStr">
        <x:is>
          <x:t xml:space="preserve">Rem-Budget</x:t>
        </x:is>
      </x:c>
      <x:c r="E69" s="6" t="inlineStr">
        <x:is>
          <x:t xml:space="preserve">بودجه و هزینه</x:t>
        </x:is>
      </x:c>
      <x:c r="F69" s="6" t="inlineStr">
        <x:is>
          <x:t xml:space="preserve">مانده قطعی قابل هزینه‌کرد تا پایان دوره</x:t>
        </x:is>
      </x:c>
      <x:c r="G69" s="6" t="inlineStr">
        <x:is>
          <x:t xml:space="preserve">Approved Budget − Cumulative Spend to Date</x:t>
        </x:is>
      </x:c>
      <x:c r="H69" s="6" t="inlineStr">
        <x:is>
          <x:t xml:space="preserve">—</x:t>
        </x:is>
      </x:c>
      <x:c r="I69" s="6" t="inlineStr">
        <x:is>
          <x:t xml:space="preserve">—</x:t>
        </x:is>
      </x:c>
      <x:c r="J69" s="6" t="inlineStr">
        <x:is>
          <x:t xml:space="preserve">ریال/تومان/ارز</x:t>
        </x:is>
      </x:c>
      <x:c r="K69" s="6" t="inlineStr">
        <x:is>
          <x:t xml:space="preserve">Liquidity</x:t>
        </x:is>
      </x:c>
      <x:c r="L69" s="6" t="inlineStr">
        <x:is>
          <x:t xml:space="preserve">Company/Channel/Campaign</x:t>
        </x:is>
      </x:c>
      <x:c r="M69" s="6" t="inlineStr">
        <x:is>
          <x:t xml:space="preserve">مالی+فاکتور پلتفرم</x:t>
        </x:is>
      </x:c>
      <x:c r="N69" s="6" t="inlineStr">
        <x:is>
          <x:t xml:space="preserve">—</x:t>
        </x:is>
      </x:c>
      <x:c r="O69" s="6" t="inlineStr">
        <x:is>
          <x:t xml:space="preserve">MET-03</x:t>
        </x:is>
      </x:c>
      <x:c r="P69" s="6" t="inlineStr">
        <x:is>
          <x:t xml:space="preserve">DIM-01,04,17</x:t>
        </x:is>
      </x:c>
      <x:c r="Q69" s="6" t="inlineStr">
        <x:is>
          <x:t xml:space="preserve">روزانه (ساعت ۰۰)</x:t>
        </x:is>
      </x:c>
      <x:c r="R69" s="6" t="inlineStr">
        <x:is>
          <x:t xml:space="preserve">ظرفیت تزریق/تعلل</x:t>
        </x:is>
      </x:c>
      <x:c r="S69" s="6" t="inlineStr">
        <x:is>
          <x:t xml:space="preserve">نزدیک خط قرمز/صرفه‌جویی</x:t>
        </x:is>
      </x:c>
      <x:c r="T69" s="6" t="inlineStr">
        <x:is>
          <x:t xml:space="preserve">KPI-67,KPI-59</x:t>
        </x:is>
      </x:c>
      <x:c r="U69" s="6" t="inlineStr">
        <x:is>
          <x:t xml:space="preserve">کسر نکردن تعهدات باز</x:t>
        </x:is>
      </x:c>
      <x:c r="V69" s="6" t="inlineStr">
        <x:is>
          <x:t xml:space="preserve">ریست با بودجه متمم</x:t>
        </x:is>
      </x:c>
      <x:c r="W69" s="6" t="inlineStr">
        <x:is>
          <x:t xml:space="preserve">صفر دقیق در پایان ماه</x:t>
        </x:is>
      </x:c>
      <x:c r="X69" s="6" t="inlineStr">
        <x:is>
          <x:t xml:space="preserve">فرض اولیه — نیازمند اعتبارسنجی با داده واقعی Titana</x:t>
        </x:is>
      </x:c>
      <x:c r="Y69" s="6" t="inlineStr">
        <x:is>
          <x:t xml:space="preserve">&gt;۵۰٪ دست‌نخورده در روز ۲۰ → بررسی گلوگاه تارگتینگ</x:t>
        </x:is>
      </x:c>
      <x:c r="Z69" s="19" t="inlineStr">
        <x:is>
          <x:t xml:space="preserve">W4</x:t>
        </x:is>
      </x:c>
      <x:c r="AA69" s="19" t="inlineStr">
        <x:is>
          <x:t xml:space="preserve">Medium</x:t>
        </x:is>
      </x:c>
      <x:c r="AB69" s="6" t="inlineStr">
        <x:is>
          <x:t xml:space="preserve">مدیر مالی</x:t>
        </x:is>
      </x:c>
      <x:c r="AC69" s="6" t="inlineStr">
        <x:is>
          <x:t xml:space="preserve">—</x:t>
        </x:is>
      </x:c>
      <x:c r="AD69" s="30" t="str">
        <x:v>KPI-68</x:v>
      </x:c>
      <x:c r="AE69" s="30" t="str">
        <x:v>Proposed</x:v>
      </x:c>
    </x:row>
    <x:row r="70">
      <x:c r="A70" s="17" t="inlineStr">
        <x:is>
          <x:t xml:space="preserve">KPI-69</x:t>
        </x:is>
      </x:c>
      <x:c r="B70" s="4" t="inlineStr">
        <x:is>
          <x:t xml:space="preserve">Recommended Budget Reallocation</x:t>
        </x:is>
      </x:c>
      <x:c r="C70" s="4" t="inlineStr">
        <x:is>
          <x:t xml:space="preserve">پیشنهاد بازتوزیع هوشمند بودجه</x:t>
        </x:is>
      </x:c>
      <x:c r="D70" s="4" t="inlineStr">
        <x:is>
          <x:t xml:space="preserve">Rec-Realloc</x:t>
        </x:is>
      </x:c>
      <x:c r="E70" s="4" t="inlineStr">
        <x:is>
          <x:t xml:space="preserve">بودجه و هزینه</x:t>
        </x:is>
      </x:c>
      <x:c r="F70" s="4" t="inlineStr">
        <x:is>
          <x:t xml:space="preserve">مبلغ انتقال بهینه از کم‌راندمان به پر-بازده</x:t>
        </x:is>
      </x:c>
      <x:c r="G70" s="4" t="inlineStr">
        <x:is>
          <x:t xml:space="preserve">ΔBudget_i = Optimal_i* − Current_i</x:t>
        </x:is>
      </x:c>
      <x:c r="H70" s="4" t="inlineStr">
        <x:is>
          <x:t xml:space="preserve">ΔBudget</x:t>
        </x:is>
      </x:c>
      <x:c r="I70" s="4" t="inlineStr">
        <x:is>
          <x:t xml:space="preserve">—</x:t>
        </x:is>
      </x:c>
      <x:c r="J70" s="4" t="inlineStr">
        <x:is>
          <x:t xml:space="preserve">ریال/٪</x:t>
        </x:is>
      </x:c>
      <x:c r="K70" s="4" t="inlineStr">
        <x:is>
          <x:t xml:space="preserve">Prescriptive</x:t>
        </x:is>
      </x:c>
      <x:c r="L70" s="4" t="inlineStr">
        <x:is>
          <x:t xml:space="preserve">Cross-Channel/Campaign</x:t>
        </x:is>
      </x:c>
      <x:c r="M70" s="4" t="inlineStr">
        <x:is>
          <x:t xml:space="preserve">موتور بهینه‌سازی (MMM+POAS)</x:t>
        </x:is>
      </x:c>
      <x:c r="N70" s="4" t="inlineStr">
        <x:is>
          <x:t xml:space="preserve">—</x:t>
        </x:is>
      </x:c>
      <x:c r="O70" s="4" t="inlineStr">
        <x:is>
          <x:t xml:space="preserve">—</x:t>
        </x:is>
      </x:c>
      <x:c r="P70" s="4" t="inlineStr">
        <x:is>
          <x:t xml:space="preserve">DIM-01,04</x:t>
        </x:is>
      </x:c>
      <x:c r="Q70" s="4" t="inlineStr">
        <x:is>
          <x:t xml:space="preserve">هفتگی/ماهانه</x:t>
        </x:is>
      </x:c>
      <x:c r="R70" s="4" t="inlineStr">
        <x:is>
          <x:t xml:space="preserve">کشش مقصد/ماکزیمم CM کل</x:t>
        </x:is>
      </x:c>
      <x:c r="S70" s="4" t="inlineStr">
        <x:is>
          <x:t xml:space="preserve">اشباع مبدأ/هدر در نزولی</x:t>
        </x:is>
      </x:c>
      <x:c r="T70" s="4" t="inlineStr">
        <x:is>
          <x:t xml:space="preserve">KPI-51,KPI-64</x:t>
        </x:is>
      </x:c>
      <x:c r="U70" s="4" t="inlineStr">
        <x:is>
          <x:t xml:space="preserve">جابجایی &gt;۳۰٪ یک‌باره (مختل‌شدن Learning)</x:t>
        </x:is>
      </x:c>
      <x:c r="V70" s="4" t="inlineStr">
        <x:is>
          <x:t xml:space="preserve">فرض ثبات متغیرهای برون‌زا</x:t>
        </x:is>
      </x:c>
      <x:c r="W70" s="4" t="inlineStr">
        <x:is>
          <x:t xml:space="preserve">به شرط ≥۱۲٪ افزایش پیش‌بینی‌شده سود</x:t>
        </x:is>
      </x:c>
      <x:c r="X70" s="4" t="inlineStr">
        <x:is>
          <x:t xml:space="preserve">فرض اولیه — نیازمند اعتبارسنجی با داده واقعی Titana</x:t>
        </x:is>
      </x:c>
      <x:c r="Y70" s="4" t="inlineStr">
        <x:is>
          <x:t xml:space="preserve">پله‌های ≤۱۵٪ در بازه ۴۸ ساعت</x:t>
        </x:is>
      </x:c>
      <x:c r="Z70" s="17" t="inlineStr">
        <x:is>
          <x:t xml:space="preserve">W6</x:t>
        </x:is>
      </x:c>
      <x:c r="AA70" s="17" t="inlineStr">
        <x:is>
          <x:t xml:space="preserve">High</x:t>
        </x:is>
      </x:c>
      <x:c r="AB70" s="4" t="inlineStr">
        <x:is>
          <x:t xml:space="preserve">Data Scientist</x:t>
        </x:is>
      </x:c>
      <x:c r="AC70" s="4" t="inlineStr">
        <x:is>
          <x:t xml:space="preserve">—</x:t>
        </x:is>
      </x:c>
      <x:c r="AD70" s="30" t="str">
        <x:v>KPI-69</x:v>
      </x:c>
      <x:c r="AE70" s="30" t="str">
        <x:v>Proposed</x:v>
      </x:c>
    </x:row>
    <x:row r="71">
      <x:c r="A71" s="19" t="inlineStr">
        <x:is>
          <x:t xml:space="preserve">KPI-70</x:t>
        </x:is>
      </x:c>
      <x:c r="B71" s="6" t="inlineStr">
        <x:is>
          <x:t xml:space="preserve">Creative CTR</x:t>
        </x:is>
      </x:c>
      <x:c r="C71" s="6" t="inlineStr">
        <x:is>
          <x:t xml:space="preserve">نرخ کلیک کریتیو</x:t>
        </x:is>
      </x:c>
      <x:c r="D71" s="6" t="inlineStr">
        <x:is>
          <x:t xml:space="preserve">Cr-CTR</x:t>
        </x:is>
      </x:c>
      <x:c r="E71" s="6" t="inlineStr">
        <x:is>
          <x:t xml:space="preserve">کریتیو و محتوا</x:t>
        </x:is>
      </x:c>
      <x:c r="F71" s="6" t="inlineStr">
        <x:is>
          <x:t xml:space="preserve">درصد ایمپرشن‌های یک فایل منجر به کلیک</x:t>
        </x:is>
      </x:c>
      <x:c r="G71" s="6" t="inlineStr">
        <x:is>
          <x:t xml:space="preserve">(Asset Clicks / Asset Impressions) × 100</x:t>
        </x:is>
      </x:c>
      <x:c r="H71" s="6" t="inlineStr">
        <x:is>
          <x:t xml:space="preserve">Asset Clicks</x:t>
        </x:is>
      </x:c>
      <x:c r="I71" s="6" t="inlineStr">
        <x:is>
          <x:t xml:space="preserve">Asset Impr</x:t>
        </x:is>
      </x:c>
      <x:c r="J71" s="6" t="inlineStr">
        <x:is>
          <x:t xml:space="preserve">%</x:t>
        </x:is>
      </x:c>
      <x:c r="K71" s="6" t="inlineStr">
        <x:is>
          <x:t xml:space="preserve">Visual Quality</x:t>
        </x:is>
      </x:c>
      <x:c r="L71" s="6" t="inlineStr">
        <x:is>
          <x:t xml:space="preserve">AssetID/Format</x:t>
        </x:is>
      </x:c>
      <x:c r="M71" s="6" t="inlineStr">
        <x:is>
          <x:t xml:space="preserve">API پلتفرم‌ها</x:t>
        </x:is>
      </x:c>
      <x:c r="N71" s="6" t="inlineStr">
        <x:is>
          <x:t xml:space="preserve">—</x:t>
        </x:is>
      </x:c>
      <x:c r="O71" s="6" t="inlineStr">
        <x:is>
          <x:t xml:space="preserve">MET-02/MET-01</x:t>
        </x:is>
      </x:c>
      <x:c r="P71" s="6" t="inlineStr">
        <x:is>
          <x:t xml:space="preserve">DIM-08,09</x:t>
        </x:is>
      </x:c>
      <x:c r="Q71" s="6" t="inlineStr">
        <x:is>
          <x:t xml:space="preserve">روزانه (۱۴ روز اول)</x:t>
        </x:is>
      </x:c>
      <x:c r="R71" s="6" t="inlineStr">
        <x:is>
          <x:t xml:space="preserve">وضوح/تطابق قلاب/کشش آفر</x:t>
        </x:is>
      </x:c>
      <x:c r="S71" s="6" t="inlineStr">
        <x:is>
          <x:t xml:space="preserve">ضعف طراحی/کنتراست/کوری بنری</x:t>
        </x:is>
      </x:c>
      <x:c r="T71" s="6" t="inlineStr">
        <x:is>
          <x:t xml:space="preserve">KPI-06,KPI-62</x:t>
        </x:is>
      </x:c>
      <x:c r="U71" s="6" t="inlineStr">
        <x:is>
          <x:t xml:space="preserve">ارزیابی با ایمپرشن &lt; 1,000</x:t>
        </x:is>
      </x:c>
      <x:c r="V71" s="6" t="inlineStr">
        <x:is>
          <x:t xml:space="preserve">CTR بالا ≠ خرید (کلیک‌بیت)</x:t>
        </x:is>
      </x:c>
      <x:c r="W71" s="6" t="inlineStr">
        <x:is>
          <x:t xml:space="preserve">بنر &gt; 1.4٪ | ویدیو ریلز &gt; 2.0٪</x:t>
        </x:is>
      </x:c>
      <x:c r="X71" s="6" t="inlineStr">
        <x:is>
          <x:t xml:space="preserve">فرض اولیه — نیازمند اعتبارسنجی با داده واقعی Titana</x:t>
        </x:is>
      </x:c>
      <x:c r="Y71" s="6" t="inlineStr">
        <x:is>
          <x:t xml:space="preserve">&lt;۶۰٪ میانگین اکانت پس از 5,000 ایمپرشن → توقف</x:t>
        </x:is>
      </x:c>
      <x:c r="Z71" s="19" t="inlineStr">
        <x:is>
          <x:t xml:space="preserve">W4</x:t>
        </x:is>
      </x:c>
      <x:c r="AA71" s="19" t="inlineStr">
        <x:is>
          <x:t xml:space="preserve">High</x:t>
        </x:is>
      </x:c>
      <x:c r="AB71" s="6" t="inlineStr">
        <x:is>
          <x:t xml:space="preserve">کارشناس مدیا</x:t>
        </x:is>
      </x:c>
      <x:c r="AC71" s="6" t="inlineStr">
        <x:is>
          <x:t xml:space="preserve">—</x:t>
        </x:is>
      </x:c>
      <x:c r="AD71" s="30" t="str">
        <x:v>KPI-70</x:v>
      </x:c>
      <x:c r="AE71" s="30" t="str">
        <x:v>Proposed</x:v>
      </x:c>
    </x:row>
    <x:row r="72">
      <x:c r="A72" s="17" t="inlineStr">
        <x:is>
          <x:t xml:space="preserve">KPI-71</x:t>
        </x:is>
      </x:c>
      <x:c r="B72" s="4" t="inlineStr">
        <x:is>
          <x:t xml:space="preserve">Creative CVR</x:t>
        </x:is>
      </x:c>
      <x:c r="C72" s="4" t="inlineStr">
        <x:is>
          <x:t xml:space="preserve">نرخ تبدیل کریتیو</x:t>
        </x:is>
      </x:c>
      <x:c r="D72" s="4" t="inlineStr">
        <x:is>
          <x:t xml:space="preserve">Cr-CVR</x:t>
        </x:is>
      </x:c>
      <x:c r="E72" s="4" t="inlineStr">
        <x:is>
          <x:t xml:space="preserve">کریتیو و محتوا</x:t>
        </x:is>
      </x:c>
      <x:c r="F72" s="4" t="inlineStr">
        <x:is>
          <x:t xml:space="preserve">درصد کلیک‌های کریتیو منجر به خرید/لید</x:t>
        </x:is>
      </x:c>
      <x:c r="G72" s="4" t="inlineStr">
        <x:is>
          <x:t xml:space="preserve">(Conv by Asset / Clicks by Asset) × 100</x:t>
        </x:is>
      </x:c>
      <x:c r="H72" s="4" t="inlineStr">
        <x:is>
          <x:t xml:space="preserve">Asset Convs</x:t>
        </x:is>
      </x:c>
      <x:c r="I72" s="4" t="inlineStr">
        <x:is>
          <x:t xml:space="preserve">Asset Clicks</x:t>
        </x:is>
      </x:c>
      <x:c r="J72" s="4" t="inlineStr">
        <x:is>
          <x:t xml:space="preserve">%</x:t>
        </x:is>
      </x:c>
      <x:c r="K72" s="4" t="inlineStr">
        <x:is>
          <x:t xml:space="preserve">Message Match</x:t>
        </x:is>
      </x:c>
      <x:c r="L72" s="4" t="inlineStr">
        <x:is>
          <x:t xml:space="preserve">Asset/Ad</x:t>
        </x:is>
      </x:c>
      <x:c r="M72" s="4" t="inlineStr">
        <x:is>
          <x:t xml:space="preserve">GA4 (UTM creative)+Ads</x:t>
        </x:is>
      </x:c>
      <x:c r="N72" s="4" t="inlineStr">
        <x:is>
          <x:t xml:space="preserve">EVT-13,EVT-16</x:t>
        </x:is>
      </x:c>
      <x:c r="O72" s="4" t="inlineStr">
        <x:is>
          <x:t xml:space="preserve">—</x:t>
        </x:is>
      </x:c>
      <x:c r="P72" s="4" t="inlineStr">
        <x:is>
          <x:t xml:space="preserve">DIM-08,09</x:t>
        </x:is>
      </x:c>
      <x:c r="Q72" s="4" t="inlineStr">
        <x:is>
          <x:t xml:space="preserve">هفتگی</x:t>
        </x:is>
      </x:c>
      <x:c r="R72" s="4" t="inlineStr">
        <x:is>
          <x:t xml:space="preserve">هماهنگی پیام↔لندینگ/جذب خریدار واقعی</x:t>
        </x:is>
      </x:c>
      <x:c r="S72" s="4" t="inlineStr">
        <x:is>
          <x:t xml:space="preserve">فریبنده/اختلاف قیمت/صفحه نامرتبط</x:t>
        </x:is>
      </x:c>
      <x:c r="T72" s="4" t="inlineStr">
        <x:is>
          <x:t xml:space="preserve">KPI-70,KPI-31</x:t>
        </x:is>
      </x:c>
      <x:c r="U72" s="4" t="inlineStr">
        <x:is>
          <x:t xml:space="preserve">قضاوت زودهنگام در چرخه طولانی</x:t>
        </x:is>
      </x:c>
      <x:c r="V72" s="4" t="inlineStr">
        <x:is>
          <x:t xml:space="preserve">ریزش فنی لندینگ → مقصر اشتباهی</x:t>
        </x:is>
      </x:c>
      <x:c r="W72" s="4" t="inlineStr">
        <x:is>
          <x:t xml:space="preserve">لید ویدیوهای فنی &gt; 4.2٪</x:t>
        </x:is>
      </x:c>
      <x:c r="X72" s="4" t="inlineStr">
        <x:is>
          <x:t xml:space="preserve">فرض اولیه — نیازمند اعتبارسنجی با داده واقعی Titana</x:t>
        </x:is>
      </x:c>
      <x:c r="Y72" s="4" t="inlineStr">
        <x:is>
          <x:t xml:space="preserve">اسکیل فوری کریتیوهای CVR بالای چارک ۱</x:t>
        </x:is>
      </x:c>
      <x:c r="Z72" s="17" t="inlineStr">
        <x:is>
          <x:t xml:space="preserve">W4</x:t>
        </x:is>
      </x:c>
      <x:c r="AA72" s="17" t="inlineStr">
        <x:is>
          <x:t xml:space="preserve">High</x:t>
        </x:is>
      </x:c>
      <x:c r="AB72" s="4" t="inlineStr">
        <x:is>
          <x:t xml:space="preserve">کارشناس مدیا</x:t>
        </x:is>
      </x:c>
      <x:c r="AC72" s="4" t="inlineStr">
        <x:is>
          <x:t xml:space="preserve">—</x:t>
        </x:is>
      </x:c>
      <x:c r="AD72" s="30" t="str">
        <x:v>KPI-71</x:v>
      </x:c>
      <x:c r="AE72" s="30" t="str">
        <x:v>Proposed</x:v>
      </x:c>
    </x:row>
    <x:row r="73">
      <x:c r="A73" s="19" t="inlineStr">
        <x:is>
          <x:t xml:space="preserve">KPI-72</x:t>
        </x:is>
      </x:c>
      <x:c r="B73" s="6" t="inlineStr">
        <x:is>
          <x:t xml:space="preserve">Creative Lifespan</x:t>
        </x:is>
      </x:c>
      <x:c r="C73" s="6" t="inlineStr">
        <x:is>
          <x:t xml:space="preserve">طول عمر مفید کریتیو</x:t>
        </x:is>
      </x:c>
      <x:c r="D73" s="6" t="inlineStr">
        <x:is>
          <x:t xml:space="preserve">Cr-Lifespan</x:t>
        </x:is>
      </x:c>
      <x:c r="E73" s="6" t="inlineStr">
        <x:is>
          <x:t xml:space="preserve">کریتیو و محتوا</x:t>
        </x:is>
      </x:c>
      <x:c r="F73" s="6" t="inlineStr">
        <x:is>
          <x:t xml:space="preserve">دurations تا افت عملکرد مطلوب</x:t>
        </x:is>
      </x:c>
      <x:c r="G73" s="6" t="inlineStr">
        <x:is>
          <x:t xml:space="preserve">Date(Fatigue Trigger) − Date(First Launch)</x:t>
        </x:is>
      </x:c>
      <x:c r="H73" s="6" t="inlineStr">
        <x:is>
          <x:t xml:space="preserve">—</x:t>
        </x:is>
      </x:c>
      <x:c r="I73" s="6" t="inlineStr">
        <x:is>
          <x:t xml:space="preserve">—</x:t>
        </x:is>
      </x:c>
      <x:c r="J73" s="6" t="inlineStr">
        <x:is>
          <x:t xml:space="preserve">روز</x:t>
        </x:is>
      </x:c>
      <x:c r="K73" s="6" t="inlineStr">
        <x:is>
          <x:t xml:space="preserve">Content Lifecycle</x:t>
        </x:is>
      </x:c>
      <x:c r="L73" s="6" t="inlineStr">
        <x:is>
          <x:t xml:space="preserve">Asset/Format</x:t>
        </x:is>
      </x:c>
      <x:c r="M73" s="6" t="inlineStr">
        <x:is>
          <x:t xml:space="preserve">داشبورد سری زمانی CPA</x:t>
        </x:is>
      </x:c>
      <x:c r="N73" s="6" t="inlineStr">
        <x:is>
          <x:t xml:space="preserve">—</x:t>
        </x:is>
      </x:c>
      <x:c r="O73" s="6" t="inlineStr">
        <x:is>
          <x:t xml:space="preserve">—</x:t>
        </x:is>
      </x:c>
      <x:c r="P73" s="6" t="inlineStr">
        <x:is>
          <x:t xml:space="preserve">DIM-08,09</x:t>
        </x:is>
      </x:c>
      <x:c r="Q73" s="6" t="inlineStr">
        <x:is>
          <x:t xml:space="preserve">ماهانه/پس از بازنشستگی</x:t>
        </x:is>
      </x:c>
      <x:c r="R73" s="6" t="inlineStr">
        <x:is>
          <x:t xml:space="preserve">پیام ماندگار/جذب مخاطب تازه</x:t>
        </x:is>
      </x:c>
      <x:c r="S73" s="6" t="inlineStr">
        <x:is>
          <x:t xml:space="preserve">مصرف فشرده در جامعه کوچک</x:t>
        </x:is>
      </x:c>
      <x:c r="T73" s="6" t="inlineStr">
        <x:is>
          <x:t xml:space="preserve">KPI-62</x:t>
        </x:is>
      </x:c>
      <x:c r="U73" s="6" t="inlineStr">
        <x:is>
          <x:t xml:space="preserve">انتظار طول عمر یکسان بنر مناسبتی با ویدیو دمو</x:t>
        </x:is>
      </x:c>
      <x:c r="V73" s="6" t="inlineStr">
        <x:is>
          <x:t xml:space="preserve">بودجه ناچیز = عمر کاذب</x:t>
        </x:is>
      </x:c>
      <x:c r="W73" s="6" t="inlineStr">
        <x:is>
          <x:t xml:space="preserve">۲۱ تا ۳۵ روز بازار ایران</x:t>
        </x:is>
      </x:c>
      <x:c r="X73" s="6" t="inlineStr">
        <x:is>
          <x:t xml:space="preserve">فرض اولیه — نیازمند اعتبارسنجی با داده واقعی Titana</x:t>
        </x:is>
      </x:c>
      <x:c r="Y73" s="6" t="inlineStr">
        <x:is>
          <x:t xml:space="preserve">تقویم محتوا: نسل جدید هر ۲۱ روز</x:t>
        </x:is>
      </x:c>
      <x:c r="Z73" s="19" t="inlineStr">
        <x:is>
          <x:t xml:space="preserve">W4</x:t>
        </x:is>
      </x:c>
      <x:c r="AA73" s="19" t="inlineStr">
        <x:is>
          <x:t xml:space="preserve">Medium</x:t>
        </x:is>
      </x:c>
      <x:c r="AB73" s="6" t="inlineStr">
        <x:is>
          <x:t xml:space="preserve">کارشناس محتوا</x:t>
        </x:is>
      </x:c>
      <x:c r="AC73" s="6" t="inlineStr">
        <x:is>
          <x:t xml:space="preserve">—</x:t>
        </x:is>
      </x:c>
      <x:c r="AD73" s="30" t="str">
        <x:v>KPI-72</x:v>
      </x:c>
      <x:c r="AE73" s="30" t="str">
        <x:v>Proposed</x:v>
      </x:c>
    </x:row>
    <x:row r="74">
      <x:c r="A74" s="17" t="inlineStr">
        <x:is>
          <x:t xml:space="preserve">KPI-73</x:t>
        </x:is>
      </x:c>
      <x:c r="B74" s="4" t="inlineStr">
        <x:is>
          <x:t xml:space="preserve">Average Time Between Purchases</x:t>
        </x:is>
      </x:c>
      <x:c r="C74" s="4" t="inlineStr">
        <x:is>
          <x:t xml:space="preserve">میانگین فاصله دو خرید متوالی</x:t>
        </x:is>
      </x:c>
      <x:c r="D74" s="4" t="inlineStr">
        <x:is>
          <x:t xml:space="preserve">ATBP</x:t>
        </x:is>
      </x:c>
      <x:c r="E74" s="4" t="inlineStr">
        <x:is>
          <x:t xml:space="preserve">رفتار و ارزش مشتری</x:t>
        </x:is>
      </x:c>
      <x:c r="F74" s="4" t="inlineStr">
        <x:is>
          <x:t xml:space="preserve">میانگین روزها بین فاکتورهای متوالی</x:t>
        </x:is>
      </x:c>
      <x:c r="G74" s="4" t="inlineStr">
        <x:is>
          <x:t xml:space="preserve">AVG(OrderDate_i − OrderDate_i−1)</x:t>
        </x:is>
      </x:c>
      <x:c r="H74" s="4" t="inlineStr">
        <x:is>
          <x:t xml:space="preserve">Σ intervals</x:t>
        </x:is>
      </x:c>
      <x:c r="I74" s="4" t="inlineStr">
        <x:is>
          <x:t xml:space="preserve">Repeat Intervals</x:t>
        </x:is>
      </x:c>
      <x:c r="J74" s="4" t="inlineStr">
        <x:is>
          <x:t xml:space="preserve">روز</x:t>
        </x:is>
      </x:c>
      <x:c r="K74" s="4" t="inlineStr">
        <x:is>
          <x:t xml:space="preserve">Consumption Behavior</x:t>
        </x:is>
      </x:c>
      <x:c r="L74" s="4" t="inlineStr">
        <x:is>
          <x:t xml:space="preserve">Segment/Category</x:t>
        </x:is>
      </x:c>
      <x:c r="M74" s="4" t="inlineStr">
        <x:is>
          <x:t xml:space="preserve">CRM+DWH</x:t>
        </x:is>
      </x:c>
      <x:c r="N74" s="4" t="inlineStr">
        <x:is>
          <x:t xml:space="preserve">EVT-13,EVT-15</x:t>
        </x:is>
      </x:c>
      <x:c r="O74" s="4" t="inlineStr">
        <x:is>
          <x:t xml:space="preserve">—</x:t>
        </x:is>
      </x:c>
      <x:c r="P74" s="4" t="inlineStr">
        <x:is>
          <x:t xml:space="preserve">DIM-19,17</x:t>
        </x:is>
      </x:c>
      <x:c r="Q74" s="4" t="inlineStr">
        <x:is>
          <x:t xml:space="preserve">فصلی/سالانه</x:t>
        </x:is>
      </x:c>
      <x:c r="R74" s="4" t="inlineStr">
        <x:is>
          <x:t xml:space="preserve">کاهش سرعت مصرف/خرید از رقیب/رکود مراجعات</x:t>
        </x:is>
      </x:c>
      <x:c r="S74" s="4" t="inlineStr">
        <x:is>
          <x:t xml:space="preserve">لود کاری بالا/وفاداری/چسبندگی</x:t>
        </x:is>
      </x:c>
      <x:c r="T74" s="4" t="inlineStr">
        <x:is>
          <x:t xml:space="preserve">KPI-53,KPI-55</x:t>
        </x:is>
      </x:c>
      <x:c r="U74" s="4" t="inlineStr">
        <x:is>
          <x:t xml:space="preserve">مخلوط تجهیزات بادوام با مصرفی</x:t>
        </x:is>
      </x:c>
      <x:c r="V74" s="4" t="inlineStr">
        <x:is>
          <x:t xml:space="preserve">خرید احتکاری پیش گرانی</x:t>
        </x:is>
      </x:c>
      <x:c r="W74" s="4" t="inlineStr">
        <x:is>
          <x:t xml:space="preserve">مطب پرکار: ۳۵-۵۰ روز (ترمیمی)</x:t>
        </x:is>
      </x:c>
      <x:c r="X74" s="4" t="inlineStr">
        <x:is>
          <x:t xml:space="preserve">فرض اولیه — نیازمند اعتبارسنجی با داده واقعی Titana</x:t>
        </x:is>
      </x:c>
      <x:c r="Y74" s="4" t="inlineStr">
        <x:is>
          <x:t xml:space="preserve">&gt;۱.۵ برابر میانگین → آفر ارسال رایگان روز ۴۰</x:t>
        </x:is>
      </x:c>
      <x:c r="Z74" s="17" t="inlineStr">
        <x:is>
          <x:t xml:space="preserve">W4</x:t>
        </x:is>
      </x:c>
      <x:c r="AA74" s="17" t="inlineStr">
        <x:is>
          <x:t xml:space="preserve">High</x:t>
        </x:is>
      </x:c>
      <x:c r="AB74" s="4" t="inlineStr">
        <x:is>
          <x:t xml:space="preserve">Data Analyst</x:t>
        </x:is>
      </x:c>
      <x:c r="AC74" s="4" t="inlineStr">
        <x:is>
          <x:t xml:space="preserve">—</x:t>
        </x:is>
      </x:c>
      <x:c r="AD74" s="30" t="str">
        <x:v>KPI-73</x:v>
      </x:c>
      <x:c r="AE74" s="30" t="str">
        <x:v>Proposed</x:v>
      </x:c>
    </x:row>
    <x:row r="75">
      <x:c r="A75" s="19" t="inlineStr">
        <x:is>
          <x:t xml:space="preserve">KPI-74</x:t>
        </x:is>
      </x:c>
      <x:c r="B75" s="6" t="inlineStr">
        <x:is>
          <x:t xml:space="preserve">Customer Profitability</x:t>
        </x:is>
      </x:c>
      <x:c r="C75" s="6" t="inlineStr">
        <x:is>
          <x:t xml:space="preserve">سودآوری خالص هر مشتری</x:t>
        </x:is>
      </x:c>
      <x:c r="D75" s="6" t="inlineStr">
        <x:is>
          <x:t xml:space="preserve">Cust-Prof</x:t>
        </x:is>
      </x:c>
      <x:c r="E75" s="6" t="inlineStr">
        <x:is>
          <x:t xml:space="preserve">رفتار و ارزش مشتری</x:t>
        </x:is>
      </x:c>
      <x:c r="F75" s="6" t="inlineStr">
        <x:is>
          <x:t xml:space="preserve">سود نهایی هر مشتری پس از تمام هزینه‌ها</x:t>
        </x:is>
      </x:c>
      <x:c r="G75" s="6" t="inlineStr">
        <x:is>
          <x:t xml:space="preserve">ΣNetRev − (ΣCOGS + Alloc CAC + ΣDiscounts + Logistics)</x:t>
        </x:is>
      </x:c>
      <x:c r="H75" s="6" t="inlineStr">
        <x:is>
          <x:t xml:space="preserve">—</x:t>
        </x:is>
      </x:c>
      <x:c r="I75" s="6" t="inlineStr">
        <x:is>
          <x:t xml:space="preserve">—</x:t>
        </x:is>
      </x:c>
      <x:c r="J75" s="6" t="inlineStr">
        <x:is>
          <x:t xml:space="preserve">ریال</x:t>
        </x:is>
      </x:c>
      <x:c r="K75" s="6" t="inlineStr">
        <x:is>
          <x:t xml:space="preserve">True Customer Value</x:t>
        </x:is>
      </x:c>
      <x:c r="L75" s="6" t="inlineStr">
        <x:is>
          <x:t xml:space="preserve">CustomerId/AccountTier</x:t>
        </x:is>
      </x:c>
      <x:c r="M75" s="6" t="inlineStr">
        <x:is>
          <x:t xml:space="preserve">DWH P&amp;L customer</x:t>
        </x:is>
      </x:c>
      <x:c r="N75" s="6" t="inlineStr">
        <x:is>
          <x:t xml:space="preserve">EVT-13</x:t>
        </x:is>
      </x:c>
      <x:c r="O75" s="6" t="inlineStr">
        <x:is>
          <x:t xml:space="preserve">—</x:t>
        </x:is>
      </x:c>
      <x:c r="P75" s="6" t="inlineStr">
        <x:is>
          <x:t xml:space="preserve">DIM-19,31,01</x:t>
        </x:is>
      </x:c>
      <x:c r="Q75" s="6" t="inlineStr">
        <x:is>
          <x:t xml:space="preserve">سالانه</x:t>
        </x:is>
      </x:c>
      <x:c r="R75" s="6" t="inlineStr">
        <x:is>
          <x:t xml:space="preserve">ارزش پایدار/پوشش هزینه‌ها</x:t>
        </x:is>
      </x:c>
      <x:c r="S75" s="6" t="inlineStr">
        <x:is>
          <x:t xml:space="preserve">زیان‌ده: تخفیف سنگین/تماس بی‌نتیجه/کم‌مارجین</x:t>
        </x:is>
      </x:c>
      <x:c r="T75" s="6" t="inlineStr">
        <x:is>
          <x:t xml:space="preserve">KPI-57,KPI-38</x:t>
        </x:is>
      </x:c>
      <x:c r="U75" s="6" t="inlineStr">
        <x:is>
          <x:t xml:space="preserve">فروش بالا ≠ سود بالا</x:t>
        </x:is>
      </x:c>
      <x:c r="V75" s="6" t="inlineStr">
        <x:is>
          <x:t xml:space="preserve">نیازمند Activity-Based Costing</x:t>
        </x:is>
      </x:c>
      <x:c r="W75" s="6" t="inlineStr">
        <x:is>
          <x:t xml:space="preserve">حاشیه خالص &gt; 18٪ فاکتور مشتری پایدار</x:t>
        </x:is>
      </x:c>
      <x:c r="X75" s="6" t="inlineStr">
        <x:is>
          <x:t xml:space="preserve">فرض اولیه — نیازمند اعتبارسنجی با داده واقعی Titana</x:t>
        </x:is>
      </x:c>
      <x:c r="Y75" s="6" t="inlineStr">
        <x:is>
          <x:t xml:space="preserve">حذف تخفیف مشتریان منفی + خدمات VIP دهک ۱</x:t>
        </x:is>
      </x:c>
      <x:c r="Z75" s="19" t="inlineStr">
        <x:is>
          <x:t xml:space="preserve">W5</x:t>
        </x:is>
      </x:c>
      <x:c r="AA75" s="19" t="inlineStr">
        <x:is>
          <x:t xml:space="preserve">High</x:t>
        </x:is>
      </x:c>
      <x:c r="AB75" s="6" t="inlineStr">
        <x:is>
          <x:t xml:space="preserve">Data Analyst</x:t>
        </x:is>
      </x:c>
      <x:c r="AC75" s="6" t="inlineStr">
        <x:is>
          <x:t xml:space="preserve">—</x:t>
        </x:is>
      </x:c>
      <x:c r="AD75" s="30" t="str">
        <x:v>KPI-74</x:v>
      </x:c>
      <x:c r="AE75" s="30" t="str">
        <x:v>Proposed</x:v>
      </x:c>
    </x:row>
    <x:row r="76">
      <x:c r="A76" s="17" t="inlineStr">
        <x:is>
          <x:t xml:space="preserve">KPI-75</x:t>
        </x:is>
      </x:c>
      <x:c r="B76" s="4" t="inlineStr">
        <x:is>
          <x:t xml:space="preserve">Tracking Coverage Rate</x:t>
        </x:is>
      </x:c>
      <x:c r="C76" s="4" t="inlineStr">
        <x:is>
          <x:t xml:space="preserve">درصد پوشش رهگیری</x:t>
        </x:is>
      </x:c>
      <x:c r="D76" s="4" t="inlineStr">
        <x:is>
          <x:t xml:space="preserve">Track-Cov%</x:t>
        </x:is>
      </x:c>
      <x:c r="E76" s="4" t="inlineStr">
        <x:is>
          <x:t xml:space="preserve">ترکینگ و حاکمیت داده</x:t>
        </x:is>
      </x:c>
      <x:c r="F76" s="4" t="inlineStr">
        <x:is>
          <x:t xml:space="preserve">درصد صفحات/لندینگ‌های دارای تگ سالم</x:t>
        </x:is>
      </x:c>
      <x:c r="G76" s="4" t="inlineStr">
        <x:is>
          <x:t xml:space="preserve">(Audited URLs with Tags / Total Active URLs) × 100</x:t>
        </x:is>
      </x:c>
      <x:c r="H76" s="4" t="inlineStr">
        <x:is>
          <x:t xml:space="preserve">Tagged URLs</x:t>
        </x:is>
      </x:c>
      <x:c r="I76" s="4" t="inlineStr">
        <x:is>
          <x:t xml:space="preserve">Total URLs</x:t>
        </x:is>
      </x:c>
      <x:c r="J76" s="4" t="inlineStr">
        <x:is>
          <x:t xml:space="preserve">%</x:t>
        </x:is>
      </x:c>
      <x:c r="K76" s="4" t="inlineStr">
        <x:is>
          <x:t xml:space="preserve">Infrastructure Health</x:t>
        </x:is>
      </x:c>
      <x:c r="L76" s="4" t="inlineStr">
        <x:is>
          <x:t xml:space="preserve">Domain/Site/Funnel</x:t>
        </x:is>
      </x:c>
      <x:c r="M76" s="4" t="inlineStr">
        <x:is>
          <x:t xml:space="preserve">ربات ممیزی + GTM logs</x:t>
        </x:is>
      </x:c>
      <x:c r="N76" s="4" t="inlineStr">
        <x:is>
          <x:t xml:space="preserve">EVT-01</x:t>
        </x:is>
      </x:c>
      <x:c r="O76" s="4" t="inlineStr">
        <x:is>
          <x:t xml:space="preserve">—</x:t>
        </x:is>
      </x:c>
      <x:c r="P76" s="4" t="inlineStr">
        <x:is>
          <x:t xml:space="preserve">DIM-32</x:t>
        </x:is>
      </x:c>
      <x:c r="Q76" s="4" t="inlineStr">
        <x:is>
          <x:t xml:space="preserve">هفتگی+پس از هر لانچ</x:t>
        </x:is>
      </x:c>
      <x:c r="R76" s="4" t="inlineStr">
        <x:is>
          <x:t xml:space="preserve">حذف نقاط کور</x:t>
        </x:is>
      </x:c>
      <x:c r="S76" s="4" t="inlineStr">
        <x:is>
          <x:t xml:space="preserve">نشت/لانچ بدون تگ</x:t>
        </x:is>
      </x:c>
      <x:c r="T76" s="4" t="inlineStr">
        <x:is>
          <x:t xml:space="preserve">KPI-76,KPI-78</x:t>
        </x:is>
      </x:c>
      <x:c r="U76" s="4" t="inlineStr">
        <x:is>
          <x:t xml:space="preserve">بررسی فقط دسکتاپ</x:t>
        </x:is>
      </x:c>
      <x:c r="V76" s="4" t="inlineStr">
        <x:is>
          <x:t xml:space="preserve">حضور تگ ≠ صحت پارامتر</x:t>
        </x:is>
      </x:c>
      <x:c r="W76" s="4" t="inlineStr">
        <x:is>
          <x:t xml:space="preserve">۱۰۰٪ قیف فروش | &gt; 98٪ کل وبلاگ</x:t>
        </x:is>
      </x:c>
      <x:c r="X76" s="4" t="inlineStr">
        <x:is>
          <x:t xml:space="preserve">فرض اولیه — نیازمند اعتبارسنجی با داده واقعی Titana</x:t>
        </x:is>
      </x:c>
      <x:c r="Y76" s="4" t="inlineStr">
        <x:is>
          <x:t xml:space="preserve">الزام چک‌لیست ترکینگ پیش از انتشار لینک</x:t>
        </x:is>
      </x:c>
      <x:c r="Z76" s="17" t="inlineStr">
        <x:is>
          <x:t xml:space="preserve">W2</x:t>
        </x:is>
      </x:c>
      <x:c r="AA76" s="17" t="inlineStr">
        <x:is>
          <x:t xml:space="preserve">Critical</x:t>
        </x:is>
      </x:c>
      <x:c r="AB76" s="4" t="inlineStr">
        <x:is>
          <x:t xml:space="preserve">مهندس وب/ردیابی</x:t>
        </x:is>
      </x:c>
      <x:c r="AC76" s="4" t="inlineStr">
        <x:is>
          <x:t xml:space="preserve">پوشش ۱۰٪ صفحات قیف</x:t>
        </x:is>
      </x:c>
      <x:c r="AD76" s="30" t="str">
        <x:v>KPI-75</x:v>
      </x:c>
      <x:c r="AE76" s="30" t="str">
        <x:v>Proposed</x:v>
      </x:c>
    </x:row>
    <x:row r="77">
      <x:c r="A77" s="19" t="inlineStr">
        <x:is>
          <x:t xml:space="preserve">KPI-76</x:t>
        </x:is>
      </x:c>
      <x:c r="B77" s="6" t="inlineStr">
        <x:is>
          <x:t xml:space="preserve">Missing Events Rate</x:t>
        </x:is>
      </x:c>
      <x:c r="C77" s="6" t="inlineStr">
        <x:is>
          <x:t xml:space="preserve">نرخ رویدادهای مفقود</x:t>
        </x:is>
      </x:c>
      <x:c r="D77" s="6" t="inlineStr">
        <x:is>
          <x:t xml:space="preserve">Miss-Evt%</x:t>
        </x:is>
      </x:c>
      <x:c r="E77" s="6" t="inlineStr">
        <x:is>
          <x:t xml:space="preserve">ترکینگ و حاکمیت داده</x:t>
        </x:is>
      </x:c>
      <x:c r="F77" s="6" t="inlineStr">
        <x:is>
          <x:t xml:space="preserve">درصد اکشن‌های بک‌اند ثبت‌نشده در پلتفرم</x:t>
        </x:is>
      </x:c>
      <x:c r="G77" s="6" t="inlineStr">
        <x:is>
          <x:t xml:space="preserve">((DB Actions − Tracked Events) / DB Actions) × 100</x:t>
        </x:is>
      </x:c>
      <x:c r="H77" s="6" t="inlineStr">
        <x:is>
          <x:t xml:space="preserve">Missing</x:t>
        </x:is>
      </x:c>
      <x:c r="I77" s="6" t="inlineStr">
        <x:is>
          <x:t xml:space="preserve">DB Actions</x:t>
        </x:is>
      </x:c>
      <x:c r="J77" s="6" t="inlineStr">
        <x:is>
          <x:t xml:space="preserve">٪ خطا</x:t>
        </x:is>
      </x:c>
      <x:c r="K77" s="6" t="inlineStr">
        <x:is>
          <x:t xml:space="preserve">Signal Integrity</x:t>
        </x:is>
      </x:c>
      <x:c r="L77" s="6" t="inlineStr">
        <x:is>
          <x:t xml:space="preserve">EventType (purchase/lead/begin_checkout)</x:t>
        </x:is>
      </x:c>
      <x:c r="M77" s="6" t="inlineStr">
        <x:is>
          <x:t xml:space="preserve">DWH + BigQuery Raw</x:t>
        </x:is>
      </x:c>
      <x:c r="N77" s="6" t="inlineStr">
        <x:is>
          <x:t xml:space="preserve">EVT-13,EVT-16,EVT-10</x:t>
        </x:is>
      </x:c>
      <x:c r="O77" s="6" t="inlineStr">
        <x:is>
          <x:t xml:space="preserve">MET-35</x:t>
        </x:is>
      </x:c>
      <x:c r="P77" s="6" t="inlineStr">
        <x:is>
          <x:t xml:space="preserve">DIM-32,23</x:t>
        </x:is>
      </x:c>
      <x:c r="Q77" s="6" t="inlineStr">
        <x:is>
          <x:t xml:space="preserve">روزانه (خودکار)</x:t>
        </x:is>
      </x:c>
      <x:c r="R77" s="6" t="inlineStr">
        <x:is>
          <x:t xml:space="preserve">AdBlock/تایم‌اوت/باگ سروری</x:t>
        </x:is>
      </x:c>
      <x:c r="S77" s="6" t="inlineStr">
        <x:is>
          <x:t xml:space="preserve">پایداری Server-Side</x:t>
        </x:is>
      </x:c>
      <x:c r="T77" s="6" t="inlineStr">
        <x:is>
          <x:t xml:space="preserve">KPI-77,KPI-65</x:t>
        </x:is>
      </x:c>
      <x:c r="U77" s="6" t="inlineStr">
        <x:is>
          <x:t xml:space="preserve">بستن سریع صفحه پیش از تگ</x:t>
        </x:is>
      </x:c>
      <x:c r="V77" s="6" t="inlineStr">
        <x:is>
          <x:t xml:space="preserve">تا ۵٪ ریزش ذاتی اینترنت</x:t>
        </x:is>
      </x:c>
      <x:c r="W77" s="6" t="inlineStr">
        <x:is>
          <x:t xml:space="preserve">Purchase &lt; 4.0٪ با Server GTM</x:t>
        </x:is>
      </x:c>
      <x:c r="X77" s="6" t="inlineStr">
        <x:is>
          <x:t xml:space="preserve">فرض اولیه — نیازمند اعتبارسنجی با داده واقعی Titana</x:t>
        </x:is>
      </x:c>
      <x:c r="Y77" s="6" t="inlineStr">
        <x:is>
          <x:t xml:space="preserve">&gt;۸٪ → ارسال مستقیم Webhook به MP</x:t>
        </x:is>
      </x:c>
      <x:c r="Z77" s="19" t="inlineStr">
        <x:is>
          <x:t xml:space="preserve">W4</x:t>
        </x:is>
      </x:c>
      <x:c r="AA77" s="19" t="inlineStr">
        <x:is>
          <x:t xml:space="preserve">Critical</x:t>
        </x:is>
      </x:c>
      <x:c r="AB77" s="6" t="inlineStr">
        <x:is>
          <x:t xml:space="preserve">Data Engineer</x:t>
        </x:is>
      </x:c>
      <x:c r="AC77" s="6" t="inlineStr">
        <x:is>
          <x:t xml:space="preserve">—</x:t>
        </x:is>
      </x:c>
      <x:c r="AD77" s="30" t="str">
        <x:v>KPI-76</x:v>
      </x:c>
      <x:c r="AE77" s="30" t="str">
        <x:v>Proposed</x:v>
      </x:c>
    </x:row>
    <x:row r="78">
      <x:c r="A78" s="17" t="inlineStr">
        <x:is>
          <x:t xml:space="preserve">KPI-77</x:t>
        </x:is>
      </x:c>
      <x:c r="B78" s="4" t="inlineStr">
        <x:is>
          <x:t xml:space="preserve">Duplicate Events Rate</x:t>
        </x:is>
      </x:c>
      <x:c r="C78" s="4" t="inlineStr">
        <x:is>
          <x:t xml:space="preserve">نرخ رویدادهای تکراری</x:t>
        </x:is>
      </x:c>
      <x:c r="D78" s="4" t="inlineStr">
        <x:is>
          <x:t xml:space="preserve">Dup-Evt%</x:t>
        </x:is>
      </x:c>
      <x:c r="E78" s="4" t="inlineStr">
        <x:is>
          <x:t xml:space="preserve">ترکینگ و حاکمیت داده</x:t>
        </x:is>
      </x:c>
      <x:c r="F78" s="4" t="inlineStr">
        <x:is>
          <x:t xml:space="preserve">درصد تبدیل‌های ثبت‌شده بیش از یک‌بار</x:t>
        </x:is>
      </x:c>
      <x:c r="G78" s="4" t="inlineStr">
        <x:is>
          <x:t xml:space="preserve">((Total Events − Unique TxIDs) / Total Events) × 100</x:t>
        </x:is>
      </x:c>
      <x:c r="H78" s="4" t="inlineStr">
        <x:is>
          <x:t xml:space="preserve">Excess Events</x:t>
        </x:is>
      </x:c>
      <x:c r="I78" s="4" t="inlineStr">
        <x:is>
          <x:t xml:space="preserve">Total Events</x:t>
        </x:is>
      </x:c>
      <x:c r="J78" s="4" t="inlineStr">
        <x:is>
          <x:t xml:space="preserve">٪ خطا</x:t>
        </x:is>
      </x:c>
      <x:c r="K78" s="4" t="inlineStr">
        <x:is>
          <x:t xml:space="preserve">Data Hygiene</x:t>
        </x:is>
      </x:c>
      <x:c r="L78" s="4" t="inlineStr">
        <x:is>
          <x:t xml:space="preserve">EventType (purchase/lead)</x:t>
        </x:is>
      </x:c>
      <x:c r="M78" s="4" t="inlineStr">
        <x:is>
          <x:t xml:space="preserve">BigQuery/PostHog Raw</x:t>
        </x:is>
      </x:c>
      <x:c r="N78" s="4" t="inlineStr">
        <x:is>
          <x:t xml:space="preserve">EVT-13,EVT-16</x:t>
        </x:is>
      </x:c>
      <x:c r="O78" s="4" t="inlineStr">
        <x:is>
          <x:t xml:space="preserve">MET-36</x:t>
        </x:is>
      </x:c>
      <x:c r="P78" s="4" t="inlineStr">
        <x:is>
          <x:t xml:space="preserve">DIM-32,29</x:t>
        </x:is>
      </x:c>
      <x:c r="Q78" s="4" t="inlineStr">
        <x:is>
          <x:t xml:space="preserve">روزانه</x:t>
        </x:is>
      </x:c>
      <x:c r="R78" s="4" t="inlineStr">
        <x:is>
          <x:t xml:space="preserve">ریفرش صفحه/نبود Dedup</x:t>
        </x:is>
      </x:c>
      <x:c r="S78" s="4" t="inlineStr">
        <x:is>
          <x:t xml:space="preserve">عملکرد بی‌نقص Dedup</x:t>
        </x:is>
      </x:c>
      <x:c r="T78" s="4" t="inlineStr">
        <x:is>
          <x:t xml:space="preserve">KPI-76,KPI-65</x:t>
        </x:is>
      </x:c>
      <x:c r="U78" s="4" t="inlineStr">
        <x:is>
          <x:t xml:space="preserve">پرداخت ناموفق مجدد = خرید جدا</x:t>
        </x:is>
      </x:c>
      <x:c r="V78" s="4" t="inlineStr">
        <x:is>
          <x:t xml:space="preserve">دو تب هم‌زمان</x:t>
        </x:is>
      </x:c>
      <x:c r="W78" s="4" t="inlineStr">
        <x:is>
          <x:t xml:space="preserve">Purchase دقیقاً 0.0٪</x:t>
        </x:is>
      </x:c>
      <x:c r="X78" s="4" t="inlineStr">
        <x:is>
          <x:t xml:space="preserve">فرض اولیه — نیازمند اعتبارسنجی با داده واقعی Titana</x:t>
        </x:is>
      </x:c>
      <x:c r="Y78" s="4" t="inlineStr">
        <x:is>
          <x:t xml:space="preserve">Session Storage Flag + Dedup event_id در سرور</x:t>
        </x:is>
      </x:c>
      <x:c r="Z78" s="17" t="inlineStr">
        <x:is>
          <x:t xml:space="preserve">W2</x:t>
        </x:is>
      </x:c>
      <x:c r="AA78" s="17" t="inlineStr">
        <x:is>
          <x:t xml:space="preserve">Critical</x:t>
        </x:is>
      </x:c>
      <x:c r="AB78" s="4" t="inlineStr">
        <x:is>
          <x:t xml:space="preserve">مهندس داده/ردیابی</x:t>
        </x:is>
      </x:c>
      <x:c r="AC78" s="4" t="inlineStr">
        <x:is>
          <x:t xml:space="preserve">دوبار ثبت purchase = ۰</x:t>
        </x:is>
      </x:c>
      <x:c r="AD78" s="30" t="str">
        <x:v>KPI-77</x:v>
      </x:c>
      <x:c r="AE78" s="30" t="str">
        <x:v>Proposed</x:v>
      </x:c>
    </x:row>
    <x:row r="79">
      <x:c r="A79" s="19" t="inlineStr">
        <x:is>
          <x:t xml:space="preserve">KPI-78</x:t>
        </x:is>
      </x:c>
      <x:c r="B79" s="6" t="inlineStr">
        <x:is>
          <x:t xml:space="preserve">UTM Completeness Rate</x:t>
        </x:is>
      </x:c>
      <x:c r="C79" s="6" t="inlineStr">
        <x:is>
          <x:t xml:space="preserve">درصد انضباط تگ‌های UTM</x:t>
        </x:is>
      </x:c>
      <x:c r="D79" s="6" t="inlineStr">
        <x:is>
          <x:t xml:space="preserve">UTM-Comp%</x:t>
        </x:is>
      </x:c>
      <x:c r="E79" s="6" t="inlineStr">
        <x:is>
          <x:t xml:space="preserve">ترکینگ و حاکمیت داده</x:t>
        </x:is>
      </x:c>
      <x:c r="F79" s="6" t="inlineStr">
        <x:is>
          <x:t xml:space="preserve">درصد سشن‌های پولی با ۵ پارامتر صحیح</x:t>
        </x:is>
      </x:c>
      <x:c r="G79" s="6" t="inlineStr">
        <x:is>
          <x:t xml:space="preserve">(Paid Sessions valid 5-UTM / Total Paid Sessions) × 100</x:t>
        </x:is>
      </x:c>
      <x:c r="H79" s="6" t="inlineStr">
        <x:is>
          <x:t xml:space="preserve">Valid Sessions</x:t>
        </x:is>
      </x:c>
      <x:c r="I79" s="6" t="inlineStr">
        <x:is>
          <x:t xml:space="preserve">Paid Sessions</x:t>
        </x:is>
      </x:c>
      <x:c r="J79" s="6" t="inlineStr">
        <x:is>
          <x:t xml:space="preserve">٪ انضباط</x:t>
        </x:is>
      </x:c>
      <x:c r="K79" s="6" t="inlineStr">
        <x:is>
          <x:t xml:space="preserve">Governance Quality</x:t>
        </x:is>
      </x:c>
      <x:c r="L79" s="6" t="inlineStr">
        <x:is>
          <x:t xml:space="preserve">Channel/Marketer/Agency</x:t>
        </x:is>
      </x:c>
      <x:c r="M79" s="6" t="inlineStr">
        <x:is>
          <x:t xml:space="preserve">GA4 + لاگ سرور</x:t>
        </x:is>
      </x:c>
      <x:c r="N79" s="6" t="inlineStr">
        <x:is>
          <x:t xml:space="preserve">EVT-01</x:t>
        </x:is>
      </x:c>
      <x:c r="O79" s="6" t="inlineStr">
        <x:is>
          <x:t xml:space="preserve">MET-37</x:t>
        </x:is>
      </x:c>
      <x:c r="P79" s="6" t="inlineStr">
        <x:is>
          <x:t xml:space="preserve">DIM-01,02,03</x:t>
        </x:is>
      </x:c>
      <x:c r="Q79" s="6" t="inlineStr">
        <x:is>
          <x:t xml:space="preserve">هفتگی</x:t>
        </x:is>
      </x:c>
      <x:c r="R79" s="6" t="inlineStr">
        <x:is>
          <x:t xml:space="preserve">رعایت استاندارد/حذف Unassigned</x:t>
        </x:is>
      </x:c>
      <x:c r="S79" s="6" t="inlineStr">
        <x:is>
          <x:t xml:space="preserve">شلختگی/لینک دستی/آلودگی</x:t>
        </x:is>
      </x:c>
      <x:c r="T79" s="6" t="inlineStr">
        <x:is>
          <x:t xml:space="preserve">KPI-75,KPI-80..85</x:t>
        </x:is>
      </x:c>
      <x:c r="U79" s="6" t="inlineStr">
        <x:is>
          <x:t xml:space="preserve">فاصله/حروف بزرگ → چندتکه‌شدن</x:t>
        </x:is>
      </x:c>
      <x:c r="V79" s="6" t="inlineStr">
        <x:is>
          <x:t xml:space="preserve">بازنویسی لینک توسط کوتاه‌کننده</x:t>
        </x:is>
      </x:c>
      <x:c r="W79" s="6" t="inlineStr">
        <x:is>
          <x:t xml:space="preserve">&gt; 98٪ کمپین‌های پولی</x:t>
        </x:is>
      </x:c>
      <x:c r="X79" s="6" t="inlineStr">
        <x:is>
          <x:t xml:space="preserve">فرض اولیه — نیازمند اعتبارسنجی با داده واقعی Titana</x:t>
        </x:is>
      </x:c>
      <x:c r="Y79" s="6" t="inlineStr">
        <x:is>
          <x:t xml:space="preserve">مسدودسازی لینک دستی + UTM Builder متمرکز</x:t>
        </x:is>
      </x:c>
      <x:c r="Z79" s="19" t="inlineStr">
        <x:is>
          <x:t xml:space="preserve">W0</x:t>
        </x:is>
      </x:c>
      <x:c r="AA79" s="19" t="inlineStr">
        <x:is>
          <x:t xml:space="preserve">Critical</x:t>
        </x:is>
      </x:c>
      <x:c r="AB79" s="6" t="inlineStr">
        <x:is>
          <x:t xml:space="preserve">لید پرفورمنس</x:t>
        </x:is>
      </x:c>
      <x:c r="AC79" s="6" t="inlineStr">
        <x:is>
          <x:t xml:space="preserve">UTM-Comp% ≥ 98</x:t>
        </x:is>
      </x:c>
      <x:c r="AD79" s="30" t="str">
        <x:v>KPI-78</x:v>
      </x:c>
      <x:c r="AE79" s="30" t="str">
        <x:v>Proposed</x:v>
      </x:c>
    </x:row>
    <x:row r="80">
      <x:c r="A80" s="17" t="inlineStr">
        <x:is>
          <x:t xml:space="preserve">KPI-79</x:t>
        </x:is>
      </x:c>
      <x:c r="B80" s="4" t="inlineStr">
        <x:is>
          <x:t xml:space="preserve">Data Freshness Lag</x:t>
        </x:is>
      </x:c>
      <x:c r="C80" s="4" t="inlineStr">
        <x:is>
          <x:t xml:space="preserve">تازگی داده‌ها</x:t>
        </x:is>
      </x:c>
      <x:c r="D80" s="4" t="inlineStr">
        <x:is>
          <x:t xml:space="preserve">Data-Lag</x:t>
        </x:is>
      </x:c>
      <x:c r="E80" s="4" t="inlineStr">
        <x:is>
          <x:t xml:space="preserve">ترکینگ و حاکمیت داده</x:t>
        </x:is>
      </x:c>
      <x:c r="F80" s="4" t="inlineStr">
        <x:is>
          <x:t xml:space="preserve">فاصله وقوع رویداد تا بازتاب در داشبورد</x:t>
        </x:is>
      </x:c>
      <x:c r="G80" s="4" t="inlineStr">
        <x:is>
          <x:t xml:space="preserve">Dashboard Ts − Event Ts</x:t>
        </x:is>
      </x:c>
      <x:c r="H80" s="4" t="inlineStr">
        <x:is>
          <x:t xml:space="preserve">—</x:t>
        </x:is>
      </x:c>
      <x:c r="I80" s="4" t="inlineStr">
        <x:is>
          <x:t xml:space="preserve">—</x:t>
        </x:is>
      </x:c>
      <x:c r="J80" s="4" t="inlineStr">
        <x:is>
          <x:t xml:space="preserve">ساعت/دقیقه</x:t>
        </x:is>
      </x:c>
      <x:c r="K80" s="4" t="inlineStr">
        <x:is>
          <x:t xml:space="preserve">Pipeline Efficiency</x:t>
        </x:is>
      </x:c>
      <x:c r="L80" s="4" t="inlineStr">
        <x:is>
          <x:t xml:space="preserve">Pipeline/Layer</x:t>
        </x:is>
      </x:c>
      <x:c r="M80" s="4" t="inlineStr">
        <x:is>
          <x:t xml:space="preserve">ELT logs (Airbyte/dbt)</x:t>
        </x:is>
      </x:c>
      <x:c r="N80" s="4" t="inlineStr">
        <x:is>
          <x:t xml:space="preserve">—</x:t>
        </x:is>
      </x:c>
      <x:c r="O80" s="4" t="inlineStr">
        <x:is>
          <x:t xml:space="preserve">—</x:t>
        </x:is>
      </x:c>
      <x:c r="P80" s="4" t="inlineStr">
        <x:is>
          <x:t xml:space="preserve">DIM-32</x:t>
        </x:is>
      </x:c>
      <x:c r="Q80" s="4" t="inlineStr">
        <x:is>
          <x:t xml:space="preserve">ساعتی/روزانه</x:t>
        </x:is>
      </x:c>
      <x:c r="R80" s="4" t="inlineStr">
        <x:is>
          <x:t xml:space="preserve">تاخیر خط لوله/کندی/عدم تصمیم لحظه‌ای</x:t>
        </x:is>
      </x:c>
      <x:c r="S80" s="4" t="inlineStr">
        <x:is>
          <x:t xml:space="preserve">معماری چابک/واکنش فوری</x:t>
        </x:is>
      </x:c>
      <x:c r="T80" s="4" t="inlineStr">
        <x:is>
          <x:t xml:space="preserve">KPI-75,KPI-76</x:t>
        </x:is>
      </x:c>
      <x:c r="U80" s="4" t="inlineStr">
        <x:is>
          <x:t xml:space="preserve">انتظار بلادرنگ از ادز گوگل (تا ۲۴ ساعت)</x:t>
        </x:is>
      </x:c>
      <x:c r="V80" s="4" t="inlineStr">
        <x:is>
          <x:t xml:space="preserve">سرعت = هزینه سرور</x:t>
        </x:is>
      </x:c>
      <x:c r="W80" s="4" t="inlineStr">
        <x:is>
          <x:t xml:space="preserve">ترافیک/لید &lt; 30 دقیقه | فروش تا ۹ صبح</x:t>
        </x:is>
      </x:c>
      <x:c r="X80" s="4" t="inlineStr">
        <x:is>
          <x:t xml:space="preserve">فرض اولیه — نیازمند اعتبارسنجی با داده واقعی Titana</x:t>
        </x:is>
      </x:c>
      <x:c r="Y80" s="4" t="inlineStr">
        <x:is>
          <x:t xml:space="preserve">ارتقای dbt به هر ۴ ساعت در ساعات کاری</x:t>
        </x:is>
      </x:c>
      <x:c r="Z80" s="17" t="inlineStr">
        <x:is>
          <x:t xml:space="preserve">W4</x:t>
        </x:is>
      </x:c>
      <x:c r="AA80" s="17" t="inlineStr">
        <x:is>
          <x:t xml:space="preserve">High</x:t>
        </x:is>
      </x:c>
      <x:c r="AB80" s="4" t="inlineStr">
        <x:is>
          <x:t xml:space="preserve">Data Engineer</x:t>
        </x:is>
      </x:c>
      <x:c r="AC80" s="4" t="inlineStr">
        <x:is>
          <x:t xml:space="preserve">SLA تازگی رعایت شود</x:t>
        </x:is>
      </x:c>
      <x:c r="AD80" s="30" t="str">
        <x:v>KPI-79</x:v>
      </x:c>
      <x:c r="AE80" s="30" t="str">
        <x:v>Proposed</x:v>
      </x:c>
    </x:row>
    <x:row r="81">
      <x:c r="A81" s="19" t="inlineStr">
        <x:is>
          <x:t xml:space="preserve">KPI-80</x:t>
        </x:is>
      </x:c>
      <x:c r="B81" s="6" t="inlineStr">
        <x:is>
          <x:t xml:space="preserve">First-Touch Attribution</x:t>
        </x:is>
      </x:c>
      <x:c r="C81" s="6" t="inlineStr">
        <x:is>
          <x:t xml:space="preserve">انتساب اولین لمس</x:t>
        </x:is>
      </x:c>
      <x:c r="D81" s="6" t="inlineStr">
        <x:is>
          <x:t xml:space="preserve">FTA</x:t>
        </x:is>
      </x:c>
      <x:c r="E81" s="6" t="inlineStr">
        <x:is>
          <x:t xml:space="preserve">انتساب (Attribution)</x:t>
        </x:is>
      </x:c>
      <x:c r="F81" s="6" t="inlineStr">
        <x:is>
          <x:t xml:space="preserve">۱۰٪ ارزش به اولین کانال برخورد</x:t>
        </x:is>
      </x:c>
      <x:c r="G81" s="6" t="inlineStr">
        <x:is>
          <x:t xml:space="preserve">SUM(Revenue where Channel = Step 1)</x:t>
        </x:is>
      </x:c>
      <x:c r="H81" s="6" t="inlineStr">
        <x:is>
          <x:t xml:space="preserve">—</x:t>
        </x:is>
      </x:c>
      <x:c r="I81" s="6" t="inlineStr">
        <x:is>
          <x:t xml:space="preserve">—</x:t>
        </x:is>
      </x:c>
      <x:c r="J81" s="6" t="inlineStr">
        <x:is>
          <x:t xml:space="preserve">ریال منسوب</x:t>
        </x:is>
      </x:c>
      <x:c r="K81" s="6" t="inlineStr">
        <x:is>
          <x:t xml:space="preserve">Awareness Power</x:t>
        </x:is>
      </x:c>
      <x:c r="L81" s="6" t="inlineStr">
        <x:is>
          <x:t xml:space="preserve">Channel/Campaign/Format</x:t>
        </x:is>
      </x:c>
      <x:c r="M81" s="6" t="inlineStr">
        <x:is>
          <x:t xml:space="preserve">جدول تاچ‌پوینت‌ها</x:t>
        </x:is>
      </x:c>
      <x:c r="N81" s="6" t="inlineStr">
        <x:is>
          <x:t xml:space="preserve">EVT-01..EVT-13</x:t>
        </x:is>
      </x:c>
      <x:c r="O81" s="6" t="inlineStr">
        <x:is>
          <x:t xml:space="preserve">—</x:t>
        </x:is>
      </x:c>
      <x:c r="P81" s="6" t="inlineStr">
        <x:is>
          <x:t xml:space="preserve">DIM-01,04</x:t>
        </x:is>
      </x:c>
      <x:c r="Q81" s="6" t="inlineStr">
        <x:is>
          <x:t xml:space="preserve">ماهانه/فصلی</x:t>
        </x:is>
      </x:c>
      <x:c r="R81" s="6" t="inlineStr">
        <x:is>
          <x:t xml:space="preserve">شکار مخاطبان جدید</x:t>
        </x:is>
      </x:c>
      <x:c r="S81" s="6" t="inlineStr">
        <x:is>
          <x:t xml:space="preserve">نقش ندارد در ورود جدید</x:t>
        </x:is>
      </x:c>
      <x:c r="T81" s="6" t="inlineStr">
        <x:is>
          <x:t xml:space="preserve">KPI-81,KPI-82</x:t>
        </x:is>
      </x:c>
      <x:c r="U81" s="6" t="inlineStr">
        <x:is>
          <x:t xml:space="preserve">استفاده به‌عنوان تنها ملاک</x:t>
        </x:is>
      </x:c>
      <x:c r="V81" s="6" t="inlineStr">
        <x:is>
          <x:t xml:space="preserve">کوکی پاک = پنهان‌شدن تاچ اول</x:t>
        </x:is>
      </x:c>
      <x:c r="W81" s="6" t="inlineStr">
        <x:is>
          <x:t xml:space="preserve">همزمان با LTA برای تنوع سبد</x:t>
        </x:is>
      </x:c>
      <x:c r="X81" s="6" t="inlineStr">
        <x:is>
          <x:t xml:space="preserve">فرض اولیه — نیازمند اعتبارسنجی با داده واقعی Titana</x:t>
        </x:is>
      </x:c>
      <x:c r="Y81" s="6" t="inlineStr">
        <x:is>
          <x:t xml:space="preserve">افزایش بودجه TOFU با جریان ورودی قوی FTA</x:t>
        </x:is>
      </x:c>
      <x:c r="Z81" s="19" t="inlineStr">
        <x:is>
          <x:t xml:space="preserve">W6</x:t>
        </x:is>
      </x:c>
      <x:c r="AA81" s="19" t="inlineStr">
        <x:is>
          <x:t xml:space="preserve">High</x:t>
        </x:is>
      </x:c>
      <x:c r="AB81" s="6" t="inlineStr">
        <x:is>
          <x:t xml:space="preserve">Data Scientist</x:t>
        </x:is>
      </x:c>
      <x:c r="AC81" s="6" t="inlineStr">
        <x:is>
          <x:t xml:space="preserve">—</x:t>
        </x:is>
      </x:c>
      <x:c r="AD81" s="30" t="str">
        <x:v>KPI-80</x:v>
      </x:c>
      <x:c r="AE81" s="30" t="str">
        <x:v>Proposed</x:v>
      </x:c>
    </x:row>
    <x:row r="82">
      <x:c r="A82" s="17" t="inlineStr">
        <x:is>
          <x:t xml:space="preserve">KPI-81</x:t>
        </x:is>
      </x:c>
      <x:c r="B82" s="4" t="inlineStr">
        <x:is>
          <x:t xml:space="preserve">Last-Touch Attribution</x:t>
        </x:is>
      </x:c>
      <x:c r="C82" s="4" t="inlineStr">
        <x:is>
          <x:t xml:space="preserve">انتساب آخرین لمس</x:t>
        </x:is>
      </x:c>
      <x:c r="D82" s="4" t="inlineStr">
        <x:is>
          <x:t xml:space="preserve">LTA</x:t>
        </x:is>
      </x:c>
      <x:c r="E82" s="4" t="inlineStr">
        <x:is>
          <x:t xml:space="preserve">انتساب (Attribution)</x:t>
        </x:is>
      </x:c>
      <x:c r="F82" s="4" t="inlineStr">
        <x:is>
          <x:t xml:space="preserve">۱۰٪ ارزش به آخرین کانال قبل از پرداخت</x:t>
        </x:is>
      </x:c>
      <x:c r="G82" s="4" t="inlineStr">
        <x:is>
          <x:t xml:space="preserve">SUM(Revenue where Channel = Step N)</x:t>
        </x:is>
      </x:c>
      <x:c r="H82" s="4" t="inlineStr">
        <x:is>
          <x:t xml:space="preserve">—</x:t>
        </x:is>
      </x:c>
      <x:c r="I82" s="4" t="inlineStr">
        <x:is>
          <x:t xml:space="preserve">—</x:t>
        </x:is>
      </x:c>
      <x:c r="J82" s="4" t="inlineStr">
        <x:is>
          <x:t xml:space="preserve">ریال منسوب</x:t>
        </x:is>
      </x:c>
      <x:c r="K82" s="4" t="inlineStr">
        <x:is>
          <x:t xml:space="preserve">Closing Power</x:t>
        </x:is>
      </x:c>
      <x:c r="L82" s="4" t="inlineStr">
        <x:is>
          <x:t xml:space="preserve">Channel/Ad/Campaign</x:t>
        </x:is>
      </x:c>
      <x:c r="M82" s="4" t="inlineStr">
        <x:is>
          <x:t xml:space="preserve">GA4 Last-Click + فروش</x:t>
        </x:is>
      </x:c>
      <x:c r="N82" s="4" t="inlineStr">
        <x:is>
          <x:t xml:space="preserve">EVT-13</x:t>
        </x:is>
      </x:c>
      <x:c r="O82" s="4" t="inlineStr">
        <x:is>
          <x:t xml:space="preserve">—</x:t>
        </x:is>
      </x:c>
      <x:c r="P82" s="4" t="inlineStr">
        <x:is>
          <x:t xml:space="preserve">DIM-01,04,07</x:t>
        </x:is>
      </x:c>
      <x:c r="Q82" s="4" t="inlineStr">
        <x:is>
          <x:t xml:space="preserve">روزانه/هفتگی</x:t>
        </x:is>
      </x:c>
      <x:c r="R82" s="4" t="inlineStr">
        <x:is>
          <x:t xml:space="preserve">مهارت هل‌دادن مردد به پرداخت</x:t>
        </x:is>
      </x:c>
      <x:c r="S82" s="4" t="inlineStr">
        <x:is>
          <x:t xml:space="preserve">ناتوانی در نقش Finisher</x:t>
        </x:is>
      </x:c>
      <x:c r="T82" s="4" t="inlineStr">
        <x:is>
          <x:t xml:space="preserve">KPI-80,KPI-82</x:t>
        </x:is>
      </x:c>
      <x:c r="U82" s="4" t="inlineStr">
        <x:is>
          <x:t xml:space="preserve">قطع بودجه آگاهی به بهانه LTA صفر</x:t>
        </x:is>
      </x:c>
      <x:c r="V82" s="4" t="inlineStr">
        <x:is>
          <x:t xml:space="preserve">کوررنگی کامل به تعاملات پیشین</x:t>
        </x:is>
      </x:c>
      <x:c r="W82" s="4" t="inlineStr">
        <x:is>
          <x:t xml:space="preserve">&lt; 50٪ فروش وابسته به ارگانیک/مستقیم</x:t>
        </x:is>
      </x:c>
      <x:c r="X82" s="4" t="inlineStr">
        <x:is>
          <x:t xml:space="preserve">فرض اولیه — نیازمند اعتبارسنجی با داده واقعی Titana</x:t>
        </x:is>
      </x:c>
      <x:c r="Y82" s="4" t="inlineStr">
        <x:is>
          <x:t xml:space="preserve">فقط برای بودجه کوتاه‌مدت ریتارگتینگ</x:t>
        </x:is>
      </x:c>
      <x:c r="Z82" s="17" t="inlineStr">
        <x:is>
          <x:t xml:space="preserve">W6</x:t>
        </x:is>
      </x:c>
      <x:c r="AA82" s="17" t="inlineStr">
        <x:is>
          <x:t xml:space="preserve">High</x:t>
        </x:is>
      </x:c>
      <x:c r="AB82" s="4" t="inlineStr">
        <x:is>
          <x:t xml:space="preserve">Data Scientist</x:t>
        </x:is>
      </x:c>
      <x:c r="AC82" s="4" t="inlineStr">
        <x:is>
          <x:t xml:space="preserve">—</x:t>
        </x:is>
      </x:c>
      <x:c r="AD82" s="30" t="str">
        <x:v>KPI-81</x:v>
      </x:c>
      <x:c r="AE82" s="30" t="str">
        <x:v>Proposed</x:v>
      </x:c>
    </x:row>
    <x:row r="83">
      <x:c r="A83" s="19" t="inlineStr">
        <x:is>
          <x:t xml:space="preserve">KPI-82</x:t>
        </x:is>
      </x:c>
      <x:c r="B83" s="6" t="inlineStr">
        <x:is>
          <x:t xml:space="preserve">Linear Attribution</x:t>
        </x:is>
      </x:c>
      <x:c r="C83" s="6" t="inlineStr">
        <x:is>
          <x:t xml:space="preserve">انتساب خطی</x:t>
        </x:is>
      </x:c>
      <x:c r="D83" s="6" t="inlineStr">
        <x:is>
          <x:t xml:space="preserve">LIN-Attr</x:t>
        </x:is>
      </x:c>
      <x:c r="E83" s="6" t="inlineStr">
        <x:is>
          <x:t xml:space="preserve">انتساب (Attribution)</x:t>
        </x:is>
      </x:c>
      <x:c r="F83" s="6" t="inlineStr">
        <x:is>
          <x:t xml:space="preserve">تقسیم مساوی ارزش میان همه تاچ‌پوینت‌ها</x:t>
        </x:is>
      </x:c>
      <x:c r="G83" s="6" t="inlineStr">
        <x:is>
          <x:t xml:space="preserve">W_i = 1/N</x:t>
        </x:is>
      </x:c>
      <x:c r="H83" s="6" t="inlineStr">
        <x:is>
          <x:t xml:space="preserve">1</x:t>
        </x:is>
      </x:c>
      <x:c r="I83" s="6" t="inlineStr">
        <x:is>
          <x:t xml:space="preserve">N (steps)</x:t>
        </x:is>
      </x:c>
      <x:c r="J83" s="6" t="inlineStr">
        <x:is>
          <x:t xml:space="preserve">ریال کسری</x:t>
        </x:is>
      </x:c>
      <x:c r="K83" s="6" t="inlineStr">
        <x:is>
          <x:t xml:space="preserve">Democratic Share</x:t>
        </x:is>
      </x:c>
      <x:c r="L83" s="6" t="inlineStr">
        <x:is>
          <x:t xml:space="preserve">Channel/Campaign/Creative</x:t>
        </x:is>
      </x:c>
      <x:c r="M83" s="6" t="inlineStr">
        <x:is>
          <x:t xml:space="preserve">ماژول MCA DWH</x:t>
        </x:is>
      </x:c>
      <x:c r="N83" s="6" t="inlineStr">
        <x:is>
          <x:t xml:space="preserve">EVT-01..EVT-13</x:t>
        </x:is>
      </x:c>
      <x:c r="O83" s="6" t="inlineStr">
        <x:is>
          <x:t xml:space="preserve">—</x:t>
        </x:is>
      </x:c>
      <x:c r="P83" s="6" t="inlineStr">
        <x:is>
          <x:t xml:space="preserve">DIM-01,04,08</x:t>
        </x:is>
      </x:c>
      <x:c r="Q83" s="6" t="inlineStr">
        <x:is>
          <x:t xml:space="preserve">ماهانه</x:t>
        </x:is>
      </x:c>
      <x:c r="R83" s="6" t="inlineStr">
        <x:is>
          <x:t xml:space="preserve">نگاه متعادل/حفظ تاچ میانی</x:t>
        </x:is>
      </x:c>
      <x:c r="S83" s="6" t="inlineStr">
        <x:is>
          <x:t xml:space="preserve">افت سهم تک‌لمسی‌ها</x:t>
        </x:is>
      </x:c>
      <x:c r="T83" s="6" t="inlineStr">
        <x:is>
          <x:t xml:space="preserve">KPI-80,KPI-81</x:t>
        </x:is>
      </x:c>
      <x:c r="U83" s="6" t="inlineStr">
        <x:is>
          <x:t xml:space="preserve">برابری ایمپرشن با تماس ۴۰ دقیقه‌ای</x:t>
        </x:is>
      </x:c>
      <x:c r="V83" s="6" t="inlineStr">
        <x:is>
          <x:t xml:space="preserve">فاقد هوشمندی تأثیر</x:t>
        </x:is>
      </x:c>
      <x:c r="W83" s="6" t="inlineStr">
        <x:is>
          <x:t xml:space="preserve">سناریوی پایه برای هم‌افزایی</x:t>
        </x:is>
      </x:c>
      <x:c r="X83" s="6" t="inlineStr">
        <x:is>
          <x:t xml:space="preserve">فرض اولیه — نیازمند اعتبارسنجی با داده واقعی Titana</x:t>
        </x:is>
      </x:c>
      <x:c r="Y83" s="6" t="inlineStr">
        <x:is>
          <x:t xml:space="preserve">ارزیابی هم‌افزایی روابط عمومی + ادز</x:t>
        </x:is>
      </x:c>
      <x:c r="Z83" s="19" t="inlineStr">
        <x:is>
          <x:t xml:space="preserve">W6</x:t>
        </x:is>
      </x:c>
      <x:c r="AA83" s="19" t="inlineStr">
        <x:is>
          <x:t xml:space="preserve">Medium</x:t>
        </x:is>
      </x:c>
      <x:c r="AB83" s="6" t="inlineStr">
        <x:is>
          <x:t xml:space="preserve">Data Scientist</x:t>
        </x:is>
      </x:c>
      <x:c r="AC83" s="6" t="inlineStr">
        <x:is>
          <x:t xml:space="preserve">—</x:t>
        </x:is>
      </x:c>
      <x:c r="AD83" s="30" t="str">
        <x:v>KPI-82</x:v>
      </x:c>
      <x:c r="AE83" s="30" t="str">
        <x:v>Proposed</x:v>
      </x:c>
    </x:row>
    <x:row r="84">
      <x:c r="A84" s="17" t="inlineStr">
        <x:is>
          <x:t xml:space="preserve">KPI-83</x:t>
        </x:is>
      </x:c>
      <x:c r="B84" s="4" t="inlineStr">
        <x:is>
          <x:t xml:space="preserve">Time-Decay Attribution</x:t>
        </x:is>
      </x:c>
      <x:c r="C84" s="4" t="inlineStr">
        <x:is>
          <x:t xml:space="preserve">انتساب زوال زمانی</x:t>
        </x:is>
      </x:c>
      <x:c r="D84" s="4" t="inlineStr">
        <x:is>
          <x:t xml:space="preserve">TD-Attr</x:t>
        </x:is>
      </x:c>
      <x:c r="E84" s="4" t="inlineStr">
        <x:is>
          <x:t xml:space="preserve">انتساب (Attribution)</x:t>
        </x:is>
      </x:c>
      <x:c r="F84" s="4" t="inlineStr">
        <x:is>
          <x:t xml:space="preserve">وزن تصاعدی برای تاچ‌های نزدیک خرید</x:t>
        </x:is>
      </x:c>
      <x:c r="G84" s="4" t="inlineStr">
        <x:is>
          <x:t xml:space="preserve">W(t) = 2^(−Δt/λ), λ=7d</x:t>
        </x:is>
      </x:c>
      <x:c r="H84" s="4" t="inlineStr">
        <x:is>
          <x:t xml:space="preserve">—</x:t>
        </x:is>
      </x:c>
      <x:c r="I84" s="4" t="inlineStr">
        <x:is>
          <x:t xml:space="preserve">—</x:t>
        </x:is>
      </x:c>
      <x:c r="J84" s="4" t="inlineStr">
        <x:is>
          <x:t xml:space="preserve">ریال کسری</x:t>
        </x:is>
      </x:c>
      <x:c r="K84" s="4" t="inlineStr">
        <x:is>
          <x:t xml:space="preserve">Temporal Weighting</x:t>
        </x:is>
      </x:c>
      <x:c r="L84" s="4" t="inlineStr">
        <x:is>
          <x:t xml:space="preserve">Channel/Campaign/Keyword</x:t>
        </x:is>
      </x:c>
      <x:c r="M84" s="4" t="inlineStr">
        <x:is>
          <x:t xml:space="preserve">BigQuery MTA pipeline</x:t>
        </x:is>
      </x:c>
      <x:c r="N84" s="4" t="inlineStr">
        <x:is>
          <x:t xml:space="preserve">EVT-01..EVT-13</x:t>
        </x:is>
      </x:c>
      <x:c r="O84" s="4" t="inlineStr">
        <x:is>
          <x:t xml:space="preserve">—</x:t>
        </x:is>
      </x:c>
      <x:c r="P84" s="4" t="inlineStr">
        <x:is>
          <x:t xml:space="preserve">DIM-01,04,12</x:t>
        </x:is>
      </x:c>
      <x:c r="Q84" s="4" t="inlineStr">
        <x:is>
          <x:t xml:space="preserve">ماهانه/فصلی</x:t>
        </x:is>
      </x:c>
      <x:c r="R84" s="4" t="inlineStr">
        <x:is>
          <x:t xml:space="preserve">پاداش تسریع‌کننده‌ها</x:t>
        </x:is>
      </x:c>
      <x:c r="S84" s="4" t="inlineStr">
        <x:is>
          <x:t xml:space="preserve">افت ارزش آغازگرهای چند هفته پیش</x:t>
        </x:is>
      </x:c>
      <x:c r="T84" s="4" t="inlineStr">
        <x:is>
          <x:t xml:space="preserve">KPI-80,KPI-84</x:t>
        </x:is>
      </x:c>
      <x:c r="U84" s="4" t="inlineStr">
        <x:is>
          <x:t xml:space="preserve">نیمه‌عمر کوتاه برای گران‌قیمت‌ها ≈ LTA</x:t>
        </x:is>
      </x:c>
      <x:c r="V84" s="4" t="inlineStr">
        <x:is>
          <x:t xml:space="preserve">نادیده‌گرفتن جرقه اولیه</x:t>
        </x:is>
      </x:c>
      <x:c r="W84" s="4" t="inlineStr">
        <x:is>
          <x:t xml:space="preserve">λ=7d مواد | 21d تجهیزات</x:t>
        </x:is>
      </x:c>
      <x:c r="X84" s="4" t="inlineStr">
        <x:is>
          <x:t xml:space="preserve">فرض اولیه — نیازمند اعتبارسنجی با داده واقعی Titana</x:t>
        </x:is>
      </x:c>
      <x:c r="Y84" s="4" t="inlineStr">
        <x:is>
          <x:t xml:space="preserve">بهینه‌سازی ریتارگتینگ در ۷ روز آخر</x:t>
        </x:is>
      </x:c>
      <x:c r="Z84" s="17" t="inlineStr">
        <x:is>
          <x:t xml:space="preserve">W6</x:t>
        </x:is>
      </x:c>
      <x:c r="AA84" s="17" t="inlineStr">
        <x:is>
          <x:t xml:space="preserve">Medium</x:t>
        </x:is>
      </x:c>
      <x:c r="AB84" s="4" t="inlineStr">
        <x:is>
          <x:t xml:space="preserve">Data Scientist</x:t>
        </x:is>
      </x:c>
      <x:c r="AC84" s="4" t="inlineStr">
        <x:is>
          <x:t xml:space="preserve">—</x:t>
        </x:is>
      </x:c>
      <x:c r="AD84" s="30" t="str">
        <x:v>KPI-83</x:v>
      </x:c>
      <x:c r="AE84" s="30" t="str">
        <x:v>Proposed</x:v>
      </x:c>
    </x:row>
    <x:row r="85">
      <x:c r="A85" s="19" t="inlineStr">
        <x:is>
          <x:t xml:space="preserve">KPI-84</x:t>
        </x:is>
      </x:c>
      <x:c r="B85" s="6" t="inlineStr">
        <x:is>
          <x:t xml:space="preserve">Position-Based Attribution</x:t>
        </x:is>
      </x:c>
      <x:c r="C85" s="6" t="inlineStr">
        <x:is>
          <x:t xml:space="preserve">انتساب جایگاهی (U-شکل)</x:t>
        </x:is>
      </x:c>
      <x:c r="D85" s="6" t="inlineStr">
        <x:is>
          <x:t xml:space="preserve">Pos-Attr</x:t>
        </x:is>
      </x:c>
      <x:c r="E85" s="6" t="inlineStr">
        <x:is>
          <x:t xml:space="preserve">انتساب (Attribution)</x:t>
        </x:is>
      </x:c>
      <x:c r="F85" s="6" t="inlineStr">
        <x:is>
          <x:t xml:space="preserve">۴۰٪ اول + ۴۰٪ آخر + ۲۰٪ میانی</x:t>
        </x:is>
      </x:c>
      <x:c r="G85" s="6" t="inlineStr">
        <x:is>
          <x:t xml:space="preserve">W_First=0.40, W_Last=0.40, W_Middle=0.20/(N−2)</x:t>
        </x:is>
      </x:c>
      <x:c r="H85" s="6" t="inlineStr">
        <x:is>
          <x:t xml:space="preserve">—</x:t>
        </x:is>
      </x:c>
      <x:c r="I85" s="6" t="inlineStr">
        <x:is>
          <x:t xml:space="preserve">—</x:t>
        </x:is>
      </x:c>
      <x:c r="J85" s="6" t="inlineStr">
        <x:is>
          <x:t xml:space="preserve">ریال کسری</x:t>
        </x:is>
      </x:c>
      <x:c r="K85" s="6" t="inlineStr">
        <x:is>
          <x:t xml:space="preserve">Bipolar Structure</x:t>
        </x:is>
      </x:c>
      <x:c r="L85" s="6" t="inlineStr">
        <x:is>
          <x:t xml:space="preserve">Channel/Campaign/LandingPage</x:t>
        </x:is>
      </x:c>
      <x:c r="M85" s="6" t="inlineStr">
        <x:is>
          <x:t xml:space="preserve">موتور MCA DWH</x:t>
        </x:is>
      </x:c>
      <x:c r="N85" s="6" t="inlineStr">
        <x:is>
          <x:t xml:space="preserve">EVT-01..EVT-13</x:t>
        </x:is>
      </x:c>
      <x:c r="O85" s="6" t="inlineStr">
        <x:is>
          <x:t xml:space="preserve">—</x:t>
        </x:is>
      </x:c>
      <x:c r="P85" s="6" t="inlineStr">
        <x:is>
          <x:t xml:space="preserve">DIM-01,04,15</x:t>
        </x:is>
      </x:c>
      <x:c r="Q85" s="6" t="inlineStr">
        <x:is>
          <x:t xml:space="preserve">ماهانه/فصلی</x:t>
        </x:is>
      </x:c>
      <x:c r="R85" s="6" t="inlineStr">
        <x:is>
          <x:t xml:space="preserve">ارج نهادن به جذب + نهایی‌سازی</x:t>
        </x:is>
      </x:c>
      <x:c r="S85" s="6" t="inlineStr">
        <x:is>
          <x:t xml:space="preserve">افت نسبی میانی‌ها در مسیر طولانی</x:t>
        </x:is>
      </x:c>
      <x:c r="T85" s="6" t="inlineStr">
        <x:is>
          <x:t xml:space="preserve">KPI-80,KPI-81</x:t>
        </x:is>
      </x:c>
      <x:c r="U85" s="6" t="inlineStr">
        <x:is>
          <x:t xml:space="preserve">مسیر ۱-۲ گامی نیاز به ۵۰/۵۰</x:t>
        </x:is>
      </x:c>
      <x:c r="V85" s="6" t="inlineStr">
        <x:is>
          <x:t xml:space="preserve">وزن‌ها بدون اثبات آماری تک‌محصولی</x:t>
        </x:is>
      </x:c>
      <x:c r="W85" s="6" t="inlineStr">
        <x:is>
          <x:t xml:space="preserve">همگرایی منطقی با DDA</x:t>
        </x:is>
      </x:c>
      <x:c r="X85" s="6" t="inlineStr">
        <x:is>
          <x:t xml:space="preserve">فرض اولیه — نیازمند اعتبارسنجی با داده واقعی Titana</x:t>
        </x:is>
      </x:c>
      <x:c r="Y85" s="6" t="inlineStr">
        <x:is>
          <x:t xml:space="preserve">مدل رسمی گزارش به مدیرعامل</x:t>
        </x:is>
      </x:c>
      <x:c r="Z85" s="19" t="inlineStr">
        <x:is>
          <x:t xml:space="preserve">W6</x:t>
        </x:is>
      </x:c>
      <x:c r="AA85" s="19" t="inlineStr">
        <x:is>
          <x:t xml:space="preserve">Medium</x:t>
        </x:is>
      </x:c>
      <x:c r="AB85" s="6" t="inlineStr">
        <x:is>
          <x:t xml:space="preserve">Data Scientist</x:t>
        </x:is>
      </x:c>
      <x:c r="AC85" s="6" t="inlineStr">
        <x:is>
          <x:t xml:space="preserve">—</x:t>
        </x:is>
      </x:c>
      <x:c r="AD85" s="30" t="str">
        <x:v>KPI-84</x:v>
      </x:c>
      <x:c r="AE85" s="30" t="str">
        <x:v>Proposed</x:v>
      </x:c>
    </x:row>
    <x:row r="86">
      <x:c r="A86" s="17" t="inlineStr">
        <x:is>
          <x:t xml:space="preserve">KPI-85</x:t>
        </x:is>
      </x:c>
      <x:c r="B86" s="4" t="inlineStr">
        <x:is>
          <x:t xml:space="preserve">Data-Driven Attribution</x:t>
        </x:is>
      </x:c>
      <x:c r="C86" s="4" t="inlineStr">
        <x:is>
          <x:t xml:space="preserve">انتساب داده‌محور الگوریتمی</x:t>
        </x:is>
      </x:c>
      <x:c r="D86" s="4" t="inlineStr">
        <x:is>
          <x:t xml:space="preserve">DDA</x:t>
        </x:is>
      </x:c>
      <x:c r="E86" s="4" t="inlineStr">
        <x:is>
          <x:t xml:space="preserve">انتساب (Attribution)</x:t>
        </x:is>
      </x:c>
      <x:c r="F86" s="4" t="inlineStr">
        <x:is>
          <x:t xml:space="preserve">سهم واقعی هر تاچ با Shapley (تبدیل‌شده vs نشده)</x:t>
        </x:is>
      </x:c>
      <x:c r="G86" s="4" t="inlineStr">
        <x:is>
          <x:t xml:space="preserve">φ_i(v) = Σ S⊆N\{i} [w(S)·(v(S∪i)−v(S))]</x:t>
        </x:is>
      </x:c>
      <x:c r="H86" s="4" t="inlineStr">
        <x:is>
          <x:t xml:space="preserve">—</x:t>
        </x:is>
      </x:c>
      <x:c r="I86" s="4" t="inlineStr">
        <x:is>
          <x:t xml:space="preserve">—</x:t>
        </x:is>
      </x:c>
      <x:c r="J86" s="4" t="inlineStr">
        <x:is>
          <x:t xml:space="preserve">ریال/٪ سهم</x:t>
        </x:is>
      </x:c>
      <x:c r="K86" s="4" t="inlineStr">
        <x:is>
          <x:t xml:space="preserve">Algorithmic Purity</x:t>
        </x:is>
      </x:c>
      <x:c r="L86" s="4" t="inlineStr">
        <x:is>
          <x:t xml:space="preserve">Touchpoint/AdSet/Keyword/Channel</x:t>
        </x:is>
      </x:c>
      <x:c r="M86" s="4" t="inlineStr">
        <x:is>
          <x:t xml:space="preserve">BigQuery Raw + GA4 DDA</x:t>
        </x:is>
      </x:c>
      <x:c r="N86" s="4" t="inlineStr">
        <x:is>
          <x:t xml:space="preserve">EVT-01..EVT-13</x:t>
        </x:is>
      </x:c>
      <x:c r="O86" s="4" t="inlineStr">
        <x:is>
          <x:t xml:space="preserve">—</x:t>
        </x:is>
      </x:c>
      <x:c r="P86" s="4" t="inlineStr">
        <x:is>
          <x:t xml:space="preserve">DIM-01,04,12,08</x:t>
        </x:is>
      </x:c>
      <x:c r="Q86" s="4" t="inlineStr">
        <x:is>
          <x:t xml:space="preserve">هفتگی/ماهانه</x:t>
        </x:is>
      </x:c>
      <x:c r="R86" s="4" t="inlineStr">
        <x:is>
          <x:t xml:space="preserve">اثبات ریاضی اثر رسانه</x:t>
        </x:is>
      </x:c>
      <x:c r="S86" s="4" t="inlineStr">
        <x:is>
          <x:t xml:space="preserve">حضور تزئینی بدون ارزش افزوده</x:t>
        </x:is>
      </x:c>
      <x:c r="T86" s="4" t="inlineStr">
        <x:is>
          <x:t xml:space="preserve">KPI-80..KPI-84</x:t>
        </x:is>
      </x:c>
      <x:c r="U86" s="4" t="inlineStr">
        <x:is>
          <x:t xml:space="preserve">اجرا با حجم کم = خطای تصادفی شدید</x:t>
        </x:is>
      </x:c>
      <x:c r="V86" s="4" t="inlineStr">
        <x:is>
          <x:t xml:space="preserve">Black-box برای مدیران</x:t>
        </x:is>
      </x:c>
      <x:c r="W86" s="4" t="inlineStr">
        <x:is>
          <x:t xml:space="preserve">مدل پیش‌فرض تصمیمات کلان فاز ۳</x:t>
        </x:is>
      </x:c>
      <x:c r="X86" s="4" t="inlineStr">
        <x:is>
          <x:t xml:space="preserve">فرض اولیه — نیازمند اعتبارسنجی با داده واقعی Titana</x:t>
        </x:is>
      </x:c>
      <x:c r="Y86" s="4" t="inlineStr">
        <x:is>
          <x:t xml:space="preserve">اتصال اوزان به مزایده گوگل + بودجه‌ریزی</x:t>
        </x:is>
      </x:c>
      <x:c r="Z86" s="17" t="inlineStr">
        <x:is>
          <x:t xml:space="preserve">W6</x:t>
        </x:is>
      </x:c>
      <x:c r="AA86" s="17" t="inlineStr">
        <x:is>
          <x:t xml:space="preserve">Critical</x:t>
        </x:is>
      </x:c>
      <x:c r="AB86" s="4" t="inlineStr">
        <x:is>
          <x:t xml:space="preserve">Data Scientist</x:t>
        </x:is>
      </x:c>
      <x:c r="AC86" s="4" t="inlineStr">
        <x:is>
          <x:t xml:space="preserve">ثبات وزن‌ها در بازه‌های ماهانه</x:t>
        </x:is>
      </x:c>
      <x:c r="AD86" s="30" t="str">
        <x:v>KPI-85</x:v>
      </x:c>
      <x:c r="AE86" s="30" t="str">
        <x:v>Proposed</x:v>
      </x:c>
    </x:row>
  </x:sheetData>
  <x:conditionalFormatting sqref="Z2:Z86">
    <x:cfRule type="cellIs" dxfId="0" priority="1" operator="equal">
      <x:formula>"Critical"</x:formula>
    </x:cfRule>
    <x:cfRule type="cellIs" dxfId="1" priority="2" operator="equal">
      <x:formula>"High"</x:formula>
    </x:cfRule>
    <x:cfRule type="cellIs" dxfId="2" priority="3" operator="equal">
      <x:formula>"Medium"</x:formula>
    </x:cfRule>
    <x:cfRule type="cellIs" dxfId="3" priority="4" operator="equal">
      <x:formula>"Low"</x:formula>
    </x:cfRule>
  </x:conditionalFormatting>
  <x:conditionalFormatting sqref="X2:X86">
    <x:cfRule type="expression" dxfId="7" priority="5">
      <x:formula>ISNUMBER(SEARCH("فرض",X2))</x:formula>
    </x:cfRule>
  </x:conditionalFormatting>
  <x:dataValidations count="5">
    <x:dataValidation type="list" allowBlank="1" showDropDown="0" showInputMessage="0" showErrorMessage="1" errorTitle="مقدار نامعتبر" error="مقدار از لیست مجاز انتخاب شود" promptTitle="فهرست" prompt="از فهرست کشویی انتخاب کنید" sqref="Z2:Z86">
      <x:formula1>=_LISTS!$B$2:$B$5</x:formula1>
    </x:dataValidation>
    <x:dataValidation type="list" allowBlank="1" showDropDown="0" showInputMessage="0" showErrorMessage="1" errorTitle="مقدار نامعتبر" error="مقدار از لیست مجاز انتخاب شود" promptTitle="فهرست" prompt="از فهرست کشویی انتخاب کنید" sqref="Y2:Y86">
      <x:formula1>=_LISTS!$A$2:$A$8</x:formula1>
    </x:dataValidation>
    <x:dataValidation type="list" allowBlank="1" showDropDown="0" showInputMessage="0" showErrorMessage="1" errorTitle="مقدار نامعتبر" error="مقدار از لیست مجاز انتخاب شود" promptTitle="فهرست" prompt="از فهرست کشویی انتخاب کنید" sqref="AB2:AB86">
      <x:formula1>=_LISTS!$D$2:$D$16</x:formula1>
    </x:dataValidation>
    <x:dataValidation type="list" allowBlank="1" showDropDown="0" showInputMessage="0" showErrorMessage="1" errorTitle="مقدار نامعتبر" error="مقدار از لیست مجاز انتخاب شود" promptTitle="فهرست" prompt="از فهرست کشویی انتخاب کنید" sqref="E2:E86">
      <x:formula1>=_LISTS!$L$2:$L$15</x:formula1>
    </x:dataValidation>
    <x:dataValidation type="list" sqref="AE2:AE86">
      <x:formula1>"Proposed,Ready,In Progress,Implemented,Tested,Blocked"</x:formula1>
    </x:dataValidation>
  </x:dataValidations>
  <x:pageMargins left="0.7" right="0.7" top="0.75" bottom="0.75" header="0.3" footer="0.3"/>
  <x:tableParts count="2">
    <x:tablePart xmlns:r="http://schemas.openxmlformats.org/officeDocument/2006/relationships" r:id="R3e150c7cf1964e73"/>
    <x:tablePart xmlns:r="http://schemas.openxmlformats.org/officeDocument/2006/relationships" r:id="R88e9abab04bc4ff1"/>
  </x:tableParts>
</x:worksheet>
</file>

<file path=xl/worksheets/sheet9.xml><?xml version="1.0" encoding="utf-8"?>
<x:worksheet xmlns:x="http://schemas.openxmlformats.org/spreadsheetml/2006/main">
  <x:sheetPr>
    <x:tabColor rgb="FF1F4E78"/>
  </x:sheetPr>
  <x:sheetViews>
    <x:sheetView workbookViewId="0">
      <x:pane xSplit="3" ySplit="1" topLeftCell="D2" activePane="bottomRight" state="frozen"/>
    </x:sheetView>
  </x:sheetViews>
  <x:sheetFormatPr baseColWidth="8" defaultRowHeight="15"/>
  <x:cols>
    <x:col min="1" max="1" width="9" customWidth="1"/>
    <x:col min="2" max="2" width="16" customWidth="1"/>
    <x:col min="3" max="3" width="28" customWidth="1"/>
    <x:col min="4" max="4" width="40" customWidth="1"/>
    <x:col min="5" max="5" width="16" customWidth="1"/>
    <x:col min="6" max="6" width="12" customWidth="1"/>
    <x:col min="7" max="7" width="14" customWidth="1"/>
    <x:col min="8" max="8" width="24" customWidth="1"/>
    <x:col min="9" max="9" width="16" customWidth="1"/>
    <x:col min="10" max="10" width="24" customWidth="1"/>
    <x:col min="11" max="11" width="34" customWidth="1"/>
    <x:col min="12" max="12" width="28" customWidth="1"/>
    <x:col min="13" max="13" width="30" customWidth="1"/>
    <x:col min="14" max="14" width="18" hidden="0" customWidth="1"/>
    <x:col min="15" max="15" width="18" hidden="0" customWidth="1"/>
    <x:col min="16" max="16" width="18" hidden="0" customWidth="1"/>
    <x:col min="17" max="17" width="18" hidden="0" customWidth="1"/>
    <x:col min="18" max="18" width="24" hidden="0" customWidth="1"/>
    <x:col min="19" max="19" width="28" hidden="0" customWidth="1"/>
    <x:col min="20" max="20" width="18" hidden="0" customWidth="1"/>
    <x:col min="21" max="21" width="18" hidden="0" customWidth="1"/>
    <x:col min="22" max="22" width="18" hidden="0" customWidth="1"/>
    <x:col min="23" max="23" width="18" hidden="0" customWidth="1"/>
    <x:col min="24" max="24" width="18" hidden="0" customWidth="1"/>
  </x:cols>
  <x:sheetData>
    <x:row r="1" ht="30" customHeight="1">
      <x:c r="A1" s="5" t="inlineStr">
        <x:is>
          <x:t xml:space="preserve">Field_ID</x:t>
        </x:is>
      </x:c>
      <x:c r="B1" s="5" t="inlineStr">
        <x:is>
          <x:t xml:space="preserve">Entity</x:t>
        </x:is>
      </x:c>
      <x:c r="C1" s="5" t="inlineStr">
        <x:is>
          <x:t xml:space="preserve">Field_Name_EN</x:t>
        </x:is>
      </x:c>
      <x:c r="D1" s="5" t="inlineStr">
        <x:is>
          <x:t xml:space="preserve">Definition_FA</x:t>
        </x:is>
      </x:c>
      <x:c r="E1" s="5" t="inlineStr">
        <x:is>
          <x:t xml:space="preserve">Data_Type</x:t>
        </x:is>
      </x:c>
      <x:c r="F1" s="5" t="inlineStr">
        <x:is>
          <x:t xml:space="preserve">Data_Level</x:t>
        </x:is>
      </x:c>
      <x:c r="G1" s="5" t="inlineStr">
        <x:is>
          <x:t xml:space="preserve">Required</x:t>
        </x:is>
      </x:c>
      <x:c r="H1" s="5" t="inlineStr">
        <x:is>
          <x:t xml:space="preserve">Source_System</x:t>
        </x:is>
      </x:c>
      <x:c r="I1" s="5" t="inlineStr">
        <x:is>
          <x:t xml:space="preserve">Refresh_Frequency</x:t>
        </x:is>
      </x:c>
      <x:c r="J1" s="5" t="inlineStr">
        <x:is>
          <x:t xml:space="preserve">Join_Key</x:t>
        </x:is>
      </x:c>
      <x:c r="K1" s="5" t="inlineStr">
        <x:is>
          <x:t xml:space="preserve">Analytical_Use_FA</x:t>
        </x:is>
      </x:c>
      <x:c r="L1" s="5" t="inlineStr">
        <x:is>
          <x:t xml:space="preserve">Privacy_Security_FA</x:t>
        </x:is>
      </x:c>
      <x:c r="M1" s="5" t="inlineStr">
        <x:is>
          <x:t xml:space="preserve">Expected_Quality_FA</x:t>
        </x:is>
      </x:c>
      <x:c r="N1" s="27" t="str">
        <x:v>Field_ID_Link</x:v>
      </x:c>
      <x:c r="O1" s="27" t="str">
        <x:v>Primary_Key_Flag</x:v>
      </x:c>
      <x:c r="P1" s="27" t="str">
        <x:v>Foreign_Key_Flag</x:v>
      </x:c>
      <x:c r="Q1" s="27" t="str">
        <x:v>Source_Table</x:v>
      </x:c>
      <x:c r="R1" s="27" t="str">
        <x:v>Destination_Table</x:v>
      </x:c>
      <x:c r="S1" s="27" t="str">
        <x:v>Transformation_Rule</x:v>
      </x:c>
      <x:c r="T1" s="27" t="str">
        <x:v>Historical_Depth</x:v>
      </x:c>
      <x:c r="U1" s="27" t="str">
        <x:v>Retention_Policy</x:v>
      </x:c>
      <x:c r="V1" s="27" t="str">
        <x:v>Used_By_KPIs</x:v>
      </x:c>
      <x:c r="W1" s="27" t="str">
        <x:v>Owner</x:v>
      </x:c>
      <x:c r="X1" s="27" t="str">
        <x:v>Status</x:v>
      </x:c>
    </x:row>
    <x:row r="2">
      <x:c r="A2" s="17" t="inlineStr">
        <x:is>
          <x:t xml:space="preserve">FLD-001</x:t>
        </x:is>
      </x:c>
      <x:c r="B2" s="4" t="inlineStr">
        <x:is>
          <x:t xml:space="preserve">Customer</x:t>
        </x:is>
      </x:c>
      <x:c r="C2" s="4" t="inlineStr">
        <x:is>
          <x:t xml:space="preserve">master_customer_id</x:t>
        </x:is>
      </x:c>
      <x:c r="D2" s="4" t="inlineStr">
        <x:is>
          <x:t xml:space="preserve">شناسه یکتا و پایدار دندان‌پزشک یا مرکز درمانی در کل سازمان</x:t>
        </x:is>
      </x:c>
      <x:c r="E2" s="4" t="inlineStr">
        <x:is>
          <x:t xml:space="preserve">UUID / String</x:t>
        </x:is>
      </x:c>
      <x:c r="F2" s="4" t="inlineStr">
        <x:is>
          <x:t xml:space="preserve">Customer</x:t>
        </x:is>
      </x:c>
      <x:c r="G2" s="17" t="inlineStr">
        <x:is>
          <x:t xml:space="preserve">اجباری</x:t>
        </x:is>
      </x:c>
      <x:c r="H2" s="4" t="inlineStr">
        <x:is>
          <x:t xml:space="preserve">DWH Identity Engine</x:t>
        </x:is>
      </x:c>
      <x:c r="I2" s="4" t="inlineStr">
        <x:is>
          <x:t xml:space="preserve">لحظه‌ای</x:t>
        </x:is>
      </x:c>
      <x:c r="J2" s="4" t="inlineStr">
        <x:is>
          <x:t xml:space="preserve">Primary Key</x:t>
        </x:is>
      </x:c>
      <x:c r="K2" s="4" t="inlineStr">
        <x:is>
          <x:t xml:space="preserve">اتصال سفارشات، وب‌سایت، CRM و تماس‌ها</x:t>
        </x:is>
      </x:c>
      <x:c r="L2" s="4" t="inlineStr">
        <x:is>
          <x:t xml:space="preserve">شناسه بدون معنا (فاقد ریسک PII مستقیم)</x:t>
        </x:is>
      </x:c>
      <x:c r="M2" s="4" t="inlineStr">
        <x:is>
          <x:t xml:space="preserve">یکتایی ۱۰۰٪ بدون مقدار Null</x:t>
        </x:is>
      </x:c>
      <x:c r="N2" s="30" t="str">
        <x:v>FLD-001</x:v>
      </x:c>
      <x:c r="O2" s="30" t="str">
        <x:v>Needs validation</x:v>
      </x:c>
      <x:c r="P2" s="30" t="str">
        <x:v>Yes</x:v>
      </x:c>
      <x:c r="Q2" s="30" t="str">
        <x:v>DWH Identity Engine</x:v>
      </x:c>
      <x:c r="R2" s="30" t="str">
        <x:v>dim_or_fact_customer</x:v>
      </x:c>
      <x:c r="S2" s="30" t="str">
        <x:v>نیازمند تکمیل و تأیید مالک</x:v>
      </x:c>
      <x:c r="T2" s="30" t="str">
        <x:v>نیازمند تکمیل و تأیید مالک</x:v>
      </x:c>
      <x:c r="U2" s="30" t="str">
        <x:v>نیازمند تکمیل و تأیید مالک</x:v>
      </x:c>
      <x:c r="V2" s="30" t="str">
        <x:v>نیازمند تکمیل و تأیید مالک</x:v>
      </x:c>
      <x:c r="W2" s="30" t="str">
        <x:v>Data Engineer</x:v>
      </x:c>
      <x:c r="X2" s="30" t="str">
        <x:v>Proposed</x:v>
      </x:c>
    </x:row>
    <x:row r="3">
      <x:c r="A3" s="19" t="inlineStr">
        <x:is>
          <x:t xml:space="preserve">FLD-002</x:t>
        </x:is>
      </x:c>
      <x:c r="B3" s="6" t="inlineStr">
        <x:is>
          <x:t xml:space="preserve">Customer</x:t>
        </x:is>
      </x:c>
      <x:c r="C3" s="6" t="inlineStr">
        <x:is>
          <x:t xml:space="preserve">medical_council_id</x:t>
        </x:is>
      </x:c>
      <x:c r="D3" s="6" t="inlineStr">
        <x:is>
          <x:t xml:space="preserve">شماره نظام پزشکی رسمی دندان‌پزشک جهت احراز هویت</x:t>
        </x:is>
      </x:c>
      <x:c r="E3" s="6" t="inlineStr">
        <x:is>
          <x:t xml:space="preserve">String (Numeric)</x:t>
        </x:is>
      </x:c>
      <x:c r="F3" s="6" t="inlineStr">
        <x:is>
          <x:t xml:space="preserve">Customer</x:t>
        </x:is>
      </x:c>
      <x:c r="G3" s="19" t="inlineStr">
        <x:is>
          <x:t xml:space="preserve">اجباری (B2B)</x:t>
        </x:is>
      </x:c>
      <x:c r="H3" s="6" t="inlineStr">
        <x:is>
          <x:t xml:space="preserve">فرم ثبت‌نام / وب‌سرویس نظام پزشکی</x:t>
        </x:is>
      </x:c>
      <x:c r="I3" s="6" t="inlineStr">
        <x:is>
          <x:t xml:space="preserve">یک‌بار در ثبت‌نام</x:t>
        </x:is>
      </x:c>
      <x:c r="J3" s="6" t="inlineStr">
        <x:is>
          <x:t xml:space="preserve">Foreign Key to Medical Council</x:t>
        </x:is>
      </x:c>
      <x:c r="K3" s="6" t="inlineStr">
        <x:is>
          <x:t xml:space="preserve">تفکیک دندان‌پزشک واقعی از عموم؛ فیلتر MQL</x:t>
        </x:is>
      </x:c>
      <x:c r="L3" s="6" t="inlineStr">
        <x:is>
          <x:t xml:space="preserve">داده حساس صنفی؛ نیازمند رمزنگاری</x:t>
        </x:is>
      </x:c>
      <x:c r="M3" s="6" t="inlineStr">
        <x:is>
          <x:t xml:space="preserve">تطبیق با الگوریتم اعتبارسنجی ارقام نظام</x:t>
        </x:is>
      </x:c>
      <x:c r="N3" s="30" t="str">
        <x:v>FLD-002</x:v>
      </x:c>
      <x:c r="O3" s="30" t="str">
        <x:v>Needs validation</x:v>
      </x:c>
      <x:c r="P3" s="30" t="str">
        <x:v>Yes</x:v>
      </x:c>
      <x:c r="Q3" s="30" t="str">
        <x:v>فرم ثبت‌نام / وب‌سرویس نظام پزشکی</x:v>
      </x:c>
      <x:c r="R3" s="30" t="str">
        <x:v>dim_or_fact_customer</x:v>
      </x:c>
      <x:c r="S3" s="30" t="str">
        <x:v>نیازمند تکمیل و تأیید مالک</x:v>
      </x:c>
      <x:c r="T3" s="30" t="str">
        <x:v>نیازمند تکمیل و تأیید مالک</x:v>
      </x:c>
      <x:c r="U3" s="30" t="str">
        <x:v>نیازمند تکمیل و تأیید مالک</x:v>
      </x:c>
      <x:c r="V3" s="30" t="str">
        <x:v>نیازمند تکمیل و تأیید مالک</x:v>
      </x:c>
      <x:c r="W3" s="30" t="str">
        <x:v>Data Engineer</x:v>
      </x:c>
      <x:c r="X3" s="30" t="str">
        <x:v>Proposed</x:v>
      </x:c>
    </x:row>
    <x:row r="4">
      <x:c r="A4" s="17" t="inlineStr">
        <x:is>
          <x:t xml:space="preserve">FLD-003</x:t>
        </x:is>
      </x:c>
      <x:c r="B4" s="4" t="inlineStr">
        <x:is>
          <x:t xml:space="preserve">Customer</x:t>
        </x:is>
      </x:c>
      <x:c r="C4" s="4" t="inlineStr">
        <x:is>
          <x:t xml:space="preserve">customer_specialty_board</x:t>
        </x:is>
      </x:c>
      <x:c r="D4" s="4" t="inlineStr">
        <x:is>
          <x:t xml:space="preserve">بورد تخصصی دندان‌پزشک (جراحی، ارتودنسی، ترمیمی، اندودانتیکس، اطفال)</x:t>
        </x:is>
      </x:c>
      <x:c r="E4" s="4" t="inlineStr">
        <x:is>
          <x:t xml:space="preserve">Enum</x:t>
        </x:is>
      </x:c>
      <x:c r="F4" s="4" t="inlineStr">
        <x:is>
          <x:t xml:space="preserve">Customer</x:t>
        </x:is>
      </x:c>
      <x:c r="G4" s="17" t="inlineStr">
        <x:is>
          <x:t xml:space="preserve">اجباری (B2B)</x:t>
        </x:is>
      </x:c>
      <x:c r="H4" s="4" t="inlineStr">
        <x:is>
          <x:t xml:space="preserve">استعلام سازمان نظام پزشکی / فرم ثبت‌نام</x:t>
        </x:is>
      </x:c>
      <x:c r="I4" s="4" t="inlineStr">
        <x:is>
          <x:t xml:space="preserve">ماهانه</x:t>
        </x:is>
      </x:c>
      <x:c r="J4" s="4" t="inlineStr">
        <x:is>
          <x:t xml:space="preserve">Attribute</x:t>
        </x:is>
      </x:c>
      <x:c r="K4" s="4" t="inlineStr">
        <x:is>
          <x:t xml:space="preserve">بخش‌بندی تخصصی کاتالوگ و هدف‌گیری ادز مرتبط</x:t>
        </x:is>
      </x:c>
      <x:c r="L4" s="4" t="inlineStr">
        <x:is>
          <x:t xml:space="preserve">داده حرفه‌ای حساس</x:t>
        </x:is>
      </x:c>
      <x:c r="M4" s="4" t="inlineStr">
        <x:is>
          <x:t xml:space="preserve">تطابق با کدهای رسمی تخصص پزشکی</x:t>
        </x:is>
      </x:c>
      <x:c r="N4" s="30" t="str">
        <x:v>FLD-003</x:v>
      </x:c>
      <x:c r="O4" s="30" t="str">
        <x:v>No</x:v>
      </x:c>
      <x:c r="P4" s="30" t="str">
        <x:v>Yes</x:v>
      </x:c>
      <x:c r="Q4" s="30" t="str">
        <x:v>استعلام سازمان نظام پزشکی / فرم ثبت‌نام</x:v>
      </x:c>
      <x:c r="R4" s="30" t="str">
        <x:v>dim_or_fact_customer</x:v>
      </x:c>
      <x:c r="S4" s="30" t="str">
        <x:v>نیازمند تکمیل و تأیید مالک</x:v>
      </x:c>
      <x:c r="T4" s="30" t="str">
        <x:v>نیازمند تکمیل و تأیید مالک</x:v>
      </x:c>
      <x:c r="U4" s="30" t="str">
        <x:v>نیازمند تکمیل و تأیید مالک</x:v>
      </x:c>
      <x:c r="V4" s="30" t="str">
        <x:v>نیازمند تکمیل و تأیید مالک</x:v>
      </x:c>
      <x:c r="W4" s="30" t="str">
        <x:v>Data Engineer</x:v>
      </x:c>
      <x:c r="X4" s="30" t="str">
        <x:v>Proposed</x:v>
      </x:c>
    </x:row>
    <x:row r="5">
      <x:c r="A5" s="19" t="inlineStr">
        <x:is>
          <x:t xml:space="preserve">FLD-004</x:t>
        </x:is>
      </x:c>
      <x:c r="B5" s="6" t="inlineStr">
        <x:is>
          <x:t xml:space="preserve">Customer</x:t>
        </x:is>
      </x:c>
      <x:c r="C5" s="6" t="inlineStr">
        <x:is>
          <x:t xml:space="preserve">hashed_phone_number</x:t>
        </x:is>
      </x:c>
      <x:c r="D5" s="6" t="inlineStr">
        <x:is>
          <x:t xml:space="preserve">شماره همراه دندان‌پزشک هش‌شده با استاندارد SHA-256</x:t>
        </x:is>
      </x:c>
      <x:c r="E5" s="6" t="inlineStr">
        <x:is>
          <x:t xml:space="preserve">String (Hex 64)</x:t>
        </x:is>
      </x:c>
      <x:c r="F5" s="6" t="inlineStr">
        <x:is>
          <x:t xml:space="preserve">Customer</x:t>
        </x:is>
      </x:c>
      <x:c r="G5" s="19" t="inlineStr">
        <x:is>
          <x:t xml:space="preserve">اجباری</x:t>
        </x:is>
      </x:c>
      <x:c r="H5" s="6" t="inlineStr">
        <x:is>
          <x:t xml:space="preserve">درگاه پیامک / لاگین OTP</x:t>
        </x:is>
      </x:c>
      <x:c r="I5" s="6" t="inlineStr">
        <x:is>
          <x:t xml:space="preserve">در صورت تغییر شماره</x:t>
        </x:is>
      </x:c>
      <x:c r="J5" s="6" t="inlineStr">
        <x:is>
          <x:t xml:space="preserve">Joining Key to Meta CAPI / Google EC</x:t>
        </x:is>
      </x:c>
      <x:c r="K5" s="6" t="inlineStr">
        <x:is>
          <x:t xml:space="preserve">سیگنال هویتی درجه اول برای تطابق CAPI و ادز</x:t>
        </x:is>
      </x:c>
      <x:c r="L5" s="6" t="inlineStr">
        <x:is>
          <x:t xml:space="preserve">عدم ذخیره متن خام (Plain text) در جداول عمومی</x:t>
        </x:is>
      </x:c>
      <x:c r="M5" s="6" t="inlineStr">
        <x:is>
          <x:t xml:space="preserve">فرمت استاندارد بین‌المللی E.164 قبل از هش</x:t>
        </x:is>
      </x:c>
      <x:c r="N5" s="30" t="str">
        <x:v>FLD-004</x:v>
      </x:c>
      <x:c r="O5" s="30" t="str">
        <x:v>No</x:v>
      </x:c>
      <x:c r="P5" s="30" t="str">
        <x:v>Yes</x:v>
      </x:c>
      <x:c r="Q5" s="30" t="str">
        <x:v>درگاه پیامک / لاگین OTP</x:v>
      </x:c>
      <x:c r="R5" s="30" t="str">
        <x:v>dim_or_fact_customer</x:v>
      </x:c>
      <x:c r="S5" s="30" t="str">
        <x:v>نیازمند تکمیل و تأیید مالک</x:v>
      </x:c>
      <x:c r="T5" s="30" t="str">
        <x:v>نیازمند تکمیل و تأیید مالک</x:v>
      </x:c>
      <x:c r="U5" s="30" t="str">
        <x:v>نیازمند تکمیل و تأیید مالک</x:v>
      </x:c>
      <x:c r="V5" s="30" t="str">
        <x:v>نیازمند تکمیل و تأیید مالک</x:v>
      </x:c>
      <x:c r="W5" s="30" t="str">
        <x:v>Data Engineer</x:v>
      </x:c>
      <x:c r="X5" s="30" t="str">
        <x:v>Proposed</x:v>
      </x:c>
    </x:row>
    <x:row r="6">
      <x:c r="A6" s="17" t="inlineStr">
        <x:is>
          <x:t xml:space="preserve">FLD-005</x:t>
        </x:is>
      </x:c>
      <x:c r="B6" s="4" t="inlineStr">
        <x:is>
          <x:t xml:space="preserve">Customer</x:t>
        </x:is>
      </x:c>
      <x:c r="C6" s="4" t="inlineStr">
        <x:is>
          <x:t xml:space="preserve">clinic_trade_name</x:t>
        </x:is>
      </x:c>
      <x:c r="D6" s="4" t="inlineStr">
        <x:is>
          <x:t xml:space="preserve">نام رسمی مطب، کلینیک یا درمانگاه شبانه‌روزی</x:t>
        </x:is>
      </x:c>
      <x:c r="E6" s="4" t="inlineStr">
        <x:is>
          <x:t xml:space="preserve">String (Varchar)</x:t>
        </x:is>
      </x:c>
      <x:c r="F6" s="4" t="inlineStr">
        <x:is>
          <x:t xml:space="preserve">Customer</x:t>
        </x:is>
      </x:c>
      <x:c r="G6" s="17" t="inlineStr">
        <x:is>
          <x:t xml:space="preserve">اختیاری</x:t>
        </x:is>
      </x:c>
      <x:c r="H6" s="4" t="inlineStr">
        <x:is>
          <x:t xml:space="preserve">فرم سفارش / مذاکره CRM</x:t>
        </x:is>
      </x:c>
      <x:c r="I6" s="4" t="inlineStr">
        <x:is>
          <x:t xml:space="preserve">ماهانه / دوره‌ای</x:t>
        </x:is>
      </x:c>
      <x:c r="J6" s="4" t="inlineStr">
        <x:is>
          <x:t xml:space="preserve">Attribute</x:t>
        </x:is>
      </x:c>
      <x:c r="K6" s="4" t="inlineStr">
        <x:is>
          <x:t xml:space="preserve">تحلیل پتانسیل تجاری مطب‌های زنجیره‌ای</x:t>
        </x:is>
      </x:c>
      <x:c r="L6" s="4" t="inlineStr">
        <x:is>
          <x:t xml:space="preserve">محرمانه تجاری (Business Confidential)</x:t>
        </x:is>
      </x:c>
      <x:c r="M6" s="4" t="inlineStr">
        <x:is>
          <x:t xml:space="preserve">بدون کاراکترهای مخرب و اموجی</x:t>
        </x:is>
      </x:c>
      <x:c r="N6" s="30" t="str">
        <x:v>FLD-005</x:v>
      </x:c>
      <x:c r="O6" s="30" t="str">
        <x:v>No</x:v>
      </x:c>
      <x:c r="P6" s="30" t="str">
        <x:v>Yes</x:v>
      </x:c>
      <x:c r="Q6" s="30" t="str">
        <x:v>فرم سفارش / مذاکره CRM</x:v>
      </x:c>
      <x:c r="R6" s="30" t="str">
        <x:v>dim_or_fact_customer</x:v>
      </x:c>
      <x:c r="S6" s="30" t="str">
        <x:v>نیازمند تکمیل و تأیید مالک</x:v>
      </x:c>
      <x:c r="T6" s="30" t="str">
        <x:v>نیازمند تکمیل و تأیید مالک</x:v>
      </x:c>
      <x:c r="U6" s="30" t="str">
        <x:v>نیازمند تکمیل و تأیید مالک</x:v>
      </x:c>
      <x:c r="V6" s="30" t="str">
        <x:v>نیازمند تکمیل و تأیید مالک</x:v>
      </x:c>
      <x:c r="W6" s="30" t="str">
        <x:v>Data Engineer</x:v>
      </x:c>
      <x:c r="X6" s="30" t="str">
        <x:v>Proposed</x:v>
      </x:c>
    </x:row>
    <x:row r="7">
      <x:c r="A7" s="19" t="inlineStr">
        <x:is>
          <x:t xml:space="preserve">FLD-006</x:t>
        </x:is>
      </x:c>
      <x:c r="B7" s="6" t="inlineStr">
        <x:is>
          <x:t xml:space="preserve">Customer</x:t>
        </x:is>
      </x:c>
      <x:c r="C7" s="6" t="inlineStr">
        <x:is>
          <x:t xml:space="preserve">customer_tier_type</x:t>
        </x:is>
      </x:c>
      <x:c r="D7" s="6" t="inlineStr">
        <x:is>
          <x:t xml:space="preserve">دسته‌بندی سطح مرکز درمانی (مطب تک‌یونیته، کلینیک، درمانگاه)</x:t>
        </x:is>
      </x:c>
      <x:c r="E7" s="6" t="inlineStr">
        <x:is>
          <x:t xml:space="preserve">Enum (Tier1/2/3)</x:t>
        </x:is>
      </x:c>
      <x:c r="F7" s="6" t="inlineStr">
        <x:is>
          <x:t xml:space="preserve">Customer</x:t>
        </x:is>
      </x:c>
      <x:c r="G7" s="19" t="inlineStr">
        <x:is>
          <x:t xml:space="preserve">اجباری</x:t>
        </x:is>
      </x:c>
      <x:c r="H7" s="6" t="inlineStr">
        <x:is>
          <x:t xml:space="preserve">کارشناس CRM / استعلام میدانی</x:t>
        </x:is>
      </x:c>
      <x:c r="I7" s="6" t="inlineStr">
        <x:is>
          <x:t xml:space="preserve">فصلی</x:t>
        </x:is>
      </x:c>
      <x:c r="J7" s="6" t="inlineStr">
        <x:is>
          <x:t xml:space="preserve">Attribute</x:t>
        </x:is>
      </x:c>
      <x:c r="K7" s="6" t="inlineStr">
        <x:is>
          <x:t xml:space="preserve">بخش‌بندی و اختصاص سقف تخفیف و خط اعتباری</x:t>
        </x:is>
      </x:c>
      <x:c r="L7" s="6" t="inlineStr">
        <x:is>
          <x:t xml:space="preserve">داخلی</x:t>
        </x:is>
      </x:c>
      <x:c r="M7" s="6" t="inlineStr">
        <x:is>
          <x:t xml:space="preserve">عدم وجود مقدار نامشخص (Unassigned &lt; 2%)</x:t>
        </x:is>
      </x:c>
      <x:c r="N7" s="30" t="str">
        <x:v>FLD-006</x:v>
      </x:c>
      <x:c r="O7" s="30" t="str">
        <x:v>No</x:v>
      </x:c>
      <x:c r="P7" s="30" t="str">
        <x:v>Yes</x:v>
      </x:c>
      <x:c r="Q7" s="30" t="str">
        <x:v>کارشناس CRM / استعلام میدانی</x:v>
      </x:c>
      <x:c r="R7" s="30" t="str">
        <x:v>dim_or_fact_customer</x:v>
      </x:c>
      <x:c r="S7" s="30" t="str">
        <x:v>نیازمند تکمیل و تأیید مالک</x:v>
      </x:c>
      <x:c r="T7" s="30" t="str">
        <x:v>نیازمند تکمیل و تأیید مالک</x:v>
      </x:c>
      <x:c r="U7" s="30" t="str">
        <x:v>نیازمند تکمیل و تأیید مالک</x:v>
      </x:c>
      <x:c r="V7" s="30" t="str">
        <x:v>نیازمند تکمیل و تأیید مالک</x:v>
      </x:c>
      <x:c r="W7" s="30" t="str">
        <x:v>Data Engineer</x:v>
      </x:c>
      <x:c r="X7" s="30" t="str">
        <x:v>Proposed</x:v>
      </x:c>
    </x:row>
    <x:row r="8">
      <x:c r="A8" s="17" t="inlineStr">
        <x:is>
          <x:t xml:space="preserve">FLD-007</x:t>
        </x:is>
      </x:c>
      <x:c r="B8" s="4" t="inlineStr">
        <x:is>
          <x:t xml:space="preserve">Customer</x:t>
        </x:is>
      </x:c>
      <x:c r="C8" s="4" t="inlineStr">
        <x:is>
          <x:t xml:space="preserve">customer_credit_limit_amount</x:t>
        </x:is>
      </x:c>
      <x:c r="D8" s="4" t="inlineStr">
        <x:is>
          <x:t xml:space="preserve">سقف مجاز اعتبار ریالی تخصیص‌یافته برای خرید چکی/اقساطی کلینیک</x:t>
        </x:is>
      </x:c>
      <x:c r="E8" s="4" t="inlineStr">
        <x:is>
          <x:t xml:space="preserve">Decimal (IRR)</x:t>
        </x:is>
      </x:c>
      <x:c r="F8" s="4" t="inlineStr">
        <x:is>
          <x:t xml:space="preserve">Customer</x:t>
        </x:is>
      </x:c>
      <x:c r="G8" s="17" t="inlineStr">
        <x:is>
          <x:t xml:space="preserve">اجباری</x:t>
        </x:is>
      </x:c>
      <x:c r="H8" s="4" t="inlineStr">
        <x:is>
          <x:t xml:space="preserve">سیستم اعتبارسنجی خزانه‌داری</x:t>
        </x:is>
      </x:c>
      <x:c r="I8" s="4" t="inlineStr">
        <x:is>
          <x:t xml:space="preserve">فصلی</x:t>
        </x:is>
      </x:c>
      <x:c r="J8" s="4" t="inlineStr">
        <x:is>
          <x:t xml:space="preserve">Financial Metric</x:t>
        </x:is>
      </x:c>
      <x:c r="K8" s="4" t="inlineStr">
        <x:is>
          <x:t xml:space="preserve">فیلتر لیدهای صلاحیت‌دار برای فروش اقساطی یونیت</x:t>
        </x:is>
      </x:c>
      <x:c r="L8" s="4" t="inlineStr">
        <x:is>
          <x:t xml:space="preserve">محرمانه فوق‌العاده تجاری</x:t>
        </x:is>
      </x:c>
      <x:c r="M8" s="4" t="inlineStr">
        <x:is>
          <x:t xml:space="preserve">بررسی آنلاین بدهی معوق در سیستم</x:t>
        </x:is>
      </x:c>
      <x:c r="N8" s="30" t="str">
        <x:v>FLD-007</x:v>
      </x:c>
      <x:c r="O8" s="30" t="str">
        <x:v>No</x:v>
      </x:c>
      <x:c r="P8" s="30" t="str">
        <x:v>Yes</x:v>
      </x:c>
      <x:c r="Q8" s="30" t="str">
        <x:v>سیستم اعتبارسنجی خزانه‌داری</x:v>
      </x:c>
      <x:c r="R8" s="30" t="str">
        <x:v>dim_or_fact_customer</x:v>
      </x:c>
      <x:c r="S8" s="30" t="str">
        <x:v>نیازمند تکمیل و تأیید مالک</x:v>
      </x:c>
      <x:c r="T8" s="30" t="str">
        <x:v>نیازمند تکمیل و تأیید مالک</x:v>
      </x:c>
      <x:c r="U8" s="30" t="str">
        <x:v>نیازمند تکمیل و تأیید مالک</x:v>
      </x:c>
      <x:c r="V8" s="30" t="str">
        <x:v>نیازمند تکمیل و تأیید مالک</x:v>
      </x:c>
      <x:c r="W8" s="30" t="str">
        <x:v>Data Engineer</x:v>
      </x:c>
      <x:c r="X8" s="30" t="str">
        <x:v>Proposed</x:v>
      </x:c>
    </x:row>
    <x:row r="9">
      <x:c r="A9" s="19" t="inlineStr">
        <x:is>
          <x:t xml:space="preserve">FLD-008</x:t>
        </x:is>
      </x:c>
      <x:c r="B9" s="6" t="inlineStr">
        <x:is>
          <x:t xml:space="preserve">Customer</x:t>
        </x:is>
      </x:c>
      <x:c r="C9" s="6" t="inlineStr">
        <x:is>
          <x:t xml:space="preserve">customer_registration_timestamp</x:t>
        </x:is>
      </x:c>
      <x:c r="D9" s="6" t="inlineStr">
        <x:is>
          <x:t xml:space="preserve">زمان دقیق ایجاد اولین رکورد پروفایل کاربر</x:t>
        </x:is>
      </x:c>
      <x:c r="E9" s="6" t="inlineStr">
        <x:is>
          <x:t xml:space="preserve">Timestamp (UTC)</x:t>
        </x:is>
      </x:c>
      <x:c r="F9" s="6" t="inlineStr">
        <x:is>
          <x:t xml:space="preserve">Customer</x:t>
        </x:is>
      </x:c>
      <x:c r="G9" s="19" t="inlineStr">
        <x:is>
          <x:t xml:space="preserve">اجباری</x:t>
        </x:is>
      </x:c>
      <x:c r="H9" s="6" t="inlineStr">
        <x:is>
          <x:t xml:space="preserve">دیتابیس احراز هویت</x:t>
        </x:is>
      </x:c>
      <x:c r="I9" s="6" t="inlineStr">
        <x:is>
          <x:t xml:space="preserve">یک‌بار در ایجاد</x:t>
        </x:is>
      </x:c>
      <x:c r="J9" s="6" t="inlineStr">
        <x:is>
          <x:t xml:space="preserve">Time Attribute</x:t>
        </x:is>
      </x:c>
      <x:c r="K9" s="6" t="inlineStr">
        <x:is>
          <x:t xml:space="preserve">نقطه مبدا کوهورت‌ها و محاسبه طول عمر مشتری (CLV)</x:t>
        </x:is>
      </x:c>
      <x:c r="L9" s="6" t="inlineStr">
        <x:is>
          <x:t xml:space="preserve">عمومی سیستم</x:t>
        </x:is>
      </x:c>
      <x:c r="M9" s="6" t="inlineStr">
        <x:is>
          <x:t xml:space="preserve">فرمت استاندارد ISO-8601</x:t>
        </x:is>
      </x:c>
      <x:c r="N9" s="30" t="str">
        <x:v>FLD-008</x:v>
      </x:c>
      <x:c r="O9" s="30" t="str">
        <x:v>No</x:v>
      </x:c>
      <x:c r="P9" s="30" t="str">
        <x:v>Yes</x:v>
      </x:c>
      <x:c r="Q9" s="30" t="str">
        <x:v>دیتابیس احراز هویت</x:v>
      </x:c>
      <x:c r="R9" s="30" t="str">
        <x:v>dim_or_fact_customer</x:v>
      </x:c>
      <x:c r="S9" s="30" t="str">
        <x:v>نیازمند تکمیل و تأیید مالک</x:v>
      </x:c>
      <x:c r="T9" s="30" t="str">
        <x:v>نیازمند تکمیل و تأیید مالک</x:v>
      </x:c>
      <x:c r="U9" s="30" t="str">
        <x:v>نیازمند تکمیل و تأیید مالک</x:v>
      </x:c>
      <x:c r="V9" s="30" t="str">
        <x:v>نیازمند تکمیل و تأیید مالک</x:v>
      </x:c>
      <x:c r="W9" s="30" t="str">
        <x:v>Data Engineer</x:v>
      </x:c>
      <x:c r="X9" s="30" t="str">
        <x:v>Proposed</x:v>
      </x:c>
    </x:row>
    <x:row r="10">
      <x:c r="A10" s="17" t="inlineStr">
        <x:is>
          <x:t xml:space="preserve">FLD-009</x:t>
        </x:is>
      </x:c>
      <x:c r="B10" s="4" t="inlineStr">
        <x:is>
          <x:t xml:space="preserve">Lead</x:t>
        </x:is>
      </x:c>
      <x:c r="C10" s="4" t="inlineStr">
        <x:is>
          <x:t xml:space="preserve">lead_id</x:t>
        </x:is>
      </x:c>
      <x:c r="D10" s="4" t="inlineStr">
        <x:is>
          <x:t xml:space="preserve">شناسه یکتای سرنخ خام ورودی به پایپ‌لاین</x:t>
        </x:is>
      </x:c>
      <x:c r="E10" s="4" t="inlineStr">
        <x:is>
          <x:t xml:space="preserve">UUID / Long</x:t>
        </x:is>
      </x:c>
      <x:c r="F10" s="4" t="inlineStr">
        <x:is>
          <x:t xml:space="preserve">Lead</x:t>
        </x:is>
      </x:c>
      <x:c r="G10" s="17" t="inlineStr">
        <x:is>
          <x:t xml:space="preserve">اجباری</x:t>
        </x:is>
      </x:c>
      <x:c r="H10" s="4" t="inlineStr">
        <x:is>
          <x:t xml:space="preserve">لیدفرم‌های وب‌سایت / Meta Forms</x:t>
        </x:is>
      </x:c>
      <x:c r="I10" s="4" t="inlineStr">
        <x:is>
          <x:t xml:space="preserve">لحظه‌ای</x:t>
        </x:is>
      </x:c>
      <x:c r="J10" s="4" t="inlineStr">
        <x:is>
          <x:t xml:space="preserve">Primary Key</x:t>
        </x:is>
      </x:c>
      <x:c r="K10" s="4" t="inlineStr">
        <x:is>
          <x:t xml:space="preserve">محاسبه CPL، نرخ واجدشرایط‌سازی و سرعت پاسخ</x:t>
        </x:is>
      </x:c>
      <x:c r="L10" s="4" t="inlineStr">
        <x:is>
          <x:t xml:space="preserve">عمومی سیستم</x:t>
        </x:is>
      </x:c>
      <x:c r="M10" s="4" t="inlineStr">
        <x:is>
          <x:t xml:space="preserve">۱۰۰٪ یکتا بدون داده تکراری</x:t>
        </x:is>
      </x:c>
      <x:c r="N10" s="30" t="str">
        <x:v>FLD-009</x:v>
      </x:c>
      <x:c r="O10" s="30" t="str">
        <x:v>Needs validation</x:v>
      </x:c>
      <x:c r="P10" s="30" t="str">
        <x:v>Yes</x:v>
      </x:c>
      <x:c r="Q10" s="30" t="str">
        <x:v>لیدفرم‌های وب‌سایت / Meta Forms</x:v>
      </x:c>
      <x:c r="R10" s="30" t="str">
        <x:v>dim_or_fact_lead</x:v>
      </x:c>
      <x:c r="S10" s="30" t="str">
        <x:v>نیازمند تکمیل و تأیید مالک</x:v>
      </x:c>
      <x:c r="T10" s="30" t="str">
        <x:v>نیازمند تکمیل و تأیید مالک</x:v>
      </x:c>
      <x:c r="U10" s="30" t="str">
        <x:v>نیازمند تکمیل و تأیید مالک</x:v>
      </x:c>
      <x:c r="V10" s="30" t="str">
        <x:v>نیازمند تکمیل و تأیید مالک</x:v>
      </x:c>
      <x:c r="W10" s="30" t="str">
        <x:v>Data Engineer</x:v>
      </x:c>
      <x:c r="X10" s="30" t="str">
        <x:v>Proposed</x:v>
      </x:c>
    </x:row>
    <x:row r="11">
      <x:c r="A11" s="19" t="inlineStr">
        <x:is>
          <x:t xml:space="preserve">FLD-010</x:t>
        </x:is>
      </x:c>
      <x:c r="B11" s="6" t="inlineStr">
        <x:is>
          <x:t xml:space="preserve">Lead</x:t>
        </x:is>
      </x:c>
      <x:c r="C11" s="6" t="inlineStr">
        <x:is>
          <x:t xml:space="preserve">lead_master_customer_fk</x:t>
        </x:is>
      </x:c>
      <x:c r="D11" s="6" t="inlineStr">
        <x:is>
          <x:t xml:space="preserve">کلید اتصال سرنخ به مشتری (در صورت شناسایی هویت)</x:t>
        </x:is>
      </x:c>
      <x:c r="E11" s="6" t="inlineStr">
        <x:is>
          <x:t xml:space="preserve">UUID</x:t>
        </x:is>
      </x:c>
      <x:c r="F11" s="6" t="inlineStr">
        <x:is>
          <x:t xml:space="preserve">Lead</x:t>
        </x:is>
      </x:c>
      <x:c r="G11" s="19" t="inlineStr">
        <x:is>
          <x:t xml:space="preserve">اختیاری</x:t>
        </x:is>
      </x:c>
      <x:c r="H11" s="6" t="inlineStr">
        <x:is>
          <x:t xml:space="preserve">ماژول هویت DWH</x:t>
        </x:is>
      </x:c>
      <x:c r="I11" s="6" t="inlineStr">
        <x:is>
          <x:t xml:space="preserve">لحظه‌ای</x:t>
        </x:is>
      </x:c>
      <x:c r="J11" s="6" t="inlineStr">
        <x:is>
          <x:t xml:space="preserve">Foreign Key to Customer</x:t>
        </x:is>
      </x:c>
      <x:c r="K11" s="6" t="inlineStr">
        <x:is>
          <x:t xml:space="preserve">ردیابی تبدیل سرنخ به مشتری خریدار و بسته‌شدن معامله</x:t>
        </x:is>
      </x:c>
      <x:c r="L11" s="6" t="inlineStr">
        <x:is>
          <x:t xml:space="preserve">محافظت از داده‌های مرتبط</x:t>
        </x:is>
      </x:c>
      <x:c r="M11" s="6" t="inlineStr">
        <x:is>
          <x:t xml:space="preserve">پرشدن فیلد پس از تایید خرید اول</x:t>
        </x:is>
      </x:c>
      <x:c r="N11" s="30" t="str">
        <x:v>FLD-010</x:v>
      </x:c>
      <x:c r="O11" s="30" t="str">
        <x:v>No</x:v>
      </x:c>
      <x:c r="P11" s="30" t="str">
        <x:v>Yes</x:v>
      </x:c>
      <x:c r="Q11" s="30" t="str">
        <x:v>ماژول هویت DWH</x:v>
      </x:c>
      <x:c r="R11" s="30" t="str">
        <x:v>dim_or_fact_lead</x:v>
      </x:c>
      <x:c r="S11" s="30" t="str">
        <x:v>نیازمند تکمیل و تأیید مالک</x:v>
      </x:c>
      <x:c r="T11" s="30" t="str">
        <x:v>نیازمند تکمیل و تأیید مالک</x:v>
      </x:c>
      <x:c r="U11" s="30" t="str">
        <x:v>نیازمند تکمیل و تأیید مالک</x:v>
      </x:c>
      <x:c r="V11" s="30" t="str">
        <x:v>نیازمند تکمیل و تأیید مالک</x:v>
      </x:c>
      <x:c r="W11" s="30" t="str">
        <x:v>Data Engineer</x:v>
      </x:c>
      <x:c r="X11" s="30" t="str">
        <x:v>Proposed</x:v>
      </x:c>
    </x:row>
    <x:row r="12">
      <x:c r="A12" s="17" t="inlineStr">
        <x:is>
          <x:t xml:space="preserve">FLD-011</x:t>
        </x:is>
      </x:c>
      <x:c r="B12" s="4" t="inlineStr">
        <x:is>
          <x:t xml:space="preserve">Lead</x:t>
        </x:is>
      </x:c>
      <x:c r="C12" s="4" t="inlineStr">
        <x:is>
          <x:t xml:space="preserve">lead_qualification_status</x:t>
        </x:is>
      </x:c>
      <x:c r="D12" s="4" t="inlineStr">
        <x:is>
          <x:t xml:space="preserve">وضعیت مرحله اعتبارسنجی سرنخ</x:t>
        </x:is>
      </x:c>
      <x:c r="E12" s="4" t="inlineStr">
        <x:is>
          <x:t xml:space="preserve">Enum (Raw/MQL/SQL/Disqualified)</x:t>
        </x:is>
      </x:c>
      <x:c r="F12" s="4" t="inlineStr">
        <x:is>
          <x:t xml:space="preserve">Lead</x:t>
        </x:is>
      </x:c>
      <x:c r="G12" s="17" t="inlineStr">
        <x:is>
          <x:t xml:space="preserve">اجباری</x:t>
        </x:is>
      </x:c>
      <x:c r="H12" s="4" t="inlineStr">
        <x:is>
          <x:t xml:space="preserve">CRM Pipeline Stage</x:t>
        </x:is>
      </x:c>
      <x:c r="I12" s="4" t="inlineStr">
        <x:is>
          <x:t xml:space="preserve">بلادرنگ</x:t>
        </x:is>
      </x:c>
      <x:c r="J12" s="4" t="inlineStr">
        <x:is>
          <x:t xml:space="preserve">Attribute</x:t>
        </x:is>
      </x:c>
      <x:c r="K12" s="4" t="inlineStr">
        <x:is>
          <x:t xml:space="preserve">تحلیل قیف فروش و ارزیابی کیفیت کمپین‌های لیدجنریشن</x:t>
        </x:is>
      </x:c>
      <x:c r="L12" s="4" t="inlineStr">
        <x:is>
          <x:t xml:space="preserve">داخلی</x:t>
        </x:is>
      </x:c>
      <x:c r="M12" s="4" t="inlineStr">
        <x:is>
          <x:t xml:space="preserve">ثبت اجباری توسط سیستم و کارشناس فروش</x:t>
        </x:is>
      </x:c>
      <x:c r="N12" s="30" t="str">
        <x:v>FLD-011</x:v>
      </x:c>
      <x:c r="O12" s="30" t="str">
        <x:v>No</x:v>
      </x:c>
      <x:c r="P12" s="30" t="str">
        <x:v>Yes</x:v>
      </x:c>
      <x:c r="Q12" s="30" t="str">
        <x:v>CRM Pipeline Stage</x:v>
      </x:c>
      <x:c r="R12" s="30" t="str">
        <x:v>dim_or_fact_lead</x:v>
      </x:c>
      <x:c r="S12" s="30" t="str">
        <x:v>نیازمند تکمیل و تأیید مالک</x:v>
      </x:c>
      <x:c r="T12" s="30" t="str">
        <x:v>نیازمند تکمیل و تأیید مالک</x:v>
      </x:c>
      <x:c r="U12" s="30" t="str">
        <x:v>نیازمند تکمیل و تأیید مالک</x:v>
      </x:c>
      <x:c r="V12" s="30" t="str">
        <x:v>نیازمند تکمیل و تأیید مالک</x:v>
      </x:c>
      <x:c r="W12" s="30" t="str">
        <x:v>Data Engineer</x:v>
      </x:c>
      <x:c r="X12" s="30" t="str">
        <x:v>Proposed</x:v>
      </x:c>
    </x:row>
    <x:row r="13">
      <x:c r="A13" s="19" t="inlineStr">
        <x:is>
          <x:t xml:space="preserve">FLD-012</x:t>
        </x:is>
      </x:c>
      <x:c r="B13" s="6" t="inlineStr">
        <x:is>
          <x:t xml:space="preserve">Lead</x:t>
        </x:is>
      </x:c>
      <x:c r="C13" s="6" t="inlineStr">
        <x:is>
          <x:t xml:space="preserve">lead_disqualification_reason</x:t>
        </x:is>
      </x:c>
      <x:c r="D13" s="6" t="inlineStr">
        <x:is>
          <x:t xml:space="preserve">علت رد صلاحیت لید (عدم نیاز، بودجه کم، دانشجو، رقیب)</x:t>
        </x:is>
      </x:c>
      <x:c r="E13" s="6" t="inlineStr">
        <x:is>
          <x:t xml:space="preserve">String / Enum</x:t>
        </x:is>
      </x:c>
      <x:c r="F13" s="6" t="inlineStr">
        <x:is>
          <x:t xml:space="preserve">Lead</x:t>
        </x:is>
      </x:c>
      <x:c r="G13" s="19" t="inlineStr">
        <x:is>
          <x:t xml:space="preserve">شرطی</x:t>
        </x:is>
      </x:c>
      <x:c r="H13" s="6" t="inlineStr">
        <x:is>
          <x:t xml:space="preserve">کارشناس فروش در CRM</x:t>
        </x:is>
      </x:c>
      <x:c r="I13" s="6" t="inlineStr">
        <x:is>
          <x:t xml:space="preserve">لحظه‌ای هنگام بستن لید</x:t>
        </x:is>
      </x:c>
      <x:c r="J13" s="6" t="inlineStr">
        <x:is>
          <x:t xml:space="preserve">Dimension</x:t>
        </x:is>
      </x:c>
      <x:c r="K13" s="6" t="inlineStr">
        <x:is>
          <x:t xml:space="preserve">بازخورد به تیم ادز جهت منفی‌کردن تارگتینگ و کلمات</x:t>
        </x:is>
      </x:c>
      <x:c r="L13" s="6" t="inlineStr">
        <x:is>
          <x:t xml:space="preserve">داخلی</x:t>
        </x:is>
      </x:c>
      <x:c r="M13" s="6" t="inlineStr">
        <x:is>
          <x:t xml:space="preserve">الزام به انتخاب از لیست استاندارد علل</x:t>
        </x:is>
      </x:c>
      <x:c r="N13" s="30" t="str">
        <x:v>FLD-012</x:v>
      </x:c>
      <x:c r="O13" s="30" t="str">
        <x:v>No</x:v>
      </x:c>
      <x:c r="P13" s="30" t="str">
        <x:v>Yes</x:v>
      </x:c>
      <x:c r="Q13" s="30" t="str">
        <x:v>کارشناس فروش در CRM</x:v>
      </x:c>
      <x:c r="R13" s="30" t="str">
        <x:v>dim_or_fact_lead</x:v>
      </x:c>
      <x:c r="S13" s="30" t="str">
        <x:v>نیازمند تکمیل و تأیید مالک</x:v>
      </x:c>
      <x:c r="T13" s="30" t="str">
        <x:v>نیازمند تکمیل و تأیید مالک</x:v>
      </x:c>
      <x:c r="U13" s="30" t="str">
        <x:v>نیازمند تکمیل و تأیید مالک</x:v>
      </x:c>
      <x:c r="V13" s="30" t="str">
        <x:v>نیازمند تکمیل و تأیید مالک</x:v>
      </x:c>
      <x:c r="W13" s="30" t="str">
        <x:v>Data Engineer</x:v>
      </x:c>
      <x:c r="X13" s="30" t="str">
        <x:v>Proposed</x:v>
      </x:c>
    </x:row>
    <x:row r="14">
      <x:c r="A14" s="17" t="inlineStr">
        <x:is>
          <x:t xml:space="preserve">FLD-013</x:t>
        </x:is>
      </x:c>
      <x:c r="B14" s="4" t="inlineStr">
        <x:is>
          <x:t xml:space="preserve">Lead</x:t>
        </x:is>
      </x:c>
      <x:c r="C14" s="4" t="inlineStr">
        <x:is>
          <x:t xml:space="preserve">estimated_procurement_budget</x:t>
        </x:is>
      </x:c>
      <x:c r="D14" s="4" t="inlineStr">
        <x:is>
          <x:t xml:space="preserve">برآورد سقف بودجه خرید تجهیزات توسط کلینیک</x:t>
        </x:is>
      </x:c>
      <x:c r="E14" s="4" t="inlineStr">
        <x:is>
          <x:t xml:space="preserve">Decimal (IRR)</x:t>
        </x:is>
      </x:c>
      <x:c r="F14" s="4" t="inlineStr">
        <x:is>
          <x:t xml:space="preserve">Lead</x:t>
        </x:is>
      </x:c>
      <x:c r="G14" s="17" t="inlineStr">
        <x:is>
          <x:t xml:space="preserve">اختیاری</x:t>
        </x:is>
      </x:c>
      <x:c r="H14" s="4" t="inlineStr">
        <x:is>
          <x:t xml:space="preserve">فرم نیازسنجی تلفنی</x:t>
        </x:is>
      </x:c>
      <x:c r="I14" s="4" t="inlineStr">
        <x:is>
          <x:t xml:space="preserve">پس از تماس اول</x:t>
        </x:is>
      </x:c>
      <x:c r="J14" s="4" t="inlineStr">
        <x:is>
          <x:t xml:space="preserve">Metric</x:t>
        </x:is>
      </x:c>
      <x:c r="K14" s="4" t="inlineStr">
        <x:is>
          <x:t xml:space="preserve">اولویت‌بندی در پایپ‌لاین فروش و لید اسکورینگ</x:t>
        </x:is>
      </x:c>
      <x:c r="L14" s="4" t="inlineStr">
        <x:is>
          <x:t xml:space="preserve">اطلاعات تجاری محرمانه مشتری</x:t>
        </x:is>
      </x:c>
      <x:c r="M14" s="4" t="inlineStr">
        <x:is>
          <x:t xml:space="preserve">مقادیر معتبر ریالی مثبت</x:t>
        </x:is>
      </x:c>
      <x:c r="N14" s="30" t="str">
        <x:v>FLD-013</x:v>
      </x:c>
      <x:c r="O14" s="30" t="str">
        <x:v>No</x:v>
      </x:c>
      <x:c r="P14" s="30" t="str">
        <x:v>Yes</x:v>
      </x:c>
      <x:c r="Q14" s="30" t="str">
        <x:v>فرم نیازسنجی تلفنی</x:v>
      </x:c>
      <x:c r="R14" s="30" t="str">
        <x:v>dim_or_fact_lead</x:v>
      </x:c>
      <x:c r="S14" s="30" t="str">
        <x:v>نیازمند تکمیل و تأیید مالک</x:v>
      </x:c>
      <x:c r="T14" s="30" t="str">
        <x:v>نیازمند تکمیل و تأیید مالک</x:v>
      </x:c>
      <x:c r="U14" s="30" t="str">
        <x:v>نیازمند تکمیل و تأیید مالک</x:v>
      </x:c>
      <x:c r="V14" s="30" t="str">
        <x:v>نیازمند تکمیل و تأیید مالک</x:v>
      </x:c>
      <x:c r="W14" s="30" t="str">
        <x:v>Data Engineer</x:v>
      </x:c>
      <x:c r="X14" s="30" t="str">
        <x:v>Proposed</x:v>
      </x:c>
    </x:row>
    <x:row r="15">
      <x:c r="A15" s="19" t="inlineStr">
        <x:is>
          <x:t xml:space="preserve">FLD-014</x:t>
        </x:is>
      </x:c>
      <x:c r="B15" s="6" t="inlineStr">
        <x:is>
          <x:t xml:space="preserve">Lead</x:t>
        </x:is>
      </x:c>
      <x:c r="C15" s="6" t="inlineStr">
        <x:is>
          <x:t xml:space="preserve">lead_first_touch_channel</x:t>
        </x:is>
      </x:c>
      <x:c r="D15" s="6" t="inlineStr">
        <x:is>
          <x:t xml:space="preserve">کانال اولین تعامل ثبت‌شده از لید پیش از ورود به پایپ‌لاین</x:t>
        </x:is>
      </x:c>
      <x:c r="E15" s="6" t="inlineStr">
        <x:is>
          <x:t xml:space="preserve">String</x:t>
        </x:is>
      </x:c>
      <x:c r="F15" s="6" t="inlineStr">
        <x:is>
          <x:t xml:space="preserve">Lead</x:t>
        </x:is>
      </x:c>
      <x:c r="G15" s="19" t="inlineStr">
        <x:is>
          <x:t xml:space="preserve">اجباری</x:t>
        </x:is>
      </x:c>
      <x:c r="H15" s="6" t="inlineStr">
        <x:is>
          <x:t xml:space="preserve">موتور اتریبیوشن DWH</x:t>
        </x:is>
      </x:c>
      <x:c r="I15" s="6" t="inlineStr">
        <x:is>
          <x:t xml:space="preserve">بلادرنگ</x:t>
        </x:is>
      </x:c>
      <x:c r="J15" s="6" t="inlineStr">
        <x:is>
          <x:t xml:space="preserve">Dimension</x:t>
        </x:is>
      </x:c>
      <x:c r="K15" s="6" t="inlineStr">
        <x:is>
          <x:t xml:space="preserve">ارزیابی نقش کانال‌های آغازگر در جذب کلینیک‌ها</x:t>
        </x:is>
      </x:c>
      <x:c r="L15" s="6" t="inlineStr">
        <x:is>
          <x:t xml:space="preserve">عمومی سیستم</x:t>
        </x:is>
      </x:c>
      <x:c r="M15" s="6" t="inlineStr">
        <x:is>
          <x:t xml:space="preserve">بدون مقدار تهی (Not Null)</x:t>
        </x:is>
      </x:c>
      <x:c r="N15" s="30" t="str">
        <x:v>FLD-014</x:v>
      </x:c>
      <x:c r="O15" s="30" t="str">
        <x:v>No</x:v>
      </x:c>
      <x:c r="P15" s="30" t="str">
        <x:v>Yes</x:v>
      </x:c>
      <x:c r="Q15" s="30" t="str">
        <x:v>موتور اتریبیوشن DWH</x:v>
      </x:c>
      <x:c r="R15" s="30" t="str">
        <x:v>dim_or_fact_lead</x:v>
      </x:c>
      <x:c r="S15" s="30" t="str">
        <x:v>نیازمند تکمیل و تأیید مالک</x:v>
      </x:c>
      <x:c r="T15" s="30" t="str">
        <x:v>نیازمند تکمیل و تأیید مالک</x:v>
      </x:c>
      <x:c r="U15" s="30" t="str">
        <x:v>نیازمند تکمیل و تأیید مالک</x:v>
      </x:c>
      <x:c r="V15" s="30" t="str">
        <x:v>نیازمند تکمیل و تأیید مالک</x:v>
      </x:c>
      <x:c r="W15" s="30" t="str">
        <x:v>Data Engineer</x:v>
      </x:c>
      <x:c r="X15" s="30" t="str">
        <x:v>Proposed</x:v>
      </x:c>
    </x:row>
    <x:row r="16">
      <x:c r="A16" s="17" t="inlineStr">
        <x:is>
          <x:t xml:space="preserve">FLD-015</x:t>
        </x:is>
      </x:c>
      <x:c r="B16" s="4" t="inlineStr">
        <x:is>
          <x:t xml:space="preserve">Session</x:t>
        </x:is>
      </x:c>
      <x:c r="C16" s="4" t="inlineStr">
        <x:is>
          <x:t xml:space="preserve">session_id</x:t>
        </x:is>
      </x:c>
      <x:c r="D16" s="4" t="inlineStr">
        <x:is>
          <x:t xml:space="preserve">شناسه یکتای نشست مرور وب‌سایت توسط دندان‌پزشک</x:t>
        </x:is>
      </x:c>
      <x:c r="E16" s="4" t="inlineStr">
        <x:is>
          <x:t xml:space="preserve">String (UUID)</x:t>
        </x:is>
      </x:c>
      <x:c r="F16" s="4" t="inlineStr">
        <x:is>
          <x:t xml:space="preserve">Session</x:t>
        </x:is>
      </x:c>
      <x:c r="G16" s="17" t="inlineStr">
        <x:is>
          <x:t xml:space="preserve">اجباری</x:t>
        </x:is>
      </x:c>
      <x:c r="H16" s="4" t="inlineStr">
        <x:is>
          <x:t xml:space="preserve">Google Analytics 4 / PostHog</x:t>
        </x:is>
      </x:c>
      <x:c r="I16" s="4" t="inlineStr">
        <x:is>
          <x:t xml:space="preserve">لحظه‌ای</x:t>
        </x:is>
      </x:c>
      <x:c r="J16" s="4" t="inlineStr">
        <x:is>
          <x:t xml:space="preserve">Primary Key</x:t>
        </x:is>
      </x:c>
      <x:c r="K16" s="4" t="inlineStr">
        <x:is>
          <x:t xml:space="preserve">مخرج کسر تمام محاسبات نرخ تبدیل، RPS و بانس‌ریت</x:t>
        </x:is>
      </x:c>
      <x:c r="L16" s="4" t="inlineStr">
        <x:is>
          <x:t xml:space="preserve">فاقد اطلاعات شخصی مستقیم</x:t>
        </x:is>
      </x:c>
      <x:c r="M16" s="4" t="inlineStr">
        <x:is>
          <x:t xml:space="preserve">یکتایی در بازه ۳۰ دقیقه‌ای عدم فعالیت</x:t>
        </x:is>
      </x:c>
      <x:c r="N16" s="30" t="str">
        <x:v>FLD-015</x:v>
      </x:c>
      <x:c r="O16" s="30" t="str">
        <x:v>Needs validation</x:v>
      </x:c>
      <x:c r="P16" s="30" t="str">
        <x:v>Yes</x:v>
      </x:c>
      <x:c r="Q16" s="30" t="str">
        <x:v>Google Analytics 4 / PostHog</x:v>
      </x:c>
      <x:c r="R16" s="30" t="str">
        <x:v>dim_or_fact_session</x:v>
      </x:c>
      <x:c r="S16" s="30" t="str">
        <x:v>نیازمند تکمیل و تأیید مالک</x:v>
      </x:c>
      <x:c r="T16" s="30" t="str">
        <x:v>نیازمند تکمیل و تأیید مالک</x:v>
      </x:c>
      <x:c r="U16" s="30" t="str">
        <x:v>نیازمند تکمیل و تأیید مالک</x:v>
      </x:c>
      <x:c r="V16" s="30" t="str">
        <x:v>نیازمند تکمیل و تأیید مالک</x:v>
      </x:c>
      <x:c r="W16" s="30" t="str">
        <x:v>Data Engineer</x:v>
      </x:c>
      <x:c r="X16" s="30" t="str">
        <x:v>Proposed</x:v>
      </x:c>
    </x:row>
    <x:row r="17">
      <x:c r="A17" s="19" t="inlineStr">
        <x:is>
          <x:t xml:space="preserve">FLD-016</x:t>
        </x:is>
      </x:c>
      <x:c r="B17" s="6" t="inlineStr">
        <x:is>
          <x:t xml:space="preserve">Session</x:t>
        </x:is>
      </x:c>
      <x:c r="C17" s="6" t="inlineStr">
        <x:is>
          <x:t xml:space="preserve">session_user_pseudo_id</x:t>
        </x:is>
      </x:c>
      <x:c r="D17" s="6" t="inlineStr">
        <x:is>
          <x:t xml:space="preserve">شناسه کوکی کلاینت مرورگر (Client ID / Anonymous ID)</x:t>
        </x:is>
      </x:c>
      <x:c r="E17" s="6" t="inlineStr">
        <x:is>
          <x:t xml:space="preserve">String</x:t>
        </x:is>
      </x:c>
      <x:c r="F17" s="6" t="inlineStr">
        <x:is>
          <x:t xml:space="preserve">Session</x:t>
        </x:is>
      </x:c>
      <x:c r="G17" s="19" t="inlineStr">
        <x:is>
          <x:t xml:space="preserve">اجباری</x:t>
        </x:is>
      </x:c>
      <x:c r="H17" s="6" t="inlineStr">
        <x:is>
          <x:t xml:space="preserve">مرورگر کاربر (GA4 _ga)</x:t>
        </x:is>
      </x:c>
      <x:c r="I17" s="6" t="inlineStr">
        <x:is>
          <x:t xml:space="preserve">لحظه‌ای</x:t>
        </x:is>
      </x:c>
      <x:c r="J17" s="6" t="inlineStr">
        <x:is>
          <x:t xml:space="preserve">Joining Key</x:t>
        </x:is>
      </x:c>
      <x:c r="K17" s="6" t="inlineStr">
        <x:is>
          <x:t xml:space="preserve">ردیابی مسیر رفتار کاربر ناشناس قبل از احراز هویت</x:t>
        </x:is>
      </x:c>
      <x:c r="L17" s="6" t="inlineStr">
        <x:is>
          <x:t xml:space="preserve">کوکی First-Party</x:t>
        </x:is>
      </x:c>
      <x:c r="M17" s="6" t="inlineStr">
        <x:is>
          <x:t xml:space="preserve">تغییر در صورت پاک‌شدن حافظه مرورگر</x:t>
        </x:is>
      </x:c>
      <x:c r="N17" s="30" t="str">
        <x:v>FLD-016</x:v>
      </x:c>
      <x:c r="O17" s="30" t="str">
        <x:v>Needs validation</x:v>
      </x:c>
      <x:c r="P17" s="30" t="str">
        <x:v>Yes</x:v>
      </x:c>
      <x:c r="Q17" s="30" t="str">
        <x:v>مرورگر کاربر (GA4 _ga)</x:v>
      </x:c>
      <x:c r="R17" s="30" t="str">
        <x:v>dim_or_fact_session</x:v>
      </x:c>
      <x:c r="S17" s="30" t="str">
        <x:v>نیازمند تکمیل و تأیید مالک</x:v>
      </x:c>
      <x:c r="T17" s="30" t="str">
        <x:v>نیازمند تکمیل و تأیید مالک</x:v>
      </x:c>
      <x:c r="U17" s="30" t="str">
        <x:v>نیازمند تکمیل و تأیید مالک</x:v>
      </x:c>
      <x:c r="V17" s="30" t="str">
        <x:v>نیازمند تکمیل و تأیید مالک</x:v>
      </x:c>
      <x:c r="W17" s="30" t="str">
        <x:v>Data Engineer</x:v>
      </x:c>
      <x:c r="X17" s="30" t="str">
        <x:v>Proposed</x:v>
      </x:c>
    </x:row>
    <x:row r="18">
      <x:c r="A18" s="17" t="inlineStr">
        <x:is>
          <x:t xml:space="preserve">FLD-017</x:t>
        </x:is>
      </x:c>
      <x:c r="B18" s="4" t="inlineStr">
        <x:is>
          <x:t xml:space="preserve">Session</x:t>
        </x:is>
      </x:c>
      <x:c r="C18" s="4" t="inlineStr">
        <x:is>
          <x:t xml:space="preserve">session_utm_source_medium</x:t>
        </x:is>
      </x:c>
      <x:c r="D18" s="4" t="inlineStr">
        <x:is>
          <x:t xml:space="preserve">منبع و مدیوم ورودی ترافیک طبق استاندارد تگ‌گذاری</x:t>
        </x:is>
      </x:c>
      <x:c r="E18" s="4" t="inlineStr">
        <x:is>
          <x:t xml:space="preserve">String</x:t>
        </x:is>
      </x:c>
      <x:c r="F18" s="4" t="inlineStr">
        <x:is>
          <x:t xml:space="preserve">Session</x:t>
        </x:is>
      </x:c>
      <x:c r="G18" s="17" t="inlineStr">
        <x:is>
          <x:t xml:space="preserve">اجباری</x:t>
        </x:is>
      </x:c>
      <x:c r="H18" s="4" t="inlineStr">
        <x:is>
          <x:t xml:space="preserve">پارامترهای URL ورودی</x:t>
        </x:is>
      </x:c>
      <x:c r="I18" s="4" t="inlineStr">
        <x:is>
          <x:t xml:space="preserve">لحظه‌ای</x:t>
        </x:is>
      </x:c>
      <x:c r="J18" s="4" t="inlineStr">
        <x:is>
          <x:t xml:space="preserve">Attribute Dimension</x:t>
        </x:is>
      </x:c>
      <x:c r="K18" s="4" t="inlineStr">
        <x:is>
          <x:t xml:space="preserve">تفکیک ترافیک پولی، ارگانیک، ایمیل، پیامک و ریفرال</x:t>
        </x:is>
      </x:c>
      <x:c r="L18" s="4" t="inlineStr">
        <x:is>
          <x:t xml:space="preserve">استاندارد عمومی وب</x:t>
        </x:is>
      </x:c>
      <x:c r="M18" s="4" t="inlineStr">
        <x:is>
          <x:t xml:space="preserve">حساسیت به حروف کوچک/بزرگ (تطبیق یکدست)</x:t>
        </x:is>
      </x:c>
      <x:c r="N18" s="30" t="str">
        <x:v>FLD-017</x:v>
      </x:c>
      <x:c r="O18" s="30" t="str">
        <x:v>No</x:v>
      </x:c>
      <x:c r="P18" s="30" t="str">
        <x:v>Yes</x:v>
      </x:c>
      <x:c r="Q18" s="30" t="str">
        <x:v>پارامترهای URL ورودی</x:v>
      </x:c>
      <x:c r="R18" s="30" t="str">
        <x:v>dim_or_fact_session</x:v>
      </x:c>
      <x:c r="S18" s="30" t="str">
        <x:v>نیازمند تکمیل و تأیید مالک</x:v>
      </x:c>
      <x:c r="T18" s="30" t="str">
        <x:v>نیازمند تکمیل و تأیید مالک</x:v>
      </x:c>
      <x:c r="U18" s="30" t="str">
        <x:v>نیازمند تکمیل و تأیید مالک</x:v>
      </x:c>
      <x:c r="V18" s="30" t="str">
        <x:v>نیازمند تکمیل و تأیید مالک</x:v>
      </x:c>
      <x:c r="W18" s="30" t="str">
        <x:v>Data Engineer</x:v>
      </x:c>
      <x:c r="X18" s="30" t="str">
        <x:v>Proposed</x:v>
      </x:c>
    </x:row>
    <x:row r="19">
      <x:c r="A19" s="19" t="inlineStr">
        <x:is>
          <x:t xml:space="preserve">FLD-018</x:t>
        </x:is>
      </x:c>
      <x:c r="B19" s="6" t="inlineStr">
        <x:is>
          <x:t xml:space="preserve">Session</x:t>
        </x:is>
      </x:c>
      <x:c r="C19" s="6" t="inlineStr">
        <x:is>
          <x:t xml:space="preserve">session_landing_page_path</x:t>
        </x:is>
      </x:c>
      <x:c r="D19" s="6" t="inlineStr">
        <x:is>
          <x:t xml:space="preserve">آدرس اولین صفحه‌ای که کاربر در این نشست مشاهده کرده</x:t>
        </x:is>
      </x:c>
      <x:c r="E19" s="6" t="inlineStr">
        <x:is>
          <x:t xml:space="preserve">String (URL Path)</x:t>
        </x:is>
      </x:c>
      <x:c r="F19" s="6" t="inlineStr">
        <x:is>
          <x:t xml:space="preserve">Session</x:t>
        </x:is>
      </x:c>
      <x:c r="G19" s="19" t="inlineStr">
        <x:is>
          <x:t xml:space="preserve">اجباری</x:t>
        </x:is>
      </x:c>
      <x:c r="H19" s="6" t="inlineStr">
        <x:is>
          <x:t xml:space="preserve">وب‌سرور / اسکریپت ردیابی</x:t>
        </x:is>
      </x:c>
      <x:c r="I19" s="6" t="inlineStr">
        <x:is>
          <x:t xml:space="preserve">لحظه‌ای</x:t>
        </x:is>
      </x:c>
      <x:c r="J19" s="6" t="inlineStr">
        <x:is>
          <x:t xml:space="preserve">Foreign Key to Landing Page</x:t>
        </x:is>
      </x:c>
      <x:c r="K19" s="6" t="inlineStr">
        <x:is>
          <x:t xml:space="preserve">ارزیابی عملکرد لندینگ‌ها و نرخ پرش اولیه</x:t>
        </x:is>
      </x:c>
      <x:c r="L19" s="6" t="inlineStr">
        <x:is>
          <x:t xml:space="preserve">حذف پارامترهای توکن‌دار امنیتی از URL</x:t>
        </x:is>
      </x:c>
      <x:c r="M19" s="6" t="inlineStr">
        <x:is>
          <x:t xml:space="preserve">ساختار تمیز URL بدون پارامترهای خطا</x:t>
        </x:is>
      </x:c>
      <x:c r="N19" s="30" t="str">
        <x:v>FLD-018</x:v>
      </x:c>
      <x:c r="O19" s="30" t="str">
        <x:v>No</x:v>
      </x:c>
      <x:c r="P19" s="30" t="str">
        <x:v>Yes</x:v>
      </x:c>
      <x:c r="Q19" s="30" t="str">
        <x:v>وب‌سرور / اسکریپت ردیابی</x:v>
      </x:c>
      <x:c r="R19" s="30" t="str">
        <x:v>dim_or_fact_session</x:v>
      </x:c>
      <x:c r="S19" s="30" t="str">
        <x:v>نیازمند تکمیل و تأیید مالک</x:v>
      </x:c>
      <x:c r="T19" s="30" t="str">
        <x:v>نیازمند تکمیل و تأیید مالک</x:v>
      </x:c>
      <x:c r="U19" s="30" t="str">
        <x:v>نیازمند تکمیل و تأیید مالک</x:v>
      </x:c>
      <x:c r="V19" s="30" t="str">
        <x:v>نیازمند تکمیل و تأیید مالک</x:v>
      </x:c>
      <x:c r="W19" s="30" t="str">
        <x:v>Data Engineer</x:v>
      </x:c>
      <x:c r="X19" s="30" t="str">
        <x:v>Proposed</x:v>
      </x:c>
    </x:row>
    <x:row r="20">
      <x:c r="A20" s="17" t="inlineStr">
        <x:is>
          <x:t xml:space="preserve">FLD-019</x:t>
        </x:is>
      </x:c>
      <x:c r="B20" s="4" t="inlineStr">
        <x:is>
          <x:t xml:space="preserve">Session</x:t>
        </x:is>
      </x:c>
      <x:c r="C20" s="4" t="inlineStr">
        <x:is>
          <x:t xml:space="preserve">session_device_type</x:t>
        </x:is>
      </x:c>
      <x:c r="D20" s="4" t="inlineStr">
        <x:is>
          <x:t xml:space="preserve">رده سخت‌افزاری دستگاه کاربر (موبایل، دسکتاپ، تبلت)</x:t>
        </x:is>
      </x:c>
      <x:c r="E20" s="4" t="inlineStr">
        <x:is>
          <x:t xml:space="preserve">Enum (Mobile/Desktop)</x:t>
        </x:is>
      </x:c>
      <x:c r="F20" s="4" t="inlineStr">
        <x:is>
          <x:t xml:space="preserve">Session</x:t>
        </x:is>
      </x:c>
      <x:c r="G20" s="17" t="inlineStr">
        <x:is>
          <x:t xml:space="preserve">اجباری</x:t>
        </x:is>
      </x:c>
      <x:c r="H20" s="4" t="inlineStr">
        <x:is>
          <x:t xml:space="preserve">تحلیل رشته User-Agent</x:t>
        </x:is>
      </x:c>
      <x:c r="I20" s="4" t="inlineStr">
        <x:is>
          <x:t xml:space="preserve">لحظه‌ای</x:t>
        </x:is>
      </x:c>
      <x:c r="J20" s="4" t="inlineStr">
        <x:is>
          <x:t xml:space="preserve">Dimension</x:t>
        </x:is>
      </x:c>
      <x:c r="K20" s="4" t="inlineStr">
        <x:is>
          <x:t xml:space="preserve">تحلیل بهینه‌سازی ریسپانسیو و رفتار خرید مطب‌ها</x:t>
        </x:is>
      </x:c>
      <x:c r="L20" s="4" t="inlineStr">
        <x:is>
          <x:t xml:space="preserve">عدم افشای مشخصات یونیک سخت‌افزاری</x:t>
        </x:is>
      </x:c>
      <x:c r="M20" s="4" t="inlineStr">
        <x:is>
          <x:t xml:space="preserve">درصد خطای نامشخص زیر ۱٪</x:t>
        </x:is>
      </x:c>
      <x:c r="N20" s="30" t="str">
        <x:v>FLD-019</x:v>
      </x:c>
      <x:c r="O20" s="30" t="str">
        <x:v>No</x:v>
      </x:c>
      <x:c r="P20" s="30" t="str">
        <x:v>Yes</x:v>
      </x:c>
      <x:c r="Q20" s="30" t="str">
        <x:v>تحلیل رشته User-Agent</x:v>
      </x:c>
      <x:c r="R20" s="30" t="str">
        <x:v>dim_or_fact_session</x:v>
      </x:c>
      <x:c r="S20" s="30" t="str">
        <x:v>نیازمند تکمیل و تأیید مالک</x:v>
      </x:c>
      <x:c r="T20" s="30" t="str">
        <x:v>نیازمند تکمیل و تأیید مالک</x:v>
      </x:c>
      <x:c r="U20" s="30" t="str">
        <x:v>نیازمند تکمیل و تأیید مالک</x:v>
      </x:c>
      <x:c r="V20" s="30" t="str">
        <x:v>نیازمند تکمیل و تأیید مالک</x:v>
      </x:c>
      <x:c r="W20" s="30" t="str">
        <x:v>Data Engineer</x:v>
      </x:c>
      <x:c r="X20" s="30" t="str">
        <x:v>Proposed</x:v>
      </x:c>
    </x:row>
    <x:row r="21">
      <x:c r="A21" s="19" t="inlineStr">
        <x:is>
          <x:t xml:space="preserve">FLD-020</x:t>
        </x:is>
      </x:c>
      <x:c r="B21" s="6" t="inlineStr">
        <x:is>
          <x:t xml:space="preserve">Session</x:t>
        </x:is>
      </x:c>
      <x:c r="C21" s="6" t="inlineStr">
        <x:is>
          <x:t xml:space="preserve">session_ip_asn_organization</x:t>
        </x:is>
      </x:c>
      <x:c r="D21" s="6" t="inlineStr">
        <x:is>
          <x:t xml:space="preserve">نام شرکت ارائه‌دهنده اینترنت/سازمان مربوط به IP دندان‌پزشک</x:t>
        </x:is>
      </x:c>
      <x:c r="E21" s="6" t="inlineStr">
        <x:is>
          <x:t xml:space="preserve">String</x:t>
        </x:is>
      </x:c>
      <x:c r="F21" s="6" t="inlineStr">
        <x:is>
          <x:t xml:space="preserve">Session</x:t>
        </x:is>
      </x:c>
      <x:c r="G21" s="19" t="inlineStr">
        <x:is>
          <x:t xml:space="preserve">اختیاری</x:t>
        </x:is>
      </x:c>
      <x:c r="H21" s="6" t="inlineStr">
        <x:is>
          <x:t xml:space="preserve">وب‌سرویس IP-to-Org</x:t>
        </x:is>
      </x:c>
      <x:c r="I21" s="6" t="inlineStr">
        <x:is>
          <x:t xml:space="preserve">لحظه‌ای</x:t>
        </x:is>
      </x:c>
      <x:c r="J21" s="6" t="inlineStr">
        <x:is>
          <x:t xml:space="preserve">Dimension</x:t>
        </x:is>
      </x:c>
      <x:c r="K21" s="6" t="inlineStr">
        <x:is>
          <x:t xml:space="preserve">شناسایی ترافیک‌های بیمارستانی و تفکیک دیتاسنترها</x:t>
        </x:is>
      </x:c>
      <x:c r="L21" s="6" t="inlineStr">
        <x:is>
          <x:t xml:space="preserve">عدم ذخیره IP خام کاربر</x:t>
        </x:is>
      </x:c>
      <x:c r="M21" s="6" t="inlineStr">
        <x:is>
          <x:t xml:space="preserve">پاک‌سازی رکوردهای بات و ابری</x:t>
        </x:is>
      </x:c>
      <x:c r="N21" s="30" t="str">
        <x:v>FLD-020</x:v>
      </x:c>
      <x:c r="O21" s="30" t="str">
        <x:v>No</x:v>
      </x:c>
      <x:c r="P21" s="30" t="str">
        <x:v>Yes</x:v>
      </x:c>
      <x:c r="Q21" s="30" t="str">
        <x:v>وب‌سرویس IP-to-Org</x:v>
      </x:c>
      <x:c r="R21" s="30" t="str">
        <x:v>dim_or_fact_session</x:v>
      </x:c>
      <x:c r="S21" s="30" t="str">
        <x:v>نیازمند تکمیل و تأیید مالک</x:v>
      </x:c>
      <x:c r="T21" s="30" t="str">
        <x:v>نیازمند تکمیل و تأیید مالک</x:v>
      </x:c>
      <x:c r="U21" s="30" t="str">
        <x:v>نیازمند تکمیل و تأیید مالک</x:v>
      </x:c>
      <x:c r="V21" s="30" t="str">
        <x:v>نیازمند تکمیل و تأیید مالک</x:v>
      </x:c>
      <x:c r="W21" s="30" t="str">
        <x:v>Data Engineer</x:v>
      </x:c>
      <x:c r="X21" s="30" t="str">
        <x:v>Proposed</x:v>
      </x:c>
    </x:row>
    <x:row r="22">
      <x:c r="A22" s="17" t="inlineStr">
        <x:is>
          <x:t xml:space="preserve">FLD-021</x:t>
        </x:is>
      </x:c>
      <x:c r="B22" s="4" t="inlineStr">
        <x:is>
          <x:t xml:space="preserve">Event</x:t>
        </x:is>
      </x:c>
      <x:c r="C22" s="4" t="inlineStr">
        <x:is>
          <x:t xml:space="preserve">event_id</x:t>
        </x:is>
      </x:c>
      <x:c r="D22" s="4" t="inlineStr">
        <x:is>
          <x:t xml:space="preserve">شناسه یکتای رخداد رفتاری در سایت یا سیستم</x:t>
        </x:is>
      </x:c>
      <x:c r="E22" s="4" t="inlineStr">
        <x:is>
          <x:t xml:space="preserve">UUID</x:t>
        </x:is>
      </x:c>
      <x:c r="F22" s="4" t="inlineStr">
        <x:is>
          <x:t xml:space="preserve">Event</x:t>
        </x:is>
      </x:c>
      <x:c r="G22" s="17" t="inlineStr">
        <x:is>
          <x:t xml:space="preserve">اجباری</x:t>
        </x:is>
      </x:c>
      <x:c r="H22" s="4" t="inlineStr">
        <x:is>
          <x:t xml:space="preserve">سرور ترکینگ GTM</x:t>
        </x:is>
      </x:c>
      <x:c r="I22" s="4" t="inlineStr">
        <x:is>
          <x:t xml:space="preserve">بلادرنگ</x:t>
        </x:is>
      </x:c>
      <x:c r="J22" s="4" t="inlineStr">
        <x:is>
          <x:t xml:space="preserve">Primary Key</x:t>
        </x:is>
      </x:c>
      <x:c r="K22" s="4" t="inlineStr">
        <x:is>
          <x:t xml:space="preserve">شمارش رخدادها، حذف داده‌های تکراری (Deduplication)</x:t>
        </x:is>
      </x:c>
      <x:c r="L22" s="4" t="inlineStr">
        <x:is>
          <x:t xml:space="preserve">فنی</x:t>
        </x:is>
      </x:c>
      <x:c r="M22" s="4" t="inlineStr">
        <x:is>
          <x:t xml:space="preserve">یکتایی مطلق در کل سیستم</x:t>
        </x:is>
      </x:c>
      <x:c r="N22" s="30" t="str">
        <x:v>FLD-021</x:v>
      </x:c>
      <x:c r="O22" s="30" t="str">
        <x:v>Needs validation</x:v>
      </x:c>
      <x:c r="P22" s="30" t="str">
        <x:v>Yes</x:v>
      </x:c>
      <x:c r="Q22" s="30" t="str">
        <x:v>سرور ترکینگ GTM</x:v>
      </x:c>
      <x:c r="R22" s="30" t="str">
        <x:v>dim_or_fact_event</x:v>
      </x:c>
      <x:c r="S22" s="30" t="str">
        <x:v>نیازمند تکمیل و تأیید مالک</x:v>
      </x:c>
      <x:c r="T22" s="30" t="str">
        <x:v>نیازمند تکمیل و تأیید مالک</x:v>
      </x:c>
      <x:c r="U22" s="30" t="str">
        <x:v>نیازمند تکمیل و تأیید مالک</x:v>
      </x:c>
      <x:c r="V22" s="30" t="str">
        <x:v>نیازمند تکمیل و تأیید مالک</x:v>
      </x:c>
      <x:c r="W22" s="30" t="str">
        <x:v>Data Engineer</x:v>
      </x:c>
      <x:c r="X22" s="30" t="str">
        <x:v>Proposed</x:v>
      </x:c>
    </x:row>
    <x:row r="23">
      <x:c r="A23" s="19" t="inlineStr">
        <x:is>
          <x:t xml:space="preserve">FLD-022</x:t>
        </x:is>
      </x:c>
      <x:c r="B23" s="6" t="inlineStr">
        <x:is>
          <x:t xml:space="preserve">Event</x:t>
        </x:is>
      </x:c>
      <x:c r="C23" s="6" t="inlineStr">
        <x:is>
          <x:t xml:space="preserve">event_session_fk</x:t>
        </x:is>
      </x:c>
      <x:c r="D23" s="6" t="inlineStr">
        <x:is>
          <x:t xml:space="preserve">اتصال رویداد به نشستی که در آن رخ داده است</x:t>
        </x:is>
      </x:c>
      <x:c r="E23" s="6" t="inlineStr">
        <x:is>
          <x:t xml:space="preserve">String</x:t>
        </x:is>
      </x:c>
      <x:c r="F23" s="6" t="inlineStr">
        <x:is>
          <x:t xml:space="preserve">Event</x:t>
        </x:is>
      </x:c>
      <x:c r="G23" s="19" t="inlineStr">
        <x:is>
          <x:t xml:space="preserve">اجباری</x:t>
        </x:is>
      </x:c>
      <x:c r="H23" s="6" t="inlineStr">
        <x:is>
          <x:t xml:space="preserve">اسکریپت آنالیتیکس</x:t>
        </x:is>
      </x:c>
      <x:c r="I23" s="6" t="inlineStr">
        <x:is>
          <x:t xml:space="preserve">لحظه‌ای</x:t>
        </x:is>
      </x:c>
      <x:c r="J23" s="6" t="inlineStr">
        <x:is>
          <x:t xml:space="preserve">Foreign Key to Session</x:t>
        </x:is>
      </x:c>
      <x:c r="K23" s="6" t="inlineStr">
        <x:is>
          <x:t xml:space="preserve">ساخت قیف‌های مرحله‌به‌مرحله ترتیبی</x:t>
        </x:is>
      </x:c>
      <x:c r="L23" s="6" t="inlineStr">
        <x:is>
          <x:t xml:space="preserve">فنی</x:t>
        </x:is>
      </x:c>
      <x:c r="M23" s="6" t="inlineStr">
        <x:is>
          <x:t xml:space="preserve">تطابق ۱۰۰٪ با سشن جاری</x:t>
        </x:is>
      </x:c>
      <x:c r="N23" s="30" t="str">
        <x:v>FLD-022</x:v>
      </x:c>
      <x:c r="O23" s="30" t="str">
        <x:v>No</x:v>
      </x:c>
      <x:c r="P23" s="30" t="str">
        <x:v>Yes</x:v>
      </x:c>
      <x:c r="Q23" s="30" t="str">
        <x:v>اسکریپت آنالیتیکس</x:v>
      </x:c>
      <x:c r="R23" s="30" t="str">
        <x:v>dim_or_fact_event</x:v>
      </x:c>
      <x:c r="S23" s="30" t="str">
        <x:v>نیازمند تکمیل و تأیید مالک</x:v>
      </x:c>
      <x:c r="T23" s="30" t="str">
        <x:v>نیازمند تکمیل و تأیید مالک</x:v>
      </x:c>
      <x:c r="U23" s="30" t="str">
        <x:v>نیازمند تکمیل و تأیید مالک</x:v>
      </x:c>
      <x:c r="V23" s="30" t="str">
        <x:v>نیازمند تکمیل و تأیید مالک</x:v>
      </x:c>
      <x:c r="W23" s="30" t="str">
        <x:v>Data Engineer</x:v>
      </x:c>
      <x:c r="X23" s="30" t="str">
        <x:v>Proposed</x:v>
      </x:c>
    </x:row>
    <x:row r="24">
      <x:c r="A24" s="17" t="inlineStr">
        <x:is>
          <x:t xml:space="preserve">FLD-023</x:t>
        </x:is>
      </x:c>
      <x:c r="B24" s="4" t="inlineStr">
        <x:is>
          <x:t xml:space="preserve">Event</x:t>
        </x:is>
      </x:c>
      <x:c r="C24" s="4" t="inlineStr">
        <x:is>
          <x:t xml:space="preserve">event_name</x:t>
        </x:is>
      </x:c>
      <x:c r="D24" s="4" t="inlineStr">
        <x:is>
          <x:t xml:space="preserve">نام استاندارد ایونت تجاری (add_to_cart، purchase، ...)</x:t>
        </x:is>
      </x:c>
      <x:c r="E24" s="4" t="inlineStr">
        <x:is>
          <x:t xml:space="preserve">String</x:t>
        </x:is>
      </x:c>
      <x:c r="F24" s="4" t="inlineStr">
        <x:is>
          <x:t xml:space="preserve">Event</x:t>
        </x:is>
      </x:c>
      <x:c r="G24" s="17" t="inlineStr">
        <x:is>
          <x:t xml:space="preserve">اجباری</x:t>
        </x:is>
      </x:c>
      <x:c r="H24" s="4" t="inlineStr">
        <x:is>
          <x:t xml:space="preserve">تگ‌های داده GA4 / CAPI</x:t>
        </x:is>
      </x:c>
      <x:c r="I24" s="4" t="inlineStr">
        <x:is>
          <x:t xml:space="preserve">لحظه‌ای</x:t>
        </x:is>
      </x:c>
      <x:c r="J24" s="4" t="inlineStr">
        <x:is>
          <x:t xml:space="preserve">Dimension</x:t>
        </x:is>
      </x:c>
      <x:c r="K24" s="4" t="inlineStr">
        <x:is>
          <x:t xml:space="preserve">دسته‌بندی رفتار و تعریف اکشن‌های تبدیل</x:t>
        </x:is>
      </x:c>
      <x:c r="L24" s="4" t="inlineStr">
        <x:is>
          <x:t xml:space="preserve">استاندارد نام‌گذاری یکنواخت</x:t>
        </x:is>
      </x:c>
      <x:c r="M24" s="4" t="inlineStr">
        <x:is>
          <x:t xml:space="preserve">تبعیت از استاندارد اسنیک‌کیس (Snake_case)</x:t>
        </x:is>
      </x:c>
      <x:c r="N24" s="30" t="str">
        <x:v>FLD-023</x:v>
      </x:c>
      <x:c r="O24" s="30" t="str">
        <x:v>No</x:v>
      </x:c>
      <x:c r="P24" s="30" t="str">
        <x:v>Yes</x:v>
      </x:c>
      <x:c r="Q24" s="30" t="str">
        <x:v>تگ‌های داده GA4 / CAPI</x:v>
      </x:c>
      <x:c r="R24" s="30" t="str">
        <x:v>dim_or_fact_event</x:v>
      </x:c>
      <x:c r="S24" s="30" t="str">
        <x:v>نیازمند تکمیل و تأیید مالک</x:v>
      </x:c>
      <x:c r="T24" s="30" t="str">
        <x:v>نیازمند تکمیل و تأیید مالک</x:v>
      </x:c>
      <x:c r="U24" s="30" t="str">
        <x:v>نیازمند تکمیل و تأیید مالک</x:v>
      </x:c>
      <x:c r="V24" s="30" t="str">
        <x:v>نیازمند تکمیل و تأیید مالک</x:v>
      </x:c>
      <x:c r="W24" s="30" t="str">
        <x:v>Data Engineer</x:v>
      </x:c>
      <x:c r="X24" s="30" t="str">
        <x:v>Proposed</x:v>
      </x:c>
    </x:row>
    <x:row r="25">
      <x:c r="A25" s="19" t="inlineStr">
        <x:is>
          <x:t xml:space="preserve">FLD-024</x:t>
        </x:is>
      </x:c>
      <x:c r="B25" s="6" t="inlineStr">
        <x:is>
          <x:t xml:space="preserve">Event</x:t>
        </x:is>
      </x:c>
      <x:c r="C25" s="6" t="inlineStr">
        <x:is>
          <x:t xml:space="preserve">event_timestamp_epoch</x:t>
        </x:is>
      </x:c>
      <x:c r="D25" s="6" t="inlineStr">
        <x:is>
          <x:t xml:space="preserve">زمان میلی‌ثانیه‌ای دقیق ثبت رویداد در سرور</x:t>
        </x:is>
      </x:c>
      <x:c r="E25" s="6" t="inlineStr">
        <x:is>
          <x:t xml:space="preserve">BigInt (Epoch ms)</x:t>
        </x:is>
      </x:c>
      <x:c r="F25" s="6" t="inlineStr">
        <x:is>
          <x:t xml:space="preserve">Event</x:t>
        </x:is>
      </x:c>
      <x:c r="G25" s="19" t="inlineStr">
        <x:is>
          <x:t xml:space="preserve">اجباری</x:t>
        </x:is>
      </x:c>
      <x:c r="H25" s="6" t="inlineStr">
        <x:is>
          <x:t xml:space="preserve">سرور ترکینگ مرکزی</x:t>
        </x:is>
      </x:c>
      <x:c r="I25" s="6" t="inlineStr">
        <x:is>
          <x:t xml:space="preserve">لحظه‌ای</x:t>
        </x:is>
      </x:c>
      <x:c r="J25" s="6" t="inlineStr">
        <x:is>
          <x:t xml:space="preserve">Time Attribute</x:t>
        </x:is>
      </x:c>
      <x:c r="K25" s="6" t="inlineStr">
        <x:is>
          <x:t xml:space="preserve">تحلیل‌های توالی زمانی، Time-to-Convert و تأخیر</x:t>
        </x:is>
      </x:c>
      <x:c r="L25" s="6" t="inlineStr">
        <x:is>
          <x:t xml:space="preserve">فنی</x:t>
        </x:is>
      </x:c>
      <x:c r="M25" s="6" t="inlineStr">
        <x:is>
          <x:t xml:space="preserve">منطقه زمانی استاندارد هماهنگ UTC</x:t>
        </x:is>
      </x:c>
      <x:c r="N25" s="30" t="str">
        <x:v>FLD-024</x:v>
      </x:c>
      <x:c r="O25" s="30" t="str">
        <x:v>No</x:v>
      </x:c>
      <x:c r="P25" s="30" t="str">
        <x:v>Yes</x:v>
      </x:c>
      <x:c r="Q25" s="30" t="str">
        <x:v>سرور ترکینگ مرکزی</x:v>
      </x:c>
      <x:c r="R25" s="30" t="str">
        <x:v>dim_or_fact_event</x:v>
      </x:c>
      <x:c r="S25" s="30" t="str">
        <x:v>نیازمند تکمیل و تأیید مالک</x:v>
      </x:c>
      <x:c r="T25" s="30" t="str">
        <x:v>نیازمند تکمیل و تأیید مالک</x:v>
      </x:c>
      <x:c r="U25" s="30" t="str">
        <x:v>نیازمند تکمیل و تأیید مالک</x:v>
      </x:c>
      <x:c r="V25" s="30" t="str">
        <x:v>نیازمند تکمیل و تأیید مالک</x:v>
      </x:c>
      <x:c r="W25" s="30" t="str">
        <x:v>Data Engineer</x:v>
      </x:c>
      <x:c r="X25" s="30" t="str">
        <x:v>Proposed</x:v>
      </x:c>
    </x:row>
    <x:row r="26">
      <x:c r="A26" s="17" t="inlineStr">
        <x:is>
          <x:t xml:space="preserve">FLD-025</x:t>
        </x:is>
      </x:c>
      <x:c r="B26" s="4" t="inlineStr">
        <x:is>
          <x:t xml:space="preserve">Event</x:t>
        </x:is>
      </x:c>
      <x:c r="C26" s="4" t="inlineStr">
        <x:is>
          <x:t xml:space="preserve">event_monetary_value</x:t>
        </x:is>
      </x:c>
      <x:c r="D26" s="4" t="inlineStr">
        <x:is>
          <x:t xml:space="preserve">ارزش مالی محقق‌شده ناشی از رویداد (در صورت وجود)</x:t>
        </x:is>
      </x:c>
      <x:c r="E26" s="4" t="inlineStr">
        <x:is>
          <x:t xml:space="preserve">Decimal (IRR)</x:t>
        </x:is>
      </x:c>
      <x:c r="F26" s="4" t="inlineStr">
        <x:is>
          <x:t xml:space="preserve">Event</x:t>
        </x:is>
      </x:c>
      <x:c r="G26" s="17" t="inlineStr">
        <x:is>
          <x:t xml:space="preserve">شرطی</x:t>
        </x:is>
      </x:c>
      <x:c r="H26" s="4" t="inlineStr">
        <x:is>
          <x:t xml:space="preserve">درگاه پرداخت / فاکتور</x:t>
        </x:is>
      </x:c>
      <x:c r="I26" s="4" t="inlineStr">
        <x:is>
          <x:t xml:space="preserve">لحظه‌ای</x:t>
        </x:is>
      </x:c>
      <x:c r="J26" s="4" t="inlineStr">
        <x:is>
          <x:t xml:space="preserve">Metric</x:t>
        </x:is>
      </x:c>
      <x:c r="K26" s="4" t="inlineStr">
        <x:is>
          <x:t xml:space="preserve">محاسبه درآمد منسوب به ایونت و ارسال به ادز</x:t>
        </x:is>
      </x:c>
      <x:c r="L26" s="4" t="inlineStr">
        <x:is>
          <x:t xml:space="preserve">حفاظت در برابر دستکاری مقادیر فرانت‌اند</x:t>
        </x:is>
      </x:c>
      <x:c r="M26" s="4" t="inlineStr">
        <x:is>
          <x:t xml:space="preserve">بررسی صحت ریالی مبالغ با بک‌اند سفارش</x:t>
        </x:is>
      </x:c>
      <x:c r="N26" s="30" t="str">
        <x:v>FLD-025</x:v>
      </x:c>
      <x:c r="O26" s="30" t="str">
        <x:v>No</x:v>
      </x:c>
      <x:c r="P26" s="30" t="str">
        <x:v>Yes</x:v>
      </x:c>
      <x:c r="Q26" s="30" t="str">
        <x:v>درگاه پرداخت / فاکتور</x:v>
      </x:c>
      <x:c r="R26" s="30" t="str">
        <x:v>dim_or_fact_event</x:v>
      </x:c>
      <x:c r="S26" s="30" t="str">
        <x:v>نیازمند تکمیل و تأیید مالک</x:v>
      </x:c>
      <x:c r="T26" s="30" t="str">
        <x:v>نیازمند تکمیل و تأیید مالک</x:v>
      </x:c>
      <x:c r="U26" s="30" t="str">
        <x:v>نیازمند تکمیل و تأیید مالک</x:v>
      </x:c>
      <x:c r="V26" s="30" t="str">
        <x:v>نیازمند تکمیل و تأیید مالک</x:v>
      </x:c>
      <x:c r="W26" s="30" t="str">
        <x:v>Data Engineer</x:v>
      </x:c>
      <x:c r="X26" s="30" t="str">
        <x:v>Proposed</x:v>
      </x:c>
    </x:row>
    <x:row r="27">
      <x:c r="A27" s="19" t="inlineStr">
        <x:is>
          <x:t xml:space="preserve">FLD-026</x:t>
        </x:is>
      </x:c>
      <x:c r="B27" s="6" t="inlineStr">
        <x:is>
          <x:t xml:space="preserve">Campaign</x:t>
        </x:is>
      </x:c>
      <x:c r="C27" s="6" t="inlineStr">
        <x:is>
          <x:t xml:space="preserve">campaign_id</x:t>
        </x:is>
      </x:c>
      <x:c r="D27" s="6" t="inlineStr">
        <x:is>
          <x:t xml:space="preserve">شناسه یکتای پلتفرمی کمپین تبلیغاتی</x:t>
        </x:is>
      </x:c>
      <x:c r="E27" s="6" t="inlineStr">
        <x:is>
          <x:t xml:space="preserve">String / BigInt</x:t>
        </x:is>
      </x:c>
      <x:c r="F27" s="6" t="inlineStr">
        <x:is>
          <x:t xml:space="preserve">Campaign</x:t>
        </x:is>
      </x:c>
      <x:c r="G27" s="19" t="inlineStr">
        <x:is>
          <x:t xml:space="preserve">اجباری</x:t>
        </x:is>
      </x:c>
      <x:c r="H27" s="6" t="inlineStr">
        <x:is>
          <x:t xml:space="preserve">API پلتفرم ادز (Google/Meta)</x:t>
        </x:is>
      </x:c>
      <x:c r="I27" s="6" t="inlineStr">
        <x:is>
          <x:t xml:space="preserve">ساعتی</x:t>
        </x:is>
      </x:c>
      <x:c r="J27" s="6" t="inlineStr">
        <x:is>
          <x:t xml:space="preserve">Primary Key</x:t>
        </x:is>
      </x:c>
      <x:c r="K27" s="6" t="inlineStr">
        <x:is>
          <x:t xml:space="preserve">تجمیع هزینه‌ها، کنترل سقف بودجه و Pacing</x:t>
        </x:is>
      </x:c>
      <x:c r="L27" s="6" t="inlineStr">
        <x:is>
          <x:t xml:space="preserve">عمومی پلتفرم</x:t>
        </x:is>
      </x:c>
      <x:c r="M27" s="6" t="inlineStr">
        <x:is>
          <x:t xml:space="preserve">بدون ناهماهنگی بین پنل ادز و دیتابیس</x:t>
        </x:is>
      </x:c>
      <x:c r="N27" s="30" t="str">
        <x:v>FLD-026</x:v>
      </x:c>
      <x:c r="O27" s="30" t="str">
        <x:v>Needs validation</x:v>
      </x:c>
      <x:c r="P27" s="30" t="str">
        <x:v>Yes</x:v>
      </x:c>
      <x:c r="Q27" s="30" t="str">
        <x:v>API پلتفرم ادز (Google/Meta)</x:v>
      </x:c>
      <x:c r="R27" s="30" t="str">
        <x:v>dim_or_fact_campaign</x:v>
      </x:c>
      <x:c r="S27" s="30" t="str">
        <x:v>نیازمند تکمیل و تأیید مالک</x:v>
      </x:c>
      <x:c r="T27" s="30" t="str">
        <x:v>نیازمند تکمیل و تأیید مالک</x:v>
      </x:c>
      <x:c r="U27" s="30" t="str">
        <x:v>نیازمند تکمیل و تأیید مالک</x:v>
      </x:c>
      <x:c r="V27" s="30" t="str">
        <x:v>نیازمند تکمیل و تأیید مالک</x:v>
      </x:c>
      <x:c r="W27" s="30" t="str">
        <x:v>Data Engineer</x:v>
      </x:c>
      <x:c r="X27" s="30" t="str">
        <x:v>Proposed</x:v>
      </x:c>
    </x:row>
    <x:row r="28">
      <x:c r="A28" s="17" t="inlineStr">
        <x:is>
          <x:t xml:space="preserve">FLD-027</x:t>
        </x:is>
      </x:c>
      <x:c r="B28" s="4" t="inlineStr">
        <x:is>
          <x:t xml:space="preserve">Campaign</x:t>
        </x:is>
      </x:c>
      <x:c r="C28" s="4" t="inlineStr">
        <x:is>
          <x:t xml:space="preserve">campaign_ad_platform</x:t>
        </x:is>
      </x:c>
      <x:c r="D28" s="4" t="inlineStr">
        <x:is>
          <x:t xml:space="preserve">نام شبکه توزیع‌کننده آگهی</x:t>
        </x:is>
      </x:c>
      <x:c r="E28" s="4" t="inlineStr">
        <x:is>
          <x:t xml:space="preserve">Enum (Google/Meta/SMS/...)</x:t>
        </x:is>
      </x:c>
      <x:c r="F28" s="4" t="inlineStr">
        <x:is>
          <x:t xml:space="preserve">Campaign</x:t>
        </x:is>
      </x:c>
      <x:c r="G28" s="17" t="inlineStr">
        <x:is>
          <x:t xml:space="preserve">اجباری</x:t>
        </x:is>
      </x:c>
      <x:c r="H28" s="4" t="inlineStr">
        <x:is>
          <x:t xml:space="preserve">کانکتور ورودی دیتا</x:t>
        </x:is>
      </x:c>
      <x:c r="I28" s="4" t="inlineStr">
        <x:is>
          <x:t xml:space="preserve">روزانه</x:t>
        </x:is>
      </x:c>
      <x:c r="J28" s="4" t="inlineStr">
        <x:is>
          <x:t xml:space="preserve">Dimension</x:t>
        </x:is>
      </x:c>
      <x:c r="K28" s="4" t="inlineStr">
        <x:is>
          <x:t xml:space="preserve">مقایسه بازدهی کانال‌ها در سطح کلان</x:t>
        </x:is>
      </x:c>
      <x:c r="L28" s="4" t="inlineStr">
        <x:is>
          <x:t xml:space="preserve">نام برند پلتفرم</x:t>
        </x:is>
      </x:c>
      <x:c r="M28" s="4" t="inlineStr">
        <x:is>
          <x:t xml:space="preserve">بدون مقدار فاقد دسته‌بندی</x:t>
        </x:is>
      </x:c>
      <x:c r="N28" s="30" t="str">
        <x:v>FLD-027</x:v>
      </x:c>
      <x:c r="O28" s="30" t="str">
        <x:v>No</x:v>
      </x:c>
      <x:c r="P28" s="30" t="str">
        <x:v>Yes</x:v>
      </x:c>
      <x:c r="Q28" s="30" t="str">
        <x:v>کانکتور ورودی دیتا</x:v>
      </x:c>
      <x:c r="R28" s="30" t="str">
        <x:v>dim_or_fact_campaign</x:v>
      </x:c>
      <x:c r="S28" s="30" t="str">
        <x:v>نیازمند تکمیل و تأیید مالک</x:v>
      </x:c>
      <x:c r="T28" s="30" t="str">
        <x:v>نیازمند تکمیل و تأیید مالک</x:v>
      </x:c>
      <x:c r="U28" s="30" t="str">
        <x:v>نیازمند تکمیل و تأیید مالک</x:v>
      </x:c>
      <x:c r="V28" s="30" t="str">
        <x:v>نیازمند تکمیل و تأیید مالک</x:v>
      </x:c>
      <x:c r="W28" s="30" t="str">
        <x:v>Data Engineer</x:v>
      </x:c>
      <x:c r="X28" s="30" t="str">
        <x:v>Proposed</x:v>
      </x:c>
    </x:row>
    <x:row r="29">
      <x:c r="A29" s="19" t="inlineStr">
        <x:is>
          <x:t xml:space="preserve">FLD-028</x:t>
        </x:is>
      </x:c>
      <x:c r="B29" s="6" t="inlineStr">
        <x:is>
          <x:t xml:space="preserve">Campaign</x:t>
        </x:is>
      </x:c>
      <x:c r="C29" s="6" t="inlineStr">
        <x:is>
          <x:t xml:space="preserve">campaign_marketing_objective</x:t>
        </x:is>
      </x:c>
      <x:c r="D29" s="6" t="inlineStr">
        <x:is>
          <x:t xml:space="preserve">هدف ساختاری کمپین در پلتفرم (Leads, Sales, Traffic)</x:t>
        </x:is>
      </x:c>
      <x:c r="E29" s="6" t="inlineStr">
        <x:is>
          <x:t xml:space="preserve">String</x:t>
        </x:is>
      </x:c>
      <x:c r="F29" s="6" t="inlineStr">
        <x:is>
          <x:t xml:space="preserve">Campaign</x:t>
        </x:is>
      </x:c>
      <x:c r="G29" s="19" t="inlineStr">
        <x:is>
          <x:t xml:space="preserve">اجباری</x:t>
        </x:is>
      </x:c>
      <x:c r="H29" s="6" t="inlineStr">
        <x:is>
          <x:t xml:space="preserve">متادیتای پنل تبلیغات</x:t>
        </x:is>
      </x:c>
      <x:c r="I29" s="6" t="inlineStr">
        <x:is>
          <x:t xml:space="preserve">روزانه</x:t>
        </x:is>
      </x:c>
      <x:c r="J29" s="6" t="inlineStr">
        <x:is>
          <x:t xml:space="preserve">Dimension</x:t>
        </x:is>
      </x:c>
      <x:c r="K29" s="6" t="inlineStr">
        <x:is>
          <x:t xml:space="preserve">ارزیابی انطباق نتیجه با هدف استراتژیک کمپین</x:t>
        </x:is>
      </x:c>
      <x:c r="L29" s="6" t="inlineStr">
        <x:is>
          <x:t xml:space="preserve">عمومی</x:t>
        </x:is>
      </x:c>
      <x:c r="M29" s="6" t="inlineStr">
        <x:is>
          <x:t xml:space="preserve">استانداردسازی ترمینولوژی</x:t>
        </x:is>
      </x:c>
      <x:c r="N29" s="30" t="str">
        <x:v>FLD-028</x:v>
      </x:c>
      <x:c r="O29" s="30" t="str">
        <x:v>No</x:v>
      </x:c>
      <x:c r="P29" s="30" t="str">
        <x:v>Yes</x:v>
      </x:c>
      <x:c r="Q29" s="30" t="str">
        <x:v>متادیتای پنل تبلیغات</x:v>
      </x:c>
      <x:c r="R29" s="30" t="str">
        <x:v>dim_or_fact_campaign</x:v>
      </x:c>
      <x:c r="S29" s="30" t="str">
        <x:v>نیازمند تکمیل و تأیید مالک</x:v>
      </x:c>
      <x:c r="T29" s="30" t="str">
        <x:v>نیازمند تکمیل و تأیید مالک</x:v>
      </x:c>
      <x:c r="U29" s="30" t="str">
        <x:v>نیازمند تکمیل و تأیید مالک</x:v>
      </x:c>
      <x:c r="V29" s="30" t="str">
        <x:v>نیازمند تکمیل و تأیید مالک</x:v>
      </x:c>
      <x:c r="W29" s="30" t="str">
        <x:v>Data Engineer</x:v>
      </x:c>
      <x:c r="X29" s="30" t="str">
        <x:v>Proposed</x:v>
      </x:c>
    </x:row>
    <x:row r="30">
      <x:c r="A30" s="17" t="inlineStr">
        <x:is>
          <x:t xml:space="preserve">FLD-029</x:t>
        </x:is>
      </x:c>
      <x:c r="B30" s="4" t="inlineStr">
        <x:is>
          <x:t xml:space="preserve">Campaign</x:t>
        </x:is>
      </x:c>
      <x:c r="C30" s="4" t="inlineStr">
        <x:is>
          <x:t xml:space="preserve">campaign_daily_budget_limit</x:t>
        </x:is>
      </x:c>
      <x:c r="D30" s="4" t="inlineStr">
        <x:is>
          <x:t xml:space="preserve">سقف بودجه مصوب روزانه کمپین</x:t>
        </x:is>
      </x:c>
      <x:c r="E30" s="4" t="inlineStr">
        <x:is>
          <x:t xml:space="preserve">Decimal (Currency)</x:t>
        </x:is>
      </x:c>
      <x:c r="F30" s="4" t="inlineStr">
        <x:is>
          <x:t xml:space="preserve">Campaign</x:t>
        </x:is>
      </x:c>
      <x:c r="G30" s="17" t="inlineStr">
        <x:is>
          <x:t xml:space="preserve">اجباری</x:t>
        </x:is>
      </x:c>
      <x:c r="H30" s="4" t="inlineStr">
        <x:is>
          <x:t xml:space="preserve">تنظیمات اکانت ادز</x:t>
        </x:is>
      </x:c>
      <x:c r="I30" s="4" t="inlineStr">
        <x:is>
          <x:t xml:space="preserve">ساعتی</x:t>
        </x:is>
      </x:c>
      <x:c r="J30" s="4" t="inlineStr">
        <x:is>
          <x:t xml:space="preserve">Metric</x:t>
        </x:is>
      </x:c>
      <x:c r="K30" s="4" t="inlineStr">
        <x:is>
          <x:t xml:space="preserve">پایش ریسک اضافه مصرف (Overspend) و تراز بودجه</x:t>
        </x:is>
      </x:c>
      <x:c r="L30" s="4" t="inlineStr">
        <x:is>
          <x:t xml:space="preserve">اطلاعات مالی تجاری شرکت</x:t>
        </x:is>
      </x:c>
      <x:c r="M30" s="4" t="inlineStr">
        <x:is>
          <x:t xml:space="preserve">ثبت دقیق ارز مبنا (دلار/درهم/ریال)</x:t>
        </x:is>
      </x:c>
      <x:c r="N30" s="30" t="str">
        <x:v>FLD-029</x:v>
      </x:c>
      <x:c r="O30" s="30" t="str">
        <x:v>No</x:v>
      </x:c>
      <x:c r="P30" s="30" t="str">
        <x:v>Yes</x:v>
      </x:c>
      <x:c r="Q30" s="30" t="str">
        <x:v>تنظیمات اکانت ادز</x:v>
      </x:c>
      <x:c r="R30" s="30" t="str">
        <x:v>dim_or_fact_campaign</x:v>
      </x:c>
      <x:c r="S30" s="30" t="str">
        <x:v>نیازمند تکمیل و تأیید مالک</x:v>
      </x:c>
      <x:c r="T30" s="30" t="str">
        <x:v>نیازمند تکمیل و تأیید مالک</x:v>
      </x:c>
      <x:c r="U30" s="30" t="str">
        <x:v>نیازمند تکمیل و تأیید مالک</x:v>
      </x:c>
      <x:c r="V30" s="30" t="str">
        <x:v>نیازمند تکمیل و تأیید مالک</x:v>
      </x:c>
      <x:c r="W30" s="30" t="str">
        <x:v>Data Engineer</x:v>
      </x:c>
      <x:c r="X30" s="30" t="str">
        <x:v>Proposed</x:v>
      </x:c>
    </x:row>
    <x:row r="31">
      <x:c r="A31" s="19" t="inlineStr">
        <x:is>
          <x:t xml:space="preserve">FLD-030</x:t>
        </x:is>
      </x:c>
      <x:c r="B31" s="6" t="inlineStr">
        <x:is>
          <x:t xml:space="preserve">Campaign</x:t>
        </x:is>
      </x:c>
      <x:c r="C31" s="6" t="inlineStr">
        <x:is>
          <x:t xml:space="preserve">campaign_daily_actual_spend</x:t>
        </x:is>
      </x:c>
      <x:c r="D31" s="6" t="inlineStr">
        <x:is>
          <x:t xml:space="preserve">هزینه واقعی قطعی ثبت‌شده برای کمپین در روز مشخص</x:t>
        </x:is>
      </x:c>
      <x:c r="E31" s="6" t="inlineStr">
        <x:is>
          <x:t xml:space="preserve">Decimal (IRR/USD)</x:t>
        </x:is>
      </x:c>
      <x:c r="F31" s="6" t="inlineStr">
        <x:is>
          <x:t xml:space="preserve">Campaign</x:t>
        </x:is>
      </x:c>
      <x:c r="G31" s="19" t="inlineStr">
        <x:is>
          <x:t xml:space="preserve">اجباری</x:t>
        </x:is>
      </x:c>
      <x:c r="H31" s="6" t="inlineStr">
        <x:is>
          <x:t xml:space="preserve">گزارش نهایی فاکتور پلتفرم</x:t>
        </x:is>
      </x:c>
      <x:c r="I31" s="6" t="inlineStr">
        <x:is>
          <x:t xml:space="preserve">ساعتی/روزانه</x:t>
        </x:is>
      </x:c>
      <x:c r="J31" s="6" t="inlineStr">
        <x:is>
          <x:t xml:space="preserve">Metric</x:t>
        </x:is>
      </x:c>
      <x:c r="K31" s="6" t="inlineStr">
        <x:is>
          <x:t xml:space="preserve">مخرج کسر شاخص‌های CAC، ROAS و POAS</x:t>
        </x:is>
      </x:c>
      <x:c r="L31" s="6" t="inlineStr">
        <x:is>
          <x:t xml:space="preserve">تطبیق با صورت‌حساب کارت‌های ارزی</x:t>
        </x:is>
      </x:c>
      <x:c r="M31" s="6" t="inlineStr">
        <x:is>
          <x:t xml:space="preserve">مغایرت صفر با داشبورد اصلی پلتفرم</x:t>
        </x:is>
      </x:c>
      <x:c r="N31" s="30" t="str">
        <x:v>FLD-030</x:v>
      </x:c>
      <x:c r="O31" s="30" t="str">
        <x:v>No</x:v>
      </x:c>
      <x:c r="P31" s="30" t="str">
        <x:v>Yes</x:v>
      </x:c>
      <x:c r="Q31" s="30" t="str">
        <x:v>گزارش نهایی فاکتور پلتفرم</x:v>
      </x:c>
      <x:c r="R31" s="30" t="str">
        <x:v>dim_or_fact_campaign</x:v>
      </x:c>
      <x:c r="S31" s="30" t="str">
        <x:v>نیازمند تکمیل و تأیید مالک</x:v>
      </x:c>
      <x:c r="T31" s="30" t="str">
        <x:v>نیازمند تکمیل و تأیید مالک</x:v>
      </x:c>
      <x:c r="U31" s="30" t="str">
        <x:v>نیازمند تکمیل و تأیید مالک</x:v>
      </x:c>
      <x:c r="V31" s="30" t="str">
        <x:v>نیازمند تکمیل و تأیید مالک</x:v>
      </x:c>
      <x:c r="W31" s="30" t="str">
        <x:v>Data Engineer</x:v>
      </x:c>
      <x:c r="X31" s="30" t="str">
        <x:v>Proposed</x:v>
      </x:c>
    </x:row>
    <x:row r="32">
      <x:c r="A32" s="17" t="inlineStr">
        <x:is>
          <x:t xml:space="preserve">FLD-031</x:t>
        </x:is>
      </x:c>
      <x:c r="B32" s="4" t="inlineStr">
        <x:is>
          <x:t xml:space="preserve">Ad Set</x:t>
        </x:is>
      </x:c>
      <x:c r="C32" s="4" t="inlineStr">
        <x:is>
          <x:t xml:space="preserve">adset_adgroup_id</x:t>
        </x:is>
      </x:c>
      <x:c r="D32" s="4" t="inlineStr">
        <x:is>
          <x:t xml:space="preserve">شناسه یکتای گروه تبلیغاتی یا ادست</x:t>
        </x:is>
      </x:c>
      <x:c r="E32" s="4" t="inlineStr">
        <x:is>
          <x:t xml:space="preserve">String / BigInt</x:t>
        </x:is>
      </x:c>
      <x:c r="F32" s="4" t="inlineStr">
        <x:is>
          <x:t xml:space="preserve">Ad Set</x:t>
        </x:is>
      </x:c>
      <x:c r="G32" s="17" t="inlineStr">
        <x:is>
          <x:t xml:space="preserve">اجباری</x:t>
        </x:is>
      </x:c>
      <x:c r="H32" s="4" t="inlineStr">
        <x:is>
          <x:t xml:space="preserve">API پلتفرم‌های تبلیغاتی</x:t>
        </x:is>
      </x:c>
      <x:c r="I32" s="4" t="inlineStr">
        <x:is>
          <x:t xml:space="preserve">ساعتی</x:t>
        </x:is>
      </x:c>
      <x:c r="J32" s="4" t="inlineStr">
        <x:is>
          <x:t xml:space="preserve">Primary Key</x:t>
        </x:is>
      </x:c>
      <x:c r="K32" s="4" t="inlineStr">
        <x:is>
          <x:t xml:space="preserve">پایش ترافیک در سطح هدف‌گیری مخاطبان</x:t>
        </x:is>
      </x:c>
      <x:c r="L32" s="4" t="inlineStr">
        <x:is>
          <x:t xml:space="preserve">عمومی</x:t>
        </x:is>
      </x:c>
      <x:c r="M32" s="4" t="inlineStr">
        <x:is>
          <x:t xml:space="preserve">تطابق ۱۰۰٪ با ساختار درختی اکانت</x:t>
        </x:is>
      </x:c>
      <x:c r="N32" s="30" t="str">
        <x:v>FLD-031</x:v>
      </x:c>
      <x:c r="O32" s="30" t="str">
        <x:v>Needs validation</x:v>
      </x:c>
      <x:c r="P32" s="30" t="str">
        <x:v>Yes</x:v>
      </x:c>
      <x:c r="Q32" s="30" t="str">
        <x:v>API پلتفرم‌های تبلیغاتی</x:v>
      </x:c>
      <x:c r="R32" s="30" t="str">
        <x:v>dim_or_fact_ad_set</x:v>
      </x:c>
      <x:c r="S32" s="30" t="str">
        <x:v>نیازمند تکمیل و تأیید مالک</x:v>
      </x:c>
      <x:c r="T32" s="30" t="str">
        <x:v>نیازمند تکمیل و تأیید مالک</x:v>
      </x:c>
      <x:c r="U32" s="30" t="str">
        <x:v>نیازمند تکمیل و تأیید مالک</x:v>
      </x:c>
      <x:c r="V32" s="30" t="str">
        <x:v>نیازمند تکمیل و تأیید مالک</x:v>
      </x:c>
      <x:c r="W32" s="30" t="str">
        <x:v>Data Engineer</x:v>
      </x:c>
      <x:c r="X32" s="30" t="str">
        <x:v>Proposed</x:v>
      </x:c>
    </x:row>
    <x:row r="33">
      <x:c r="A33" s="19" t="inlineStr">
        <x:is>
          <x:t xml:space="preserve">FLD-032</x:t>
        </x:is>
      </x:c>
      <x:c r="B33" s="6" t="inlineStr">
        <x:is>
          <x:t xml:space="preserve">Ad Set</x:t>
        </x:is>
      </x:c>
      <x:c r="C33" s="6" t="inlineStr">
        <x:is>
          <x:t xml:space="preserve">adset_campaign_fk</x:t>
        </x:is>
      </x:c>
      <x:c r="D33" s="6" t="inlineStr">
        <x:is>
          <x:t xml:space="preserve">اتصال گروه تبلیغاتی به کمپین بالادستی</x:t>
        </x:is>
      </x:c>
      <x:c r="E33" s="6" t="inlineStr">
        <x:is>
          <x:t xml:space="preserve">String</x:t>
        </x:is>
      </x:c>
      <x:c r="F33" s="6" t="inlineStr">
        <x:is>
          <x:t xml:space="preserve">Ad Set</x:t>
        </x:is>
      </x:c>
      <x:c r="G33" s="19" t="inlineStr">
        <x:is>
          <x:t xml:space="preserve">اجباری</x:t>
        </x:is>
      </x:c>
      <x:c r="H33" s="6" t="inlineStr">
        <x:is>
          <x:t xml:space="preserve">ساختار متادیتای ادز</x:t>
        </x:is>
      </x:c>
      <x:c r="I33" s="6" t="inlineStr">
        <x:is>
          <x:t xml:space="preserve">ساعتی</x:t>
        </x:is>
      </x:c>
      <x:c r="J33" s="6" t="inlineStr">
        <x:is>
          <x:t xml:space="preserve">Foreign Key to Campaign</x:t>
        </x:is>
      </x:c>
      <x:c r="K33" s="6" t="inlineStr">
        <x:is>
          <x:t xml:space="preserve">تحلیل‌های سلسله‌مراتبی (Drill-down) بودجه</x:t>
        </x:is>
      </x:c>
      <x:c r="L33" s="6" t="inlineStr">
        <x:is>
          <x:t xml:space="preserve">فنی</x:t>
        </x:is>
      </x:c>
      <x:c r="M33" s="6" t="inlineStr">
        <x:is>
          <x:t xml:space="preserve">عدم وجود ادست یتیم (Orphan Ad Set)</x:t>
        </x:is>
      </x:c>
      <x:c r="N33" s="30" t="str">
        <x:v>FLD-032</x:v>
      </x:c>
      <x:c r="O33" s="30" t="str">
        <x:v>No</x:v>
      </x:c>
      <x:c r="P33" s="30" t="str">
        <x:v>Yes</x:v>
      </x:c>
      <x:c r="Q33" s="30" t="str">
        <x:v>ساختار متادیتای ادز</x:v>
      </x:c>
      <x:c r="R33" s="30" t="str">
        <x:v>dim_or_fact_ad_set</x:v>
      </x:c>
      <x:c r="S33" s="30" t="str">
        <x:v>نیازمند تکمیل و تأیید مالک</x:v>
      </x:c>
      <x:c r="T33" s="30" t="str">
        <x:v>نیازمند تکمیل و تأیید مالک</x:v>
      </x:c>
      <x:c r="U33" s="30" t="str">
        <x:v>نیازمند تکمیل و تأیید مالک</x:v>
      </x:c>
      <x:c r="V33" s="30" t="str">
        <x:v>نیازمند تکمیل و تأیید مالک</x:v>
      </x:c>
      <x:c r="W33" s="30" t="str">
        <x:v>Data Engineer</x:v>
      </x:c>
      <x:c r="X33" s="30" t="str">
        <x:v>Proposed</x:v>
      </x:c>
    </x:row>
    <x:row r="34">
      <x:c r="A34" s="17" t="inlineStr">
        <x:is>
          <x:t xml:space="preserve">FLD-033</x:t>
        </x:is>
      </x:c>
      <x:c r="B34" s="4" t="inlineStr">
        <x:is>
          <x:t xml:space="preserve">Ad Set</x:t>
        </x:is>
      </x:c>
      <x:c r="C34" s="4" t="inlineStr">
        <x:is>
          <x:t xml:space="preserve">adset_targeting_profile_type</x:t>
        </x:is>
      </x:c>
      <x:c r="D34" s="4" t="inlineStr">
        <x:is>
          <x:t xml:space="preserve">نوع تارگتینگ اعمال‌شده (Lookalike, Broad, Keywords)</x:t>
        </x:is>
      </x:c>
      <x:c r="E34" s="4" t="inlineStr">
        <x:is>
          <x:t xml:space="preserve">String</x:t>
        </x:is>
      </x:c>
      <x:c r="F34" s="4" t="inlineStr">
        <x:is>
          <x:t xml:space="preserve">Ad Set</x:t>
        </x:is>
      </x:c>
      <x:c r="G34" s="17" t="inlineStr">
        <x:is>
          <x:t xml:space="preserve">اجباری</x:t>
        </x:is>
      </x:c>
      <x:c r="H34" s="4" t="inlineStr">
        <x:is>
          <x:t xml:space="preserve">گزارش متادیتای اکانت</x:t>
        </x:is>
      </x:c>
      <x:c r="I34" s="4" t="inlineStr">
        <x:is>
          <x:t xml:space="preserve">روزانه</x:t>
        </x:is>
      </x:c>
      <x:c r="J34" s="4" t="inlineStr">
        <x:is>
          <x:t xml:space="preserve">Dimension</x:t>
        </x:is>
      </x:c>
      <x:c r="K34" s="4" t="inlineStr">
        <x:is>
          <x:t xml:space="preserve">ارزیابی اثربخشی روش‌های مختلف مخاطب‌یابی</x:t>
        </x:is>
      </x:c>
      <x:c r="L34" s="4" t="inlineStr">
        <x:is>
          <x:t xml:space="preserve">عمومی</x:t>
        </x:is>
      </x:c>
      <x:c r="M34" s="4" t="inlineStr">
        <x:is>
          <x:t xml:space="preserve">برچسب‌گذاری دقیق سگمنت‌ها</x:t>
        </x:is>
      </x:c>
      <x:c r="N34" s="30" t="str">
        <x:v>FLD-033</x:v>
      </x:c>
      <x:c r="O34" s="30" t="str">
        <x:v>No</x:v>
      </x:c>
      <x:c r="P34" s="30" t="str">
        <x:v>Yes</x:v>
      </x:c>
      <x:c r="Q34" s="30" t="str">
        <x:v>گزارش متادیتای اکانت</x:v>
      </x:c>
      <x:c r="R34" s="30" t="str">
        <x:v>dim_or_fact_ad_set</x:v>
      </x:c>
      <x:c r="S34" s="30" t="str">
        <x:v>نیازمند تکمیل و تأیید مالک</x:v>
      </x:c>
      <x:c r="T34" s="30" t="str">
        <x:v>نیازمند تکمیل و تأیید مالک</x:v>
      </x:c>
      <x:c r="U34" s="30" t="str">
        <x:v>نیازمند تکمیل و تأیید مالک</x:v>
      </x:c>
      <x:c r="V34" s="30" t="str">
        <x:v>نیازمند تکمیل و تأیید مالک</x:v>
      </x:c>
      <x:c r="W34" s="30" t="str">
        <x:v>Data Engineer</x:v>
      </x:c>
      <x:c r="X34" s="30" t="str">
        <x:v>Proposed</x:v>
      </x:c>
    </x:row>
    <x:row r="35">
      <x:c r="A35" s="19" t="inlineStr">
        <x:is>
          <x:t xml:space="preserve">FLD-034</x:t>
        </x:is>
      </x:c>
      <x:c r="B35" s="6" t="inlineStr">
        <x:is>
          <x:t xml:space="preserve">Ad Set</x:t>
        </x:is>
      </x:c>
      <x:c r="C35" s="6" t="inlineStr">
        <x:is>
          <x:t xml:space="preserve">adset_bidding_strategy</x:t>
        </x:is>
      </x:c>
      <x:c r="D35" s="6" t="inlineStr">
        <x:is>
          <x:t xml:space="preserve">استراتژی هوش مصنوعی مزایده (tCPA, tROAS, Max Conv)</x:t>
        </x:is>
      </x:c>
      <x:c r="E35" s="6" t="inlineStr">
        <x:is>
          <x:t xml:space="preserve">String</x:t>
        </x:is>
      </x:c>
      <x:c r="F35" s="6" t="inlineStr">
        <x:is>
          <x:t xml:space="preserve">Ad Set</x:t>
        </x:is>
      </x:c>
      <x:c r="G35" s="19" t="inlineStr">
        <x:is>
          <x:t xml:space="preserve">اجباری</x:t>
        </x:is>
      </x:c>
      <x:c r="H35" s="6" t="inlineStr">
        <x:is>
          <x:t xml:space="preserve">گزارش الگوریتم ادز</x:t>
        </x:is>
      </x:c>
      <x:c r="I35" s="6" t="inlineStr">
        <x:is>
          <x:t xml:space="preserve">روزانه</x:t>
        </x:is>
      </x:c>
      <x:c r="J35" s="6" t="inlineStr">
        <x:is>
          <x:t xml:space="preserve">Dimension</x:t>
        </x:is>
      </x:c>
      <x:c r="K35" s="6" t="inlineStr">
        <x:is>
          <x:t xml:space="preserve">تحلیل رفتار الگوریتم و نوسانات مزایده</x:t>
        </x:is>
      </x:c>
      <x:c r="L35" s="6" t="inlineStr">
        <x:is>
          <x:t xml:space="preserve">فنی</x:t>
        </x:is>
      </x:c>
      <x:c r="M35" s="6" t="inlineStr">
        <x:is>
          <x:t xml:space="preserve">ثبت تغییرات تاریخی استراتژی مزایده</x:t>
        </x:is>
      </x:c>
      <x:c r="N35" s="30" t="str">
        <x:v>FLD-034</x:v>
      </x:c>
      <x:c r="O35" s="30" t="str">
        <x:v>No</x:v>
      </x:c>
      <x:c r="P35" s="30" t="str">
        <x:v>Yes</x:v>
      </x:c>
      <x:c r="Q35" s="30" t="str">
        <x:v>گزارش الگوریتم ادز</x:v>
      </x:c>
      <x:c r="R35" s="30" t="str">
        <x:v>dim_or_fact_ad_set</x:v>
      </x:c>
      <x:c r="S35" s="30" t="str">
        <x:v>نیازمند تکمیل و تأیید مالک</x:v>
      </x:c>
      <x:c r="T35" s="30" t="str">
        <x:v>نیازمند تکمیل و تأیید مالک</x:v>
      </x:c>
      <x:c r="U35" s="30" t="str">
        <x:v>نیازمند تکمیل و تأیید مالک</x:v>
      </x:c>
      <x:c r="V35" s="30" t="str">
        <x:v>نیازمند تکمیل و تأیید مالک</x:v>
      </x:c>
      <x:c r="W35" s="30" t="str">
        <x:v>Data Engineer</x:v>
      </x:c>
      <x:c r="X35" s="30" t="str">
        <x:v>Proposed</x:v>
      </x:c>
    </x:row>
    <x:row r="36">
      <x:c r="A36" s="17" t="inlineStr">
        <x:is>
          <x:t xml:space="preserve">FLD-035</x:t>
        </x:is>
      </x:c>
      <x:c r="B36" s="4" t="inlineStr">
        <x:is>
          <x:t xml:space="preserve">Ad</x:t>
        </x:is>
      </x:c>
      <x:c r="C36" s="4" t="inlineStr">
        <x:is>
          <x:t xml:space="preserve">ad_id</x:t>
        </x:is>
      </x:c>
      <x:c r="D36" s="4" t="inlineStr">
        <x:is>
          <x:t xml:space="preserve">شناسه یکتای آگهی مشخص نمایش‌داده‌شده</x:t>
        </x:is>
      </x:c>
      <x:c r="E36" s="4" t="inlineStr">
        <x:is>
          <x:t xml:space="preserve">String / BigInt</x:t>
        </x:is>
      </x:c>
      <x:c r="F36" s="4" t="inlineStr">
        <x:is>
          <x:t xml:space="preserve">Ad</x:t>
        </x:is>
      </x:c>
      <x:c r="G36" s="17" t="inlineStr">
        <x:is>
          <x:t xml:space="preserve">اجباری</x:t>
        </x:is>
      </x:c>
      <x:c r="H36" s="4" t="inlineStr">
        <x:is>
          <x:t xml:space="preserve">API پلتفرم ادز</x:t>
        </x:is>
      </x:c>
      <x:c r="I36" s="4" t="inlineStr">
        <x:is>
          <x:t xml:space="preserve">ساعتی</x:t>
        </x:is>
      </x:c>
      <x:c r="J36" s="4" t="inlineStr">
        <x:is>
          <x:t xml:space="preserve">Primary Key</x:t>
        </x:is>
      </x:c>
      <x:c r="K36" s="4" t="inlineStr">
        <x:is>
          <x:t xml:space="preserve">تفکیک دقیق آگهی برنده از آگهی‌های ضعیف</x:t>
        </x:is>
      </x:c>
      <x:c r="L36" s="4" t="inlineStr">
        <x:is>
          <x:t xml:space="preserve">عمومی</x:t>
        </x:is>
      </x:c>
      <x:c r="M36" s="4" t="inlineStr">
        <x:is>
          <x:t xml:space="preserve">یکتایی در کل اکانت‌های ادز</x:t>
        </x:is>
      </x:c>
      <x:c r="N36" s="30" t="str">
        <x:v>FLD-035</x:v>
      </x:c>
      <x:c r="O36" s="30" t="str">
        <x:v>Needs validation</x:v>
      </x:c>
      <x:c r="P36" s="30" t="str">
        <x:v>Yes</x:v>
      </x:c>
      <x:c r="Q36" s="30" t="str">
        <x:v>API پلتفرم ادز</x:v>
      </x:c>
      <x:c r="R36" s="30" t="str">
        <x:v>dim_or_fact_ad</x:v>
      </x:c>
      <x:c r="S36" s="30" t="str">
        <x:v>نیازمند تکمیل و تأیید مالک</x:v>
      </x:c>
      <x:c r="T36" s="30" t="str">
        <x:v>نیازمند تکمیل و تأیید مالک</x:v>
      </x:c>
      <x:c r="U36" s="30" t="str">
        <x:v>نیازمند تکمیل و تأیید مالک</x:v>
      </x:c>
      <x:c r="V36" s="30" t="str">
        <x:v>نیازمند تکمیل و تأیید مالک</x:v>
      </x:c>
      <x:c r="W36" s="30" t="str">
        <x:v>Data Engineer</x:v>
      </x:c>
      <x:c r="X36" s="30" t="str">
        <x:v>Proposed</x:v>
      </x:c>
    </x:row>
    <x:row r="37">
      <x:c r="A37" s="19" t="inlineStr">
        <x:is>
          <x:t xml:space="preserve">FLD-036</x:t>
        </x:is>
      </x:c>
      <x:c r="B37" s="6" t="inlineStr">
        <x:is>
          <x:t xml:space="preserve">Ad</x:t>
        </x:is>
      </x:c>
      <x:c r="C37" s="6" t="inlineStr">
        <x:is>
          <x:t xml:space="preserve">ad_adset_fk</x:t>
        </x:is>
      </x:c>
      <x:c r="D37" s="6" t="inlineStr">
        <x:is>
          <x:t xml:space="preserve">کلید اتصال آگهی به گروه تبلیغاتی مربوطه</x:t>
        </x:is>
      </x:c>
      <x:c r="E37" s="6" t="inlineStr">
        <x:is>
          <x:t xml:space="preserve">String</x:t>
        </x:is>
      </x:c>
      <x:c r="F37" s="6" t="inlineStr">
        <x:is>
          <x:t xml:space="preserve">Ad</x:t>
        </x:is>
      </x:c>
      <x:c r="G37" s="19" t="inlineStr">
        <x:is>
          <x:t xml:space="preserve">اجباری</x:t>
        </x:is>
      </x:c>
      <x:c r="H37" s="6" t="inlineStr">
        <x:is>
          <x:t xml:space="preserve">متادیتای پلتفرم</x:t>
        </x:is>
      </x:c>
      <x:c r="I37" s="6" t="inlineStr">
        <x:is>
          <x:t xml:space="preserve">ساعتی</x:t>
        </x:is>
      </x:c>
      <x:c r="J37" s="6" t="inlineStr">
        <x:is>
          <x:t xml:space="preserve">Foreign Key to Ad Set</x:t>
        </x:is>
      </x:c>
      <x:c r="K37" s="6" t="inlineStr">
        <x:is>
          <x:t xml:space="preserve">پیوند سلسله‌مراتبی عملکرد آگهی</x:t>
        </x:is>
      </x:c>
      <x:c r="L37" s="6" t="inlineStr">
        <x:is>
          <x:t xml:space="preserve">فنی</x:t>
        </x:is>
      </x:c>
      <x:c r="M37" s="6" t="inlineStr">
        <x:is>
          <x:t xml:space="preserve">بدون خطا در نگاشت به ادست</x:t>
        </x:is>
      </x:c>
      <x:c r="N37" s="30" t="str">
        <x:v>FLD-036</x:v>
      </x:c>
      <x:c r="O37" s="30" t="str">
        <x:v>No</x:v>
      </x:c>
      <x:c r="P37" s="30" t="str">
        <x:v>Yes</x:v>
      </x:c>
      <x:c r="Q37" s="30" t="str">
        <x:v>متادیتای پلتفرم</x:v>
      </x:c>
      <x:c r="R37" s="30" t="str">
        <x:v>dim_or_fact_ad</x:v>
      </x:c>
      <x:c r="S37" s="30" t="str">
        <x:v>نیازمند تکمیل و تأیید مالک</x:v>
      </x:c>
      <x:c r="T37" s="30" t="str">
        <x:v>نیازمند تکمیل و تأیید مالک</x:v>
      </x:c>
      <x:c r="U37" s="30" t="str">
        <x:v>نیازمند تکمیل و تأیید مالک</x:v>
      </x:c>
      <x:c r="V37" s="30" t="str">
        <x:v>نیازمند تکمیل و تأیید مالک</x:v>
      </x:c>
      <x:c r="W37" s="30" t="str">
        <x:v>Data Engineer</x:v>
      </x:c>
      <x:c r="X37" s="30" t="str">
        <x:v>Proposed</x:v>
      </x:c>
    </x:row>
    <x:row r="38">
      <x:c r="A38" s="17" t="inlineStr">
        <x:is>
          <x:t xml:space="preserve">FLD-037</x:t>
        </x:is>
      </x:c>
      <x:c r="B38" s="4" t="inlineStr">
        <x:is>
          <x:t xml:space="preserve">Ad</x:t>
        </x:is>
      </x:c>
      <x:c r="C38" s="4" t="inlineStr">
        <x:is>
          <x:t xml:space="preserve">ad_creative_asset_fk</x:t>
        </x:is>
      </x:c>
      <x:c r="D38" s="4" t="inlineStr">
        <x:is>
          <x:t xml:space="preserve">کلید ارتباطی آگهی به فایل یا طرح خلاقه مورد استفاده</x:t>
        </x:is>
      </x:c>
      <x:c r="E38" s="4" t="inlineStr">
        <x:is>
          <x:t xml:space="preserve">String (Hash/ID)</x:t>
        </x:is>
      </x:c>
      <x:c r="F38" s="4" t="inlineStr">
        <x:is>
          <x:t xml:space="preserve">Ad</x:t>
        </x:is>
      </x:c>
      <x:c r="G38" s="17" t="inlineStr">
        <x:is>
          <x:t xml:space="preserve">اجباری</x:t>
        </x:is>
      </x:c>
      <x:c r="H38" s="4" t="inlineStr">
        <x:is>
          <x:t xml:space="preserve">سیستم DAM / آرشیو کریتیو</x:t>
        </x:is>
      </x:c>
      <x:c r="I38" s="4" t="inlineStr">
        <x:is>
          <x:t xml:space="preserve">روزانه</x:t>
        </x:is>
      </x:c>
      <x:c r="J38" s="4" t="inlineStr">
        <x:is>
          <x:t xml:space="preserve">Foreign Key to Creative</x:t>
        </x:is>
      </x:c>
      <x:c r="K38" s="4" t="inlineStr">
        <x:is>
          <x:t xml:space="preserve">اتصال شاخص‌های فروش به محتوای ویدیویی یا بنری</x:t>
        </x:is>
      </x:c>
      <x:c r="L38" s="4" t="inlineStr">
        <x:is>
          <x:t xml:space="preserve">شناسه فایل داخلی</x:t>
        </x:is>
      </x:c>
      <x:c r="M38" s="4" t="inlineStr">
        <x:is>
          <x:t xml:space="preserve">الصاق اجباری در تمام تبلیغات</x:t>
        </x:is>
      </x:c>
      <x:c r="N38" s="30" t="str">
        <x:v>FLD-037</x:v>
      </x:c>
      <x:c r="O38" s="30" t="str">
        <x:v>No</x:v>
      </x:c>
      <x:c r="P38" s="30" t="str">
        <x:v>Yes</x:v>
      </x:c>
      <x:c r="Q38" s="30" t="str">
        <x:v>سیستم DAM / آرشیو کریتیو</x:v>
      </x:c>
      <x:c r="R38" s="30" t="str">
        <x:v>dim_or_fact_ad</x:v>
      </x:c>
      <x:c r="S38" s="30" t="str">
        <x:v>نیازمند تکمیل و تأیید مالک</x:v>
      </x:c>
      <x:c r="T38" s="30" t="str">
        <x:v>نیازمند تکمیل و تأیید مالک</x:v>
      </x:c>
      <x:c r="U38" s="30" t="str">
        <x:v>نیازمند تکمیل و تأیید مالک</x:v>
      </x:c>
      <x:c r="V38" s="30" t="str">
        <x:v>نیازمند تکمیل و تأیید مالک</x:v>
      </x:c>
      <x:c r="W38" s="30" t="str">
        <x:v>Data Engineer</x:v>
      </x:c>
      <x:c r="X38" s="30" t="str">
        <x:v>Proposed</x:v>
      </x:c>
    </x:row>
    <x:row r="39">
      <x:c r="A39" s="19" t="inlineStr">
        <x:is>
          <x:t xml:space="preserve">FLD-038</x:t>
        </x:is>
      </x:c>
      <x:c r="B39" s="6" t="inlineStr">
        <x:is>
          <x:t xml:space="preserve">Ad</x:t>
        </x:is>
      </x:c>
      <x:c r="C39" s="6" t="inlineStr">
        <x:is>
          <x:t xml:space="preserve">ad_approval_review_status</x:t>
        </x:is>
      </x:c>
      <x:c r="D39" s="6" t="inlineStr">
        <x:is>
          <x:t xml:space="preserve">وضعیت تاییدیه پالیسی آگهی در پلتفرم مدیا</x:t>
        </x:is>
      </x:c>
      <x:c r="E39" s="6" t="inlineStr">
        <x:is>
          <x:t xml:space="preserve">Enum (Approved/Disapproved)</x:t>
        </x:is>
      </x:c>
      <x:c r="F39" s="6" t="inlineStr">
        <x:is>
          <x:t xml:space="preserve">Ad</x:t>
        </x:is>
      </x:c>
      <x:c r="G39" s="19" t="inlineStr">
        <x:is>
          <x:t xml:space="preserve">اجباری</x:t>
        </x:is>
      </x:c>
      <x:c r="H39" s="6" t="inlineStr">
        <x:is>
          <x:t xml:space="preserve">وب‌هوک وضعیت ادز</x:t>
        </x:is>
      </x:c>
      <x:c r="I39" s="6" t="inlineStr">
        <x:is>
          <x:t xml:space="preserve">ساعتی</x:t>
        </x:is>
      </x:c>
      <x:c r="J39" s="6" t="inlineStr">
        <x:is>
          <x:t xml:space="preserve">Dimension</x:t>
        </x:is>
      </x:c>
      <x:c r="K39" s="6" t="inlineStr">
        <x:is>
          <x:t xml:space="preserve">ارسال هشدار فوری هنگام توقف ناخواسته آگهی</x:t>
        </x:is>
      </x:c>
      <x:c r="L39" s="6" t="inlineStr">
        <x:is>
          <x:t xml:space="preserve">عمومی</x:t>
        </x:is>
      </x:c>
      <x:c r="M39" s="6" t="inlineStr">
        <x:is>
          <x:t xml:space="preserve">بررسی ساعتی رکوردهای Disapproved</x:t>
        </x:is>
      </x:c>
      <x:c r="N39" s="30" t="str">
        <x:v>FLD-038</x:v>
      </x:c>
      <x:c r="O39" s="30" t="str">
        <x:v>No</x:v>
      </x:c>
      <x:c r="P39" s="30" t="str">
        <x:v>Yes</x:v>
      </x:c>
      <x:c r="Q39" s="30" t="str">
        <x:v>وب‌هوک وضعیت ادز</x:v>
      </x:c>
      <x:c r="R39" s="30" t="str">
        <x:v>dim_or_fact_ad</x:v>
      </x:c>
      <x:c r="S39" s="30" t="str">
        <x:v>نیازمند تکمیل و تأیید مالک</x:v>
      </x:c>
      <x:c r="T39" s="30" t="str">
        <x:v>نیازمند تکمیل و تأیید مالک</x:v>
      </x:c>
      <x:c r="U39" s="30" t="str">
        <x:v>نیازمند تکمیل و تأیید مالک</x:v>
      </x:c>
      <x:c r="V39" s="30" t="str">
        <x:v>نیازمند تکمیل و تأیید مالک</x:v>
      </x:c>
      <x:c r="W39" s="30" t="str">
        <x:v>Data Engineer</x:v>
      </x:c>
      <x:c r="X39" s="30" t="str">
        <x:v>Proposed</x:v>
      </x:c>
    </x:row>
    <x:row r="40">
      <x:c r="A40" s="17" t="inlineStr">
        <x:is>
          <x:t xml:space="preserve">FLD-039</x:t>
        </x:is>
      </x:c>
      <x:c r="B40" s="4" t="inlineStr">
        <x:is>
          <x:t xml:space="preserve">Ad</x:t>
        </x:is>
      </x:c>
      <x:c r="C40" s="4" t="inlineStr">
        <x:is>
          <x:t xml:space="preserve">ad_placement_position</x:t>
        </x:is>
      </x:c>
      <x:c r="D40" s="4" t="inlineStr">
        <x:is>
          <x:t xml:space="preserve">محل دقیق نمایش آگهی در پلتفرم (Reels, Story, Feed, Search Top)</x:t>
        </x:is>
      </x:c>
      <x:c r="E40" s="4" t="inlineStr">
        <x:is>
          <x:t xml:space="preserve">String</x:t>
        </x:is>
      </x:c>
      <x:c r="F40" s="4" t="inlineStr">
        <x:is>
          <x:t xml:space="preserve">Ad</x:t>
        </x:is>
      </x:c>
      <x:c r="G40" s="17" t="inlineStr">
        <x:is>
          <x:t xml:space="preserve">اجباری</x:t>
        </x:is>
      </x:c>
      <x:c r="H40" s="4" t="inlineStr">
        <x:is>
          <x:t xml:space="preserve">API پلتفرم ادز</x:t>
        </x:is>
      </x:c>
      <x:c r="I40" s="4" t="inlineStr">
        <x:is>
          <x:t xml:space="preserve">ساعتی</x:t>
        </x:is>
      </x:c>
      <x:c r="J40" s="4" t="inlineStr">
        <x:is>
          <x:t xml:space="preserve">Dimension</x:t>
        </x:is>
      </x:c>
      <x:c r="K40" s="4" t="inlineStr">
        <x:is>
          <x:t xml:space="preserve">ارزیابی بازدهی نرخ کلیک و تبدیل بر اساس جایگاه</x:t>
        </x:is>
      </x:c>
      <x:c r="L40" s="4" t="inlineStr">
        <x:is>
          <x:t xml:space="preserve">عمومی پلتفرم</x:t>
        </x:is>
      </x:c>
      <x:c r="M40" s="4" t="inlineStr">
        <x:is>
          <x:t xml:space="preserve">استاندارد نام‌گذاری یکنواخت</x:t>
        </x:is>
      </x:c>
      <x:c r="N40" s="30" t="str">
        <x:v>FLD-039</x:v>
      </x:c>
      <x:c r="O40" s="30" t="str">
        <x:v>No</x:v>
      </x:c>
      <x:c r="P40" s="30" t="str">
        <x:v>Yes</x:v>
      </x:c>
      <x:c r="Q40" s="30" t="str">
        <x:v>API پلتفرم ادز</x:v>
      </x:c>
      <x:c r="R40" s="30" t="str">
        <x:v>dim_or_fact_ad</x:v>
      </x:c>
      <x:c r="S40" s="30" t="str">
        <x:v>نیازمند تکمیل و تأیید مالک</x:v>
      </x:c>
      <x:c r="T40" s="30" t="str">
        <x:v>نیازمند تکمیل و تأیید مالک</x:v>
      </x:c>
      <x:c r="U40" s="30" t="str">
        <x:v>نیازمند تکمیل و تأیید مالک</x:v>
      </x:c>
      <x:c r="V40" s="30" t="str">
        <x:v>نیازمند تکمیل و تأیید مالک</x:v>
      </x:c>
      <x:c r="W40" s="30" t="str">
        <x:v>Data Engineer</x:v>
      </x:c>
      <x:c r="X40" s="30" t="str">
        <x:v>Proposed</x:v>
      </x:c>
    </x:row>
    <x:row r="41">
      <x:c r="A41" s="19" t="inlineStr">
        <x:is>
          <x:t xml:space="preserve">FLD-040</x:t>
        </x:is>
      </x:c>
      <x:c r="B41" s="6" t="inlineStr">
        <x:is>
          <x:t xml:space="preserve">Creative</x:t>
        </x:is>
      </x:c>
      <x:c r="C41" s="6" t="inlineStr">
        <x:is>
          <x:t xml:space="preserve">creative_id</x:t>
        </x:is>
      </x:c>
      <x:c r="D41" s="6" t="inlineStr">
        <x:is>
          <x:t xml:space="preserve">کد اختصاصی فایل محتوای تبلیغاتی در مخزن مدیا</x:t>
        </x:is>
      </x:c>
      <x:c r="E41" s="6" t="inlineStr">
        <x:is>
          <x:t xml:space="preserve">String (UUID)</x:t>
        </x:is>
      </x:c>
      <x:c r="F41" s="6" t="inlineStr">
        <x:is>
          <x:t xml:space="preserve">Creative</x:t>
        </x:is>
      </x:c>
      <x:c r="G41" s="19" t="inlineStr">
        <x:is>
          <x:t xml:space="preserve">اجباری</x:t>
        </x:is>
      </x:c>
      <x:c r="H41" s="6" t="inlineStr">
        <x:is>
          <x:t xml:space="preserve">Creative Asset Library</x:t>
        </x:is>
      </x:c>
      <x:c r="I41" s="6" t="inlineStr">
        <x:is>
          <x:t xml:space="preserve">هفتگی</x:t>
        </x:is>
      </x:c>
      <x:c r="J41" s="6" t="inlineStr">
        <x:is>
          <x:t xml:space="preserve">Primary Key</x:t>
        </x:is>
      </x:c>
      <x:c r="K41" s="6" t="inlineStr">
        <x:is>
          <x:t xml:space="preserve">اندازه‌گیری چرخه عمر، فرسایش و خستگی کریتیو</x:t>
        </x:is>
      </x:c>
      <x:c r="L41" s="6" t="inlineStr">
        <x:is>
          <x:t xml:space="preserve">کپی‌رایت سازمانی تیتانا</x:t>
        </x:is>
      </x:c>
      <x:c r="M41" s="6" t="inlineStr">
        <x:is>
          <x:t xml:space="preserve">یکتایی شناسه برای هر فایل ویدیویی/بنری</x:t>
        </x:is>
      </x:c>
      <x:c r="N41" s="30" t="str">
        <x:v>FLD-040</x:v>
      </x:c>
      <x:c r="O41" s="30" t="str">
        <x:v>Needs validation</x:v>
      </x:c>
      <x:c r="P41" s="30" t="str">
        <x:v>Yes</x:v>
      </x:c>
      <x:c r="Q41" s="30" t="str">
        <x:v>Creative Asset Library</x:v>
      </x:c>
      <x:c r="R41" s="30" t="str">
        <x:v>dim_or_fact_creative</x:v>
      </x:c>
      <x:c r="S41" s="30" t="str">
        <x:v>نیازمند تکمیل و تأیید مالک</x:v>
      </x:c>
      <x:c r="T41" s="30" t="str">
        <x:v>نیازمند تکمیل و تأیید مالک</x:v>
      </x:c>
      <x:c r="U41" s="30" t="str">
        <x:v>نیازمند تکمیل و تأیید مالک</x:v>
      </x:c>
      <x:c r="V41" s="30" t="str">
        <x:v>نیازمند تکمیل و تأیید مالک</x:v>
      </x:c>
      <x:c r="W41" s="30" t="str">
        <x:v>Data Engineer</x:v>
      </x:c>
      <x:c r="X41" s="30" t="str">
        <x:v>Proposed</x:v>
      </x:c>
    </x:row>
    <x:row r="42">
      <x:c r="A42" s="17" t="inlineStr">
        <x:is>
          <x:t xml:space="preserve">FLD-041</x:t>
        </x:is>
      </x:c>
      <x:c r="B42" s="4" t="inlineStr">
        <x:is>
          <x:t xml:space="preserve">Creative</x:t>
        </x:is>
      </x:c>
      <x:c r="C42" s="4" t="inlineStr">
        <x:is>
          <x:t xml:space="preserve">creative_format_type</x:t>
        </x:is>
      </x:c>
      <x:c r="D42" s="4" t="inlineStr">
        <x:is>
          <x:t xml:space="preserve">فرمت بصری محتوا (Video Reels, Carousel, Single Image)</x:t>
        </x:is>
      </x:c>
      <x:c r="E42" s="4" t="inlineStr">
        <x:is>
          <x:t xml:space="preserve">Enum</x:t>
        </x:is>
      </x:c>
      <x:c r="F42" s="4" t="inlineStr">
        <x:is>
          <x:t xml:space="preserve">Creative</x:t>
        </x:is>
      </x:c>
      <x:c r="G42" s="17" t="inlineStr">
        <x:is>
          <x:t xml:space="preserve">اجباری</x:t>
        </x:is>
      </x:c>
      <x:c r="H42" s="4" t="inlineStr">
        <x:is>
          <x:t xml:space="preserve">متادیتای تیم طراحی</x:t>
        </x:is>
      </x:c>
      <x:c r="I42" s="4" t="inlineStr">
        <x:is>
          <x:t xml:space="preserve">هفتگی</x:t>
        </x:is>
      </x:c>
      <x:c r="J42" s="4" t="inlineStr">
        <x:is>
          <x:t xml:space="preserve">Dimension</x:t>
        </x:is>
      </x:c>
      <x:c r="K42" s="4" t="inlineStr">
        <x:is>
          <x:t xml:space="preserve">تعیین فرمت با بالاترین بازگشت سرمایه در دندان‌پزشکی</x:t>
        </x:is>
      </x:c>
      <x:c r="L42" s="4" t="inlineStr">
        <x:is>
          <x:t xml:space="preserve">عمومی</x:t>
        </x:is>
      </x:c>
      <x:c r="M42" s="4" t="inlineStr">
        <x:is>
          <x:t xml:space="preserve">بدون مقدار تعریف‌نشده</x:t>
        </x:is>
      </x:c>
      <x:c r="N42" s="30" t="str">
        <x:v>FLD-041</x:v>
      </x:c>
      <x:c r="O42" s="30" t="str">
        <x:v>No</x:v>
      </x:c>
      <x:c r="P42" s="30" t="str">
        <x:v>Yes</x:v>
      </x:c>
      <x:c r="Q42" s="30" t="str">
        <x:v>متادیتای تیم طراحی</x:v>
      </x:c>
      <x:c r="R42" s="30" t="str">
        <x:v>dim_or_fact_creative</x:v>
      </x:c>
      <x:c r="S42" s="30" t="str">
        <x:v>نیازمند تکمیل و تأیید مالک</x:v>
      </x:c>
      <x:c r="T42" s="30" t="str">
        <x:v>نیازمند تکمیل و تأیید مالک</x:v>
      </x:c>
      <x:c r="U42" s="30" t="str">
        <x:v>نیازمند تکمیل و تأیید مالک</x:v>
      </x:c>
      <x:c r="V42" s="30" t="str">
        <x:v>نیازمند تکمیل و تأیید مالک</x:v>
      </x:c>
      <x:c r="W42" s="30" t="str">
        <x:v>Data Engineer</x:v>
      </x:c>
      <x:c r="X42" s="30" t="str">
        <x:v>Proposed</x:v>
      </x:c>
    </x:row>
    <x:row r="43">
      <x:c r="A43" s="19" t="inlineStr">
        <x:is>
          <x:t xml:space="preserve">FLD-042</x:t>
        </x:is>
      </x:c>
      <x:c r="B43" s="6" t="inlineStr">
        <x:is>
          <x:t xml:space="preserve">Creative</x:t>
        </x:is>
      </x:c>
      <x:c r="C43" s="6" t="inlineStr">
        <x:is>
          <x:t xml:space="preserve">creative_hook_angle_theme</x:t>
        </x:is>
      </x:c>
      <x:c r="D43" s="6" t="inlineStr">
        <x:is>
          <x:t xml:space="preserve">زاویه پیام قلاب ۳ ثانیه‌ای (تخفیف، گارانتی، فناوری روز)</x:t>
        </x:is>
      </x:c>
      <x:c r="E43" s="6" t="inlineStr">
        <x:is>
          <x:t xml:space="preserve">String</x:t>
        </x:is>
      </x:c>
      <x:c r="F43" s="6" t="inlineStr">
        <x:is>
          <x:t xml:space="preserve">Creative</x:t>
        </x:is>
      </x:c>
      <x:c r="G43" s="19" t="inlineStr">
        <x:is>
          <x:t xml:space="preserve">اجباری</x:t>
        </x:is>
      </x:c>
      <x:c r="H43" s="6" t="inlineStr">
        <x:is>
          <x:t xml:space="preserve">برچسب‌گذاری تیم استراتژی</x:t>
        </x:is>
      </x:c>
      <x:c r="I43" s="6" t="inlineStr">
        <x:is>
          <x:t xml:space="preserve">هفتگی</x:t>
        </x:is>
      </x:c>
      <x:c r="J43" s="6" t="inlineStr">
        <x:is>
          <x:t xml:space="preserve">Dimension</x:t>
        </x:is>
      </x:c>
      <x:c r="K43" s="6" t="inlineStr">
        <x:is>
          <x:t xml:space="preserve">کشف تمایلات روانشناختی دندان‌پزشکان در ویدیوها</x:t>
        </x:is>
      </x:c>
      <x:c r="L43" s="6" t="inlineStr">
        <x:is>
          <x:t xml:space="preserve">داخلی</x:t>
        </x:is>
      </x:c>
      <x:c r="M43" s="6" t="inlineStr">
        <x:is>
          <x:t xml:space="preserve">طبقه‌بندی از روی تاکسونومی مصوب</x:t>
        </x:is>
      </x:c>
      <x:c r="N43" s="30" t="str">
        <x:v>FLD-042</x:v>
      </x:c>
      <x:c r="O43" s="30" t="str">
        <x:v>No</x:v>
      </x:c>
      <x:c r="P43" s="30" t="str">
        <x:v>Yes</x:v>
      </x:c>
      <x:c r="Q43" s="30" t="str">
        <x:v>برچسب‌گذاری تیم استراتژی</x:v>
      </x:c>
      <x:c r="R43" s="30" t="str">
        <x:v>dim_or_fact_creative</x:v>
      </x:c>
      <x:c r="S43" s="30" t="str">
        <x:v>نیازمند تکمیل و تأیید مالک</x:v>
      </x:c>
      <x:c r="T43" s="30" t="str">
        <x:v>نیازمند تکمیل و تأیید مالک</x:v>
      </x:c>
      <x:c r="U43" s="30" t="str">
        <x:v>نیازمند تکمیل و تأیید مالک</x:v>
      </x:c>
      <x:c r="V43" s="30" t="str">
        <x:v>نیازمند تکمیل و تأیید مالک</x:v>
      </x:c>
      <x:c r="W43" s="30" t="str">
        <x:v>Data Engineer</x:v>
      </x:c>
      <x:c r="X43" s="30" t="str">
        <x:v>Proposed</x:v>
      </x:c>
    </x:row>
    <x:row r="44">
      <x:c r="A44" s="17" t="inlineStr">
        <x:is>
          <x:t xml:space="preserve">FLD-043</x:t>
        </x:is>
      </x:c>
      <x:c r="B44" s="4" t="inlineStr">
        <x:is>
          <x:t xml:space="preserve">Creative</x:t>
        </x:is>
      </x:c>
      <x:c r="C44" s="4" t="inlineStr">
        <x:is>
          <x:t xml:space="preserve">creative_visual_url</x:t>
        </x:is>
      </x:c>
      <x:c r="D44" s="4" t="inlineStr">
        <x:is>
          <x:t xml:space="preserve">آدرس دسترسی امن به فایل جهت پیش‌نمایش در داشبورد</x:t>
        </x:is>
      </x:c>
      <x:c r="E44" s="4" t="inlineStr">
        <x:is>
          <x:t xml:space="preserve">String (S3 URL)</x:t>
        </x:is>
      </x:c>
      <x:c r="F44" s="4" t="inlineStr">
        <x:is>
          <x:t xml:space="preserve">Creative</x:t>
        </x:is>
      </x:c>
      <x:c r="G44" s="17" t="inlineStr">
        <x:is>
          <x:t xml:space="preserve">اختیاری</x:t>
        </x:is>
      </x:c>
      <x:c r="H44" s="4" t="inlineStr">
        <x:is>
          <x:t xml:space="preserve">فضای ابری ذخیره‌سازی مدیا</x:t>
        </x:is>
      </x:c>
      <x:c r="I44" s="4" t="inlineStr">
        <x:is>
          <x:t xml:space="preserve">ماهانه</x:t>
        </x:is>
      </x:c>
      <x:c r="J44" s="4" t="inlineStr">
        <x:is>
          <x:t xml:space="preserve">Link Attribute</x:t>
        </x:is>
      </x:c>
      <x:c r="K44" s="4" t="inlineStr">
        <x:is>
          <x:t xml:space="preserve">نمایش در داشبورد خلاقه جهت تحلیل بصری سریع</x:t>
        </x:is>
      </x:c>
      <x:c r="L44" s="4" t="inlineStr">
        <x:is>
          <x:t xml:space="preserve">دسترسی محدود به پرسنل مجاز</x:t>
        </x:is>
      </x:c>
      <x:c r="M44" s="4" t="inlineStr">
        <x:is>
          <x:t xml:space="preserve">لینک‌های فعال و پایدار بدون خطای ۴۰۴</x:t>
        </x:is>
      </x:c>
      <x:c r="N44" s="30" t="str">
        <x:v>FLD-043</x:v>
      </x:c>
      <x:c r="O44" s="30" t="str">
        <x:v>No</x:v>
      </x:c>
      <x:c r="P44" s="30" t="str">
        <x:v>Yes</x:v>
      </x:c>
      <x:c r="Q44" s="30" t="str">
        <x:v>فضای ابری ذخیره‌سازی مدیا</x:v>
      </x:c>
      <x:c r="R44" s="30" t="str">
        <x:v>dim_or_fact_creative</x:v>
      </x:c>
      <x:c r="S44" s="30" t="str">
        <x:v>نیازمند تکمیل و تأیید مالک</x:v>
      </x:c>
      <x:c r="T44" s="30" t="str">
        <x:v>نیازمند تکمیل و تأیید مالک</x:v>
      </x:c>
      <x:c r="U44" s="30" t="str">
        <x:v>نیازمند تکمیل و تأیید مالک</x:v>
      </x:c>
      <x:c r="V44" s="30" t="str">
        <x:v>نیازمند تکمیل و تأیید مالک</x:v>
      </x:c>
      <x:c r="W44" s="30" t="str">
        <x:v>Data Engineer</x:v>
      </x:c>
      <x:c r="X44" s="30" t="str">
        <x:v>Proposed</x:v>
      </x:c>
    </x:row>
    <x:row r="45">
      <x:c r="A45" s="19" t="inlineStr">
        <x:is>
          <x:t xml:space="preserve">FLD-044</x:t>
        </x:is>
      </x:c>
      <x:c r="B45" s="6" t="inlineStr">
        <x:is>
          <x:t xml:space="preserve">Creative</x:t>
        </x:is>
      </x:c>
      <x:c r="C45" s="6" t="inlineStr">
        <x:is>
          <x:t xml:space="preserve">creative_audio_track_type</x:t>
        </x:is>
      </x:c>
      <x:c r="D45" s="6" t="inlineStr">
        <x:is>
          <x:t xml:space="preserve">نوع صوت روی ویدیوی تبلیغاتی (Voiceover تخصصی، موزیک، بدون صدا)</x:t>
        </x:is>
      </x:c>
      <x:c r="E45" s="6" t="inlineStr">
        <x:is>
          <x:t xml:space="preserve">Enum</x:t>
        </x:is>
      </x:c>
      <x:c r="F45" s="6" t="inlineStr">
        <x:is>
          <x:t xml:space="preserve">Creative</x:t>
        </x:is>
      </x:c>
      <x:c r="G45" s="19" t="inlineStr">
        <x:is>
          <x:t xml:space="preserve">اجباری</x:t>
        </x:is>
      </x:c>
      <x:c r="H45" s="6" t="inlineStr">
        <x:is>
          <x:t xml:space="preserve">متادیتای سیستم مدیریت فایل (DAM)</x:t>
        </x:is>
      </x:c>
      <x:c r="I45" s="6" t="inlineStr">
        <x:is>
          <x:t xml:space="preserve">در زمان انتشار</x:t>
        </x:is>
      </x:c>
      <x:c r="J45" s="6" t="inlineStr">
        <x:is>
          <x:t xml:space="preserve">Dimension</x:t>
        </x:is>
      </x:c>
      <x:c r="K45" s="6" t="inlineStr">
        <x:is>
          <x:t xml:space="preserve">تحلیل رفتار تماشای بدون صدای دندان‌پزشکان در مطب</x:t>
        </x:is>
      </x:c>
      <x:c r="L45" s="6" t="inlineStr">
        <x:is>
          <x:t xml:space="preserve">کپی‌رایت صدا</x:t>
        </x:is>
      </x:c>
      <x:c r="M45" s="6" t="inlineStr">
        <x:is>
          <x:t xml:space="preserve">ثبت اجباری نوع صوت پیش از لانچ</x:t>
        </x:is>
      </x:c>
      <x:c r="N45" s="30" t="str">
        <x:v>FLD-044</x:v>
      </x:c>
      <x:c r="O45" s="30" t="str">
        <x:v>No</x:v>
      </x:c>
      <x:c r="P45" s="30" t="str">
        <x:v>Yes</x:v>
      </x:c>
      <x:c r="Q45" s="30" t="str">
        <x:v>متادیتای سیستم مدیریت فایل (DAM)</x:v>
      </x:c>
      <x:c r="R45" s="30" t="str">
        <x:v>dim_or_fact_creative</x:v>
      </x:c>
      <x:c r="S45" s="30" t="str">
        <x:v>نیازمند تکمیل و تأیید مالک</x:v>
      </x:c>
      <x:c r="T45" s="30" t="str">
        <x:v>نیازمند تکمیل و تأیید مالک</x:v>
      </x:c>
      <x:c r="U45" s="30" t="str">
        <x:v>نیازمند تکمیل و تأیید مالک</x:v>
      </x:c>
      <x:c r="V45" s="30" t="str">
        <x:v>نیازمند تکمیل و تأیید مالک</x:v>
      </x:c>
      <x:c r="W45" s="30" t="str">
        <x:v>Data Engineer</x:v>
      </x:c>
      <x:c r="X45" s="30" t="str">
        <x:v>Proposed</x:v>
      </x:c>
    </x:row>
    <x:row r="46">
      <x:c r="A46" s="17" t="inlineStr">
        <x:is>
          <x:t xml:space="preserve">FLD-045</x:t>
        </x:is>
      </x:c>
      <x:c r="B46" s="4" t="inlineStr">
        <x:is>
          <x:t xml:space="preserve">Keyword</x:t>
        </x:is>
      </x:c>
      <x:c r="C46" s="4" t="inlineStr">
        <x:is>
          <x:t xml:space="preserve">keyword_id</x:t>
        </x:is>
      </x:c>
      <x:c r="D46" s="4" t="inlineStr">
        <x:is>
          <x:t xml:space="preserve">شناسه اختصاصی کلمه کلیدی هدف‌گیری‌شده در سرچ</x:t>
        </x:is>
      </x:c>
      <x:c r="E46" s="4" t="inlineStr">
        <x:is>
          <x:t xml:space="preserve">String / Long</x:t>
        </x:is>
      </x:c>
      <x:c r="F46" s="4" t="inlineStr">
        <x:is>
          <x:t xml:space="preserve">Keyword</x:t>
        </x:is>
      </x:c>
      <x:c r="G46" s="17" t="inlineStr">
        <x:is>
          <x:t xml:space="preserve">اجباری</x:t>
        </x:is>
      </x:c>
      <x:c r="H46" s="4" t="inlineStr">
        <x:is>
          <x:t xml:space="preserve">Google Ads API</x:t>
        </x:is>
      </x:c>
      <x:c r="I46" s="4" t="inlineStr">
        <x:is>
          <x:t xml:space="preserve">ساعتی</x:t>
        </x:is>
      </x:c>
      <x:c r="J46" s="4" t="inlineStr">
        <x:is>
          <x:t xml:space="preserve">Primary Key</x:t>
        </x:is>
      </x:c>
      <x:c r="K46" s="4" t="inlineStr">
        <x:is>
          <x:t xml:space="preserve">پایش کلیدواژه‌های گران‌قیمت تجهیزات</x:t>
        </x:is>
      </x:c>
      <x:c r="L46" s="4" t="inlineStr">
        <x:is>
          <x:t xml:space="preserve">عمومی</x:t>
        </x:is>
      </x:c>
      <x:c r="M46" s="4" t="inlineStr">
        <x:is>
          <x:t xml:space="preserve">تطابق کامل با آی‌دی‌های گوگل</x:t>
        </x:is>
      </x:c>
      <x:c r="N46" s="30" t="str">
        <x:v>FLD-045</x:v>
      </x:c>
      <x:c r="O46" s="30" t="str">
        <x:v>Needs validation</x:v>
      </x:c>
      <x:c r="P46" s="30" t="str">
        <x:v>Yes</x:v>
      </x:c>
      <x:c r="Q46" s="30" t="str">
        <x:v>Google Ads API</x:v>
      </x:c>
      <x:c r="R46" s="30" t="str">
        <x:v>dim_or_fact_keyword</x:v>
      </x:c>
      <x:c r="S46" s="30" t="str">
        <x:v>نیازمند تکمیل و تأیید مالک</x:v>
      </x:c>
      <x:c r="T46" s="30" t="str">
        <x:v>نیازمند تکمیل و تأیید مالک</x:v>
      </x:c>
      <x:c r="U46" s="30" t="str">
        <x:v>نیازمند تکمیل و تأیید مالک</x:v>
      </x:c>
      <x:c r="V46" s="30" t="str">
        <x:v>نیازمند تکمیل و تأیید مالک</x:v>
      </x:c>
      <x:c r="W46" s="30" t="str">
        <x:v>Data Engineer</x:v>
      </x:c>
      <x:c r="X46" s="30" t="str">
        <x:v>Proposed</x:v>
      </x:c>
    </x:row>
    <x:row r="47">
      <x:c r="A47" s="19" t="inlineStr">
        <x:is>
          <x:t xml:space="preserve">FLD-046</x:t>
        </x:is>
      </x:c>
      <x:c r="B47" s="6" t="inlineStr">
        <x:is>
          <x:t xml:space="preserve">Keyword</x:t>
        </x:is>
      </x:c>
      <x:c r="C47" s="6" t="inlineStr">
        <x:is>
          <x:t xml:space="preserve">keyword_text</x:t>
        </x:is>
      </x:c>
      <x:c r="D47" s="6" t="inlineStr">
        <x:is>
          <x:t xml:space="preserve">متن دقیق کلمه کلیدی در ساختار اکانت</x:t>
        </x:is>
      </x:c>
      <x:c r="E47" s="6" t="inlineStr">
        <x:is>
          <x:t xml:space="preserve">String</x:t>
        </x:is>
      </x:c>
      <x:c r="F47" s="6" t="inlineStr">
        <x:is>
          <x:t xml:space="preserve">Keyword</x:t>
        </x:is>
      </x:c>
      <x:c r="G47" s="19" t="inlineStr">
        <x:is>
          <x:t xml:space="preserve">اجباری</x:t>
        </x:is>
      </x:c>
      <x:c r="H47" s="6" t="inlineStr">
        <x:is>
          <x:t xml:space="preserve">ساختار کمپین سرچ</x:t>
        </x:is>
      </x:c>
      <x:c r="I47" s="6" t="inlineStr">
        <x:is>
          <x:t xml:space="preserve">روزانه</x:t>
        </x:is>
      </x:c>
      <x:c r="J47" s="6" t="inlineStr">
        <x:is>
          <x:t xml:space="preserve">Dimension</x:t>
        </x:is>
      </x:c>
      <x:c r="K47" s="6" t="inlineStr">
        <x:is>
          <x:t xml:space="preserve">تحلیل سهم نمایش (Impression Share) بر اساس کلمه</x:t>
        </x:is>
      </x:c>
      <x:c r="L47" s="6" t="inlineStr">
        <x:is>
          <x:t xml:space="preserve">عمومی</x:t>
        </x:is>
      </x:c>
      <x:c r="M47" s="6" t="inlineStr">
        <x:is>
          <x:t xml:space="preserve">ذخیره با حروف کوچک و بدون اعراب</x:t>
        </x:is>
      </x:c>
      <x:c r="N47" s="30" t="str">
        <x:v>FLD-046</x:v>
      </x:c>
      <x:c r="O47" s="30" t="str">
        <x:v>No</x:v>
      </x:c>
      <x:c r="P47" s="30" t="str">
        <x:v>Yes</x:v>
      </x:c>
      <x:c r="Q47" s="30" t="str">
        <x:v>ساختار کمپین سرچ</x:v>
      </x:c>
      <x:c r="R47" s="30" t="str">
        <x:v>dim_or_fact_keyword</x:v>
      </x:c>
      <x:c r="S47" s="30" t="str">
        <x:v>نیازمند تکمیل و تأیید مالک</x:v>
      </x:c>
      <x:c r="T47" s="30" t="str">
        <x:v>نیازمند تکمیل و تأیید مالک</x:v>
      </x:c>
      <x:c r="U47" s="30" t="str">
        <x:v>نیازمند تکمیل و تأیید مالک</x:v>
      </x:c>
      <x:c r="V47" s="30" t="str">
        <x:v>نیازمند تکمیل و تأیید مالک</x:v>
      </x:c>
      <x:c r="W47" s="30" t="str">
        <x:v>Data Engineer</x:v>
      </x:c>
      <x:c r="X47" s="30" t="str">
        <x:v>Proposed</x:v>
      </x:c>
    </x:row>
    <x:row r="48">
      <x:c r="A48" s="17" t="inlineStr">
        <x:is>
          <x:t xml:space="preserve">FLD-047</x:t>
        </x:is>
      </x:c>
      <x:c r="B48" s="4" t="inlineStr">
        <x:is>
          <x:t xml:space="preserve">Keyword</x:t>
        </x:is>
      </x:c>
      <x:c r="C48" s="4" t="inlineStr">
        <x:is>
          <x:t xml:space="preserve">keyword_match_type</x:t>
        </x:is>
      </x:c>
      <x:c r="D48" s="4" t="inlineStr">
        <x:is>
          <x:t xml:space="preserve">نوع انطباق مزایده (Exact, Phrase, Broad)</x:t>
        </x:is>
      </x:c>
      <x:c r="E48" s="4" t="inlineStr">
        <x:is>
          <x:t xml:space="preserve">Enum</x:t>
        </x:is>
      </x:c>
      <x:c r="F48" s="4" t="inlineStr">
        <x:is>
          <x:t xml:space="preserve">Keyword</x:t>
        </x:is>
      </x:c>
      <x:c r="G48" s="17" t="inlineStr">
        <x:is>
          <x:t xml:space="preserve">اجباری</x:t>
        </x:is>
      </x:c>
      <x:c r="H48" s="4" t="inlineStr">
        <x:is>
          <x:t xml:space="preserve">متادیتای گوگل ادز</x:t>
        </x:is>
      </x:c>
      <x:c r="I48" s="4" t="inlineStr">
        <x:is>
          <x:t xml:space="preserve">روزانه</x:t>
        </x:is>
      </x:c>
      <x:c r="J48" s="4" t="inlineStr">
        <x:is>
          <x:t xml:space="preserve">Dimension</x:t>
        </x:is>
      </x:c>
      <x:c r="K48" s="4" t="inlineStr">
        <x:is>
          <x:t xml:space="preserve">بهینه‌سازی بیدینگ و مدیریت ترافیک نامرتبط</x:t>
        </x:is>
      </x:c>
      <x:c r="L48" s="4" t="inlineStr">
        <x:is>
          <x:t xml:space="preserve">فنی</x:t>
        </x:is>
      </x:c>
      <x:c r="M48" s="4" t="inlineStr">
        <x:is>
          <x:t xml:space="preserve">فقط مقادیر استاندارد سه‌گانه</x:t>
        </x:is>
      </x:c>
      <x:c r="N48" s="30" t="str">
        <x:v>FLD-047</x:v>
      </x:c>
      <x:c r="O48" s="30" t="str">
        <x:v>No</x:v>
      </x:c>
      <x:c r="P48" s="30" t="str">
        <x:v>Yes</x:v>
      </x:c>
      <x:c r="Q48" s="30" t="str">
        <x:v>متادیتای گوگل ادز</x:v>
      </x:c>
      <x:c r="R48" s="30" t="str">
        <x:v>dim_or_fact_keyword</x:v>
      </x:c>
      <x:c r="S48" s="30" t="str">
        <x:v>نیازمند تکمیل و تأیید مالک</x:v>
      </x:c>
      <x:c r="T48" s="30" t="str">
        <x:v>نیازمند تکمیل و تأیید مالک</x:v>
      </x:c>
      <x:c r="U48" s="30" t="str">
        <x:v>نیازمند تکمیل و تأیید مالک</x:v>
      </x:c>
      <x:c r="V48" s="30" t="str">
        <x:v>نیازمند تکمیل و تأیید مالک</x:v>
      </x:c>
      <x:c r="W48" s="30" t="str">
        <x:v>Data Engineer</x:v>
      </x:c>
      <x:c r="X48" s="30" t="str">
        <x:v>Proposed</x:v>
      </x:c>
    </x:row>
    <x:row r="49">
      <x:c r="A49" s="19" t="inlineStr">
        <x:is>
          <x:t xml:space="preserve">FLD-048</x:t>
        </x:is>
      </x:c>
      <x:c r="B49" s="6" t="inlineStr">
        <x:is>
          <x:t xml:space="preserve">Keyword</x:t>
        </x:is>
      </x:c>
      <x:c r="C49" s="6" t="inlineStr">
        <x:is>
          <x:t xml:space="preserve">keyword_quality_score</x:t>
        </x:is>
      </x:c>
      <x:c r="D49" s="6" t="inlineStr">
        <x:is>
          <x:t xml:space="preserve">امتیاز کیفیت ده‌گانه گوگل به کلمه کلیدی</x:t>
        </x:is>
      </x:c>
      <x:c r="E49" s="6" t="inlineStr">
        <x:is>
          <x:t xml:space="preserve">Integer (1 to 10)</x:t>
        </x:is>
      </x:c>
      <x:c r="F49" s="6" t="inlineStr">
        <x:is>
          <x:t xml:space="preserve">Keyword</x:t>
        </x:is>
      </x:c>
      <x:c r="G49" s="19" t="inlineStr">
        <x:is>
          <x:t xml:space="preserve">اختیاری</x:t>
        </x:is>
      </x:c>
      <x:c r="H49" s="6" t="inlineStr">
        <x:is>
          <x:t xml:space="preserve">گزارش‌های کیفی گوگل ادز</x:t>
        </x:is>
      </x:c>
      <x:c r="I49" s="6" t="inlineStr">
        <x:is>
          <x:t xml:space="preserve">روزانه</x:t>
        </x:is>
      </x:c>
      <x:c r="J49" s="6" t="inlineStr">
        <x:is>
          <x:t xml:space="preserve">Metric / Quality</x:t>
        </x:is>
      </x:c>
      <x:c r="K49" s="6" t="inlineStr">
        <x:is>
          <x:t xml:space="preserve">عارضه‌یابی علل بالا بودن CPC در کلمات تجهیزات</x:t>
        </x:is>
      </x:c>
      <x:c r="L49" s="6" t="inlineStr">
        <x:is>
          <x:t xml:space="preserve">فنی پلتفرم</x:t>
        </x:is>
      </x:c>
      <x:c r="M49" s="6" t="inlineStr">
        <x:is>
          <x:t xml:space="preserve">مقادیر صحیح بین ۱ تا ۱۰</x:t>
        </x:is>
      </x:c>
      <x:c r="N49" s="30" t="str">
        <x:v>FLD-048</x:v>
      </x:c>
      <x:c r="O49" s="30" t="str">
        <x:v>No</x:v>
      </x:c>
      <x:c r="P49" s="30" t="str">
        <x:v>Yes</x:v>
      </x:c>
      <x:c r="Q49" s="30" t="str">
        <x:v>گزارش‌های کیفی گوگل ادز</x:v>
      </x:c>
      <x:c r="R49" s="30" t="str">
        <x:v>dim_or_fact_keyword</x:v>
      </x:c>
      <x:c r="S49" s="30" t="str">
        <x:v>نیازمند تکمیل و تأیید مالک</x:v>
      </x:c>
      <x:c r="T49" s="30" t="str">
        <x:v>نیازمند تکمیل و تأیید مالک</x:v>
      </x:c>
      <x:c r="U49" s="30" t="str">
        <x:v>نیازمند تکمیل و تأیید مالک</x:v>
      </x:c>
      <x:c r="V49" s="30" t="str">
        <x:v>نیازمند تکمیل و تأیید مالک</x:v>
      </x:c>
      <x:c r="W49" s="30" t="str">
        <x:v>Data Engineer</x:v>
      </x:c>
      <x:c r="X49" s="30" t="str">
        <x:v>Proposed</x:v>
      </x:c>
    </x:row>
    <x:row r="50">
      <x:c r="A50" s="17" t="inlineStr">
        <x:is>
          <x:t xml:space="preserve">FLD-049</x:t>
        </x:is>
      </x:c>
      <x:c r="B50" s="4" t="inlineStr">
        <x:is>
          <x:t xml:space="preserve">Search Term</x:t>
        </x:is>
      </x:c>
      <x:c r="C50" s="4" t="inlineStr">
        <x:is>
          <x:t xml:space="preserve">search_term_id</x:t>
        </x:is>
      </x:c>
      <x:c r="D50" s="4" t="inlineStr">
        <x:is>
          <x:t xml:space="preserve">شناسه عبارت جستجوشده واقعی توسط کاربر</x:t>
        </x:is>
      </x:c>
      <x:c r="E50" s="4" t="inlineStr">
        <x:is>
          <x:t xml:space="preserve">String (Hash)</x:t>
        </x:is>
      </x:c>
      <x:c r="F50" s="4" t="inlineStr">
        <x:is>
          <x:t xml:space="preserve">Search Term</x:t>
        </x:is>
      </x:c>
      <x:c r="G50" s="17" t="inlineStr">
        <x:is>
          <x:t xml:space="preserve">اجباری</x:t>
        </x:is>
      </x:c>
      <x:c r="H50" s="4" t="inlineStr">
        <x:is>
          <x:t xml:space="preserve">گزارش Search Query گوگل</x:t>
        </x:is>
      </x:c>
      <x:c r="I50" s="4" t="inlineStr">
        <x:is>
          <x:t xml:space="preserve">روزانه</x:t>
        </x:is>
      </x:c>
      <x:c r="J50" s="4" t="inlineStr">
        <x:is>
          <x:t xml:space="preserve">Primary Key</x:t>
        </x:is>
      </x:c>
      <x:c r="K50" s="4" t="inlineStr">
        <x:is>
          <x:t xml:space="preserve">کشف نیازهای تازه دندان‌پزشکان و منفی‌کردن کلمات</x:t>
        </x:is>
      </x:c>
      <x:c r="L50" s="4" t="inlineStr">
        <x:is>
          <x:t xml:space="preserve">محرمانگی جستجوی کاربران</x:t>
        </x:is>
      </x:c>
      <x:c r="M50" s="4" t="inlineStr">
        <x:is>
          <x:t xml:space="preserve">حذف کلمات با ترافیک کمتر از حد آستانه</x:t>
        </x:is>
      </x:c>
      <x:c r="N50" s="30" t="str">
        <x:v>FLD-049</x:v>
      </x:c>
      <x:c r="O50" s="30" t="str">
        <x:v>Needs validation</x:v>
      </x:c>
      <x:c r="P50" s="30" t="str">
        <x:v>Yes</x:v>
      </x:c>
      <x:c r="Q50" s="30" t="str">
        <x:v>گزارش Search Query گوگل</x:v>
      </x:c>
      <x:c r="R50" s="30" t="str">
        <x:v>dim_or_fact_search_term</x:v>
      </x:c>
      <x:c r="S50" s="30" t="str">
        <x:v>نیازمند تکمیل و تأیید مالک</x:v>
      </x:c>
      <x:c r="T50" s="30" t="str">
        <x:v>نیازمند تکمیل و تأیید مالک</x:v>
      </x:c>
      <x:c r="U50" s="30" t="str">
        <x:v>نیازمند تکمیل و تأیید مالک</x:v>
      </x:c>
      <x:c r="V50" s="30" t="str">
        <x:v>نیازمند تکمیل و تأیید مالک</x:v>
      </x:c>
      <x:c r="W50" s="30" t="str">
        <x:v>Data Engineer</x:v>
      </x:c>
      <x:c r="X50" s="30" t="str">
        <x:v>Proposed</x:v>
      </x:c>
    </x:row>
    <x:row r="51">
      <x:c r="A51" s="19" t="inlineStr">
        <x:is>
          <x:t xml:space="preserve">FLD-050</x:t>
        </x:is>
      </x:c>
      <x:c r="B51" s="6" t="inlineStr">
        <x:is>
          <x:t xml:space="preserve">Search Term</x:t>
        </x:is>
      </x:c>
      <x:c r="C51" s="6" t="inlineStr">
        <x:is>
          <x:t xml:space="preserve">search_term_query_text</x:t>
        </x:is>
      </x:c>
      <x:c r="D51" s="6" t="inlineStr">
        <x:is>
          <x:t xml:space="preserve">رشته متنی سرچ‌شده در گوگل پیش از کلیک</x:t>
        </x:is>
      </x:c>
      <x:c r="E51" s="6" t="inlineStr">
        <x:is>
          <x:t xml:space="preserve">String</x:t>
        </x:is>
      </x:c>
      <x:c r="F51" s="6" t="inlineStr">
        <x:is>
          <x:t xml:space="preserve">Search Term</x:t>
        </x:is>
      </x:c>
      <x:c r="G51" s="19" t="inlineStr">
        <x:is>
          <x:t xml:space="preserve">اجباری</x:t>
        </x:is>
      </x:c>
      <x:c r="H51" s="6" t="inlineStr">
        <x:is>
          <x:t xml:space="preserve">دیتای Google Search Ads</x:t>
        </x:is>
      </x:c>
      <x:c r="I51" s="6" t="inlineStr">
        <x:is>
          <x:t xml:space="preserve">روزانه</x:t>
        </x:is>
      </x:c>
      <x:c r="J51" s="6" t="inlineStr">
        <x:is>
          <x:t xml:space="preserve">Dimension</x:t>
        </x:is>
      </x:c>
      <x:c r="K51" s="6" t="inlineStr">
        <x:is>
          <x:t xml:space="preserve">شناسایی کوئری‌های خرید تجهیزات در برابر آموزش</x:t>
        </x:is>
      </x:c>
      <x:c r="L51" s="6" t="inlineStr">
        <x:is>
          <x:t xml:space="preserve">حریم خصوصی کوئری‌های نادر</x:t>
        </x:is>
      </x:c>
      <x:c r="M51" s="6" t="inlineStr">
        <x:is>
          <x:t xml:space="preserve">پاک‌سازی رکوردهای دارای نام اشخاص حقیقی</x:t>
        </x:is>
      </x:c>
      <x:c r="N51" s="30" t="str">
        <x:v>FLD-050</x:v>
      </x:c>
      <x:c r="O51" s="30" t="str">
        <x:v>No</x:v>
      </x:c>
      <x:c r="P51" s="30" t="str">
        <x:v>Yes</x:v>
      </x:c>
      <x:c r="Q51" s="30" t="str">
        <x:v>دیتای Google Search Ads</x:v>
      </x:c>
      <x:c r="R51" s="30" t="str">
        <x:v>dim_or_fact_search_term</x:v>
      </x:c>
      <x:c r="S51" s="30" t="str">
        <x:v>نیازمند تکمیل و تأیید مالک</x:v>
      </x:c>
      <x:c r="T51" s="30" t="str">
        <x:v>نیازمند تکمیل و تأیید مالک</x:v>
      </x:c>
      <x:c r="U51" s="30" t="str">
        <x:v>نیازمند تکمیل و تأیید مالک</x:v>
      </x:c>
      <x:c r="V51" s="30" t="str">
        <x:v>نیازمند تکمیل و تأیید مالک</x:v>
      </x:c>
      <x:c r="W51" s="30" t="str">
        <x:v>Data Engineer</x:v>
      </x:c>
      <x:c r="X51" s="30" t="str">
        <x:v>Proposed</x:v>
      </x:c>
    </x:row>
    <x:row r="52">
      <x:c r="A52" s="17" t="inlineStr">
        <x:is>
          <x:t xml:space="preserve">FLD-051</x:t>
        </x:is>
      </x:c>
      <x:c r="B52" s="4" t="inlineStr">
        <x:is>
          <x:t xml:space="preserve">Search Term</x:t>
        </x:is>
      </x:c>
      <x:c r="C52" s="4" t="inlineStr">
        <x:is>
          <x:t xml:space="preserve">search_term_keyword_fk</x:t>
        </x:is>
      </x:c>
      <x:c r="D52" s="4" t="inlineStr">
        <x:is>
          <x:t xml:space="preserve">اتصال کوئری به کلمه کلیدی محرک نمایش</x:t>
        </x:is>
      </x:c>
      <x:c r="E52" s="4" t="inlineStr">
        <x:is>
          <x:t xml:space="preserve">String</x:t>
        </x:is>
      </x:c>
      <x:c r="F52" s="4" t="inlineStr">
        <x:is>
          <x:t xml:space="preserve">Search Term</x:t>
        </x:is>
      </x:c>
      <x:c r="G52" s="17" t="inlineStr">
        <x:is>
          <x:t xml:space="preserve">اجباری</x:t>
        </x:is>
      </x:c>
      <x:c r="H52" s="4" t="inlineStr">
        <x:is>
          <x:t xml:space="preserve">لاگ تطابق ادز</x:t>
        </x:is>
      </x:c>
      <x:c r="I52" s="4" t="inlineStr">
        <x:is>
          <x:t xml:space="preserve">روزانه</x:t>
        </x:is>
      </x:c>
      <x:c r="J52" s="4" t="inlineStr">
        <x:is>
          <x:t xml:space="preserve">Foreign Key to Keyword</x:t>
        </x:is>
      </x:c>
      <x:c r="K52" s="4" t="inlineStr">
        <x:is>
          <x:t xml:space="preserve">سنجش میزان هدررفت بودجه در کلمات Phrase/Broad</x:t>
        </x:is>
      </x:c>
      <x:c r="L52" s="4" t="inlineStr">
        <x:is>
          <x:t xml:space="preserve">فنی</x:t>
        </x:is>
      </x:c>
      <x:c r="M52" s="4" t="inlineStr">
        <x:is>
          <x:t xml:space="preserve">پیوند معتبر به کلیدواژه اصلی</x:t>
        </x:is>
      </x:c>
      <x:c r="N52" s="30" t="str">
        <x:v>FLD-051</x:v>
      </x:c>
      <x:c r="O52" s="30" t="str">
        <x:v>No</x:v>
      </x:c>
      <x:c r="P52" s="30" t="str">
        <x:v>Yes</x:v>
      </x:c>
      <x:c r="Q52" s="30" t="str">
        <x:v>لاگ تطابق ادز</x:v>
      </x:c>
      <x:c r="R52" s="30" t="str">
        <x:v>dim_or_fact_search_term</x:v>
      </x:c>
      <x:c r="S52" s="30" t="str">
        <x:v>نیازمند تکمیل و تأیید مالک</x:v>
      </x:c>
      <x:c r="T52" s="30" t="str">
        <x:v>نیازمند تکمیل و تأیید مالک</x:v>
      </x:c>
      <x:c r="U52" s="30" t="str">
        <x:v>نیازمند تکمیل و تأیید مالک</x:v>
      </x:c>
      <x:c r="V52" s="30" t="str">
        <x:v>نیازمند تکمیل و تأیید مالک</x:v>
      </x:c>
      <x:c r="W52" s="30" t="str">
        <x:v>Data Engineer</x:v>
      </x:c>
      <x:c r="X52" s="30" t="str">
        <x:v>Proposed</x:v>
      </x:c>
    </x:row>
    <x:row r="53">
      <x:c r="A53" s="19" t="inlineStr">
        <x:is>
          <x:t xml:space="preserve">FLD-052</x:t>
        </x:is>
      </x:c>
      <x:c r="B53" s="6" t="inlineStr">
        <x:is>
          <x:t xml:space="preserve">Search Term</x:t>
        </x:is>
      </x:c>
      <x:c r="C53" s="6" t="inlineStr">
        <x:is>
          <x:t xml:space="preserve">search_term_conversion_count</x:t>
        </x:is>
      </x:c>
      <x:c r="D53" s="6" t="inlineStr">
        <x:is>
          <x:t xml:space="preserve">تعداد تبدیل‌های قطعی ثبت‌شده با این عبارت</x:t>
        </x:is>
      </x:c>
      <x:c r="E53" s="6" t="inlineStr">
        <x:is>
          <x:t xml:space="preserve">Integer</x:t>
        </x:is>
      </x:c>
      <x:c r="F53" s="6" t="inlineStr">
        <x:is>
          <x:t xml:space="preserve">Search Term</x:t>
        </x:is>
      </x:c>
      <x:c r="G53" s="19" t="inlineStr">
        <x:is>
          <x:t xml:space="preserve">اجباری</x:t>
        </x:is>
      </x:c>
      <x:c r="H53" s="6" t="inlineStr">
        <x:is>
          <x:t xml:space="preserve">لاگ تبدیل‌های موتور سرچ</x:t>
        </x:is>
      </x:c>
      <x:c r="I53" s="6" t="inlineStr">
        <x:is>
          <x:t xml:space="preserve">روزانه</x:t>
        </x:is>
      </x:c>
      <x:c r="J53" s="6" t="inlineStr">
        <x:is>
          <x:t xml:space="preserve">Metric</x:t>
        </x:is>
      </x:c>
      <x:c r="K53" s="6" t="inlineStr">
        <x:is>
          <x:t xml:space="preserve">شناسایی عبارات دارای ارزش تجاری طلایی</x:t>
        </x:is>
      </x:c>
      <x:c r="L53" s="6" t="inlineStr">
        <x:is>
          <x:t xml:space="preserve">عمومی بیزینس</x:t>
        </x:is>
      </x:c>
      <x:c r="M53" s="6" t="inlineStr">
        <x:is>
          <x:t xml:space="preserve">مقادیر صحیح نامنفی</x:t>
        </x:is>
      </x:c>
      <x:c r="N53" s="30" t="str">
        <x:v>FLD-052</x:v>
      </x:c>
      <x:c r="O53" s="30" t="str">
        <x:v>No</x:v>
      </x:c>
      <x:c r="P53" s="30" t="str">
        <x:v>Yes</x:v>
      </x:c>
      <x:c r="Q53" s="30" t="str">
        <x:v>لاگ تبدیل‌های موتور سرچ</x:v>
      </x:c>
      <x:c r="R53" s="30" t="str">
        <x:v>dim_or_fact_search_term</x:v>
      </x:c>
      <x:c r="S53" s="30" t="str">
        <x:v>نیازمند تکمیل و تأیید مالک</x:v>
      </x:c>
      <x:c r="T53" s="30" t="str">
        <x:v>نیازمند تکمیل و تأیید مالک</x:v>
      </x:c>
      <x:c r="U53" s="30" t="str">
        <x:v>نیازمند تکمیل و تأیید مالک</x:v>
      </x:c>
      <x:c r="V53" s="30" t="str">
        <x:v>نیازمند تکمیل و تأیید مالک</x:v>
      </x:c>
      <x:c r="W53" s="30" t="str">
        <x:v>Data Engineer</x:v>
      </x:c>
      <x:c r="X53" s="30" t="str">
        <x:v>Proposed</x:v>
      </x:c>
    </x:row>
    <x:row r="54">
      <x:c r="A54" s="17" t="inlineStr">
        <x:is>
          <x:t xml:space="preserve">FLD-053</x:t>
        </x:is>
      </x:c>
      <x:c r="B54" s="4" t="inlineStr">
        <x:is>
          <x:t xml:space="preserve">Landing Page</x:t>
        </x:is>
      </x:c>
      <x:c r="C54" s="4" t="inlineStr">
        <x:is>
          <x:t xml:space="preserve">landing_page_id</x:t>
        </x:is>
      </x:c>
      <x:c r="D54" s="4" t="inlineStr">
        <x:is>
          <x:t xml:space="preserve">شناسه یکتای صفحه فرود طراحی‌شده برای کمپین</x:t>
        </x:is>
      </x:c>
      <x:c r="E54" s="4" t="inlineStr">
        <x:is>
          <x:t xml:space="preserve">String (Slug)</x:t>
        </x:is>
      </x:c>
      <x:c r="F54" s="4" t="inlineStr">
        <x:is>
          <x:t xml:space="preserve">Landing Page</x:t>
        </x:is>
      </x:c>
      <x:c r="G54" s="17" t="inlineStr">
        <x:is>
          <x:t xml:space="preserve">اجباری</x:t>
        </x:is>
      </x:c>
      <x:c r="H54" s="4" t="inlineStr">
        <x:is>
          <x:t xml:space="preserve">CMS / لندینگ‌ساز اختصاصی</x:t>
        </x:is>
      </x:c>
      <x:c r="I54" s="4" t="inlineStr">
        <x:is>
          <x:t xml:space="preserve">هفتگی</x:t>
        </x:is>
      </x:c>
      <x:c r="J54" s="4" t="inlineStr">
        <x:is>
          <x:t xml:space="preserve">Primary Key</x:t>
        </x:is>
      </x:c>
      <x:c r="K54" s="4" t="inlineStr">
        <x:is>
          <x:t xml:space="preserve">پایش نرخ تبدیل و آزمایش‌های A/B صفحات</x:t>
        </x:is>
      </x:c>
      <x:c r="L54" s="4" t="inlineStr">
        <x:is>
          <x:t xml:space="preserve">عمومی</x:t>
        </x:is>
      </x:c>
      <x:c r="M54" s="4" t="inlineStr">
        <x:is>
          <x:t xml:space="preserve">ساختار یکتای نام‌گذاری صفحات</x:t>
        </x:is>
      </x:c>
      <x:c r="N54" s="30" t="str">
        <x:v>FLD-053</x:v>
      </x:c>
      <x:c r="O54" s="30" t="str">
        <x:v>Needs validation</x:v>
      </x:c>
      <x:c r="P54" s="30" t="str">
        <x:v>Yes</x:v>
      </x:c>
      <x:c r="Q54" s="30" t="str">
        <x:v>CMS / لندینگ‌ساز اختصاصی</x:v>
      </x:c>
      <x:c r="R54" s="30" t="str">
        <x:v>dim_or_fact_landing_page</x:v>
      </x:c>
      <x:c r="S54" s="30" t="str">
        <x:v>نیازمند تکمیل و تأیید مالک</x:v>
      </x:c>
      <x:c r="T54" s="30" t="str">
        <x:v>نیازمند تکمیل و تأیید مالک</x:v>
      </x:c>
      <x:c r="U54" s="30" t="str">
        <x:v>نیازمند تکمیل و تأیید مالک</x:v>
      </x:c>
      <x:c r="V54" s="30" t="str">
        <x:v>نیازمند تکمیل و تأیید مالک</x:v>
      </x:c>
      <x:c r="W54" s="30" t="str">
        <x:v>Data Engineer</x:v>
      </x:c>
      <x:c r="X54" s="30" t="str">
        <x:v>Proposed</x:v>
      </x:c>
    </x:row>
    <x:row r="55">
      <x:c r="A55" s="19" t="inlineStr">
        <x:is>
          <x:t xml:space="preserve">FLD-054</x:t>
        </x:is>
      </x:c>
      <x:c r="B55" s="6" t="inlineStr">
        <x:is>
          <x:t xml:space="preserve">Landing Page</x:t>
        </x:is>
      </x:c>
      <x:c r="C55" s="6" t="inlineStr">
        <x:is>
          <x:t xml:space="preserve">landing_page_full_url</x:t>
        </x:is>
      </x:c>
      <x:c r="D55" s="6" t="inlineStr">
        <x:is>
          <x:t xml:space="preserve">آدرس کامل اینترنتی صفحه فرود</x:t>
        </x:is>
      </x:c>
      <x:c r="E55" s="6" t="inlineStr">
        <x:is>
          <x:t xml:space="preserve">String (URL)</x:t>
        </x:is>
      </x:c>
      <x:c r="F55" s="6" t="inlineStr">
        <x:is>
          <x:t xml:space="preserve">Landing Page</x:t>
        </x:is>
      </x:c>
      <x:c r="G55" s="19" t="inlineStr">
        <x:is>
          <x:t xml:space="preserve">اجباری</x:t>
        </x:is>
      </x:c>
      <x:c r="H55" s="6" t="inlineStr">
        <x:is>
          <x:t xml:space="preserve">متادیتای وب‌سایت تیتانا</x:t>
        </x:is>
      </x:c>
      <x:c r="I55" s="6" t="inlineStr">
        <x:is>
          <x:t xml:space="preserve">هفتگی</x:t>
        </x:is>
      </x:c>
      <x:c r="J55" s="6" t="inlineStr">
        <x:is>
          <x:t xml:space="preserve">Dimension</x:t>
        </x:is>
      </x:c>
      <x:c r="K55" s="6" t="inlineStr">
        <x:is>
          <x:t xml:space="preserve">تفکیک لندینگ‌ها در گزارش‌های آنالیتیکس</x:t>
        </x:is>
      </x:c>
      <x:c r="L55" s="6" t="inlineStr">
        <x:is>
          <x:t xml:space="preserve">عمومی وب</x:t>
        </x:is>
      </x:c>
      <x:c r="M55" s="6" t="inlineStr">
        <x:is>
          <x:t xml:space="preserve">آدرس‌های استاندارد با پروتکل HTTPS</x:t>
        </x:is>
      </x:c>
      <x:c r="N55" s="30" t="str">
        <x:v>FLD-054</x:v>
      </x:c>
      <x:c r="O55" s="30" t="str">
        <x:v>No</x:v>
      </x:c>
      <x:c r="P55" s="30" t="str">
        <x:v>Yes</x:v>
      </x:c>
      <x:c r="Q55" s="30" t="str">
        <x:v>متادیتای وب‌سایت تیتانا</x:v>
      </x:c>
      <x:c r="R55" s="30" t="str">
        <x:v>dim_or_fact_landing_page</x:v>
      </x:c>
      <x:c r="S55" s="30" t="str">
        <x:v>نیازمند تکمیل و تأیید مالک</x:v>
      </x:c>
      <x:c r="T55" s="30" t="str">
        <x:v>نیازمند تکمیل و تأیید مالک</x:v>
      </x:c>
      <x:c r="U55" s="30" t="str">
        <x:v>نیازمند تکمیل و تأیید مالک</x:v>
      </x:c>
      <x:c r="V55" s="30" t="str">
        <x:v>نیازمند تکمیل و تأیید مالک</x:v>
      </x:c>
      <x:c r="W55" s="30" t="str">
        <x:v>Data Engineer</x:v>
      </x:c>
      <x:c r="X55" s="30" t="str">
        <x:v>Proposed</x:v>
      </x:c>
    </x:row>
    <x:row r="56">
      <x:c r="A56" s="17" t="inlineStr">
        <x:is>
          <x:t xml:space="preserve">FLD-055</x:t>
        </x:is>
      </x:c>
      <x:c r="B56" s="4" t="inlineStr">
        <x:is>
          <x:t xml:space="preserve">Landing Page</x:t>
        </x:is>
      </x:c>
      <x:c r="C56" s="4" t="inlineStr">
        <x:is>
          <x:t xml:space="preserve">landing_page_load_time_sec</x:t>
        </x:is>
      </x:c>
      <x:c r="D56" s="4" t="inlineStr">
        <x:is>
          <x:t xml:space="preserve">میانگین زمان بارگذاری کامل صفحه در مرورگر (FCP/LCP)</x:t>
        </x:is>
      </x:c>
      <x:c r="E56" s="4" t="inlineStr">
        <x:is>
          <x:t xml:space="preserve">Decimal (Seconds)</x:t>
        </x:is>
      </x:c>
      <x:c r="F56" s="4" t="inlineStr">
        <x:is>
          <x:t xml:space="preserve">Landing Page</x:t>
        </x:is>
      </x:c>
      <x:c r="G56" s="17" t="inlineStr">
        <x:is>
          <x:t xml:space="preserve">اجباری</x:t>
        </x:is>
      </x:c>
      <x:c r="H56" s="4" t="inlineStr">
        <x:is>
          <x:t xml:space="preserve">سنسورهای مانیتورینگ عملکرد</x:t>
        </x:is>
      </x:c>
      <x:c r="I56" s="4" t="inlineStr">
        <x:is>
          <x:t xml:space="preserve">ساعتی</x:t>
        </x:is>
      </x:c>
      <x:c r="J56" s="4" t="inlineStr">
        <x:is>
          <x:t xml:space="preserve">Metric</x:t>
        </x:is>
      </x:c>
      <x:c r="K56" s="4" t="inlineStr">
        <x:is>
          <x:t xml:space="preserve">عارضه‌یابی ریزش ترافیک در لحظه کلیک به سایت</x:t>
        </x:is>
      </x:c>
      <x:c r="L56" s="4" t="inlineStr">
        <x:is>
          <x:t xml:space="preserve">فنی زیرساخت</x:t>
        </x:is>
      </x:c>
      <x:c r="M56" s="4" t="inlineStr">
        <x:is>
          <x:t xml:space="preserve">داده‌های پایش از داخل ایران</x:t>
        </x:is>
      </x:c>
      <x:c r="N56" s="30" t="str">
        <x:v>FLD-055</x:v>
      </x:c>
      <x:c r="O56" s="30" t="str">
        <x:v>No</x:v>
      </x:c>
      <x:c r="P56" s="30" t="str">
        <x:v>Yes</x:v>
      </x:c>
      <x:c r="Q56" s="30" t="str">
        <x:v>سنسورهای مانیتورینگ عملکرد</x:v>
      </x:c>
      <x:c r="R56" s="30" t="str">
        <x:v>dim_or_fact_landing_page</x:v>
      </x:c>
      <x:c r="S56" s="30" t="str">
        <x:v>نیازمند تکمیل و تأیید مالک</x:v>
      </x:c>
      <x:c r="T56" s="30" t="str">
        <x:v>نیازمند تکمیل و تأیید مالک</x:v>
      </x:c>
      <x:c r="U56" s="30" t="str">
        <x:v>نیازمند تکمیل و تأیید مالک</x:v>
      </x:c>
      <x:c r="V56" s="30" t="str">
        <x:v>نیازمند تکمیل و تأیید مالک</x:v>
      </x:c>
      <x:c r="W56" s="30" t="str">
        <x:v>Data Engineer</x:v>
      </x:c>
      <x:c r="X56" s="30" t="str">
        <x:v>Proposed</x:v>
      </x:c>
    </x:row>
    <x:row r="57">
      <x:c r="A57" s="19" t="inlineStr">
        <x:is>
          <x:t xml:space="preserve">FLD-056</x:t>
        </x:is>
      </x:c>
      <x:c r="B57" s="6" t="inlineStr">
        <x:is>
          <x:t xml:space="preserve">Landing Page</x:t>
        </x:is>
      </x:c>
      <x:c r="C57" s="6" t="inlineStr">
        <x:is>
          <x:t xml:space="preserve">landing_page_active_variant</x:t>
        </x:is>
      </x:c>
      <x:c r="D57" s="6" t="inlineStr">
        <x:is>
          <x:t xml:space="preserve">نسخه تست صفحه در صورت اجرای تست A/B (Variant A/B)</x:t>
        </x:is>
      </x:c>
      <x:c r="E57" s="6" t="inlineStr">
        <x:is>
          <x:t xml:space="preserve">String</x:t>
        </x:is>
      </x:c>
      <x:c r="F57" s="6" t="inlineStr">
        <x:is>
          <x:t xml:space="preserve">Landing Page</x:t>
        </x:is>
      </x:c>
      <x:c r="G57" s="19" t="inlineStr">
        <x:is>
          <x:t xml:space="preserve">اختیاری</x:t>
        </x:is>
      </x:c>
      <x:c r="H57" s="6" t="inlineStr">
        <x:is>
          <x:t xml:space="preserve">ماژول تست‌های بهینه‌سازی</x:t>
        </x:is>
      </x:c>
      <x:c r="I57" s="6" t="inlineStr">
        <x:is>
          <x:t xml:space="preserve">روزانه</x:t>
        </x:is>
      </x:c>
      <x:c r="J57" s="6" t="inlineStr">
        <x:is>
          <x:t xml:space="preserve">Dimension</x:t>
        </x:is>
      </x:c>
      <x:c r="K57" s="6" t="inlineStr">
        <x:is>
          <x:t xml:space="preserve">انتساب کانورژن‌ها به المان‌های متغیر صفحه فرود</x:t>
        </x:is>
      </x:c>
      <x:c r="L57" s="6" t="inlineStr">
        <x:is>
          <x:t xml:space="preserve">عمومی تست</x:t>
        </x:is>
      </x:c>
      <x:c r="M57" s="6" t="inlineStr">
        <x:is>
          <x:t xml:space="preserve">ثبت دقیق برچسب نسخه در تگ‌ها</x:t>
        </x:is>
      </x:c>
      <x:c r="N57" s="30" t="str">
        <x:v>FLD-056</x:v>
      </x:c>
      <x:c r="O57" s="30" t="str">
        <x:v>No</x:v>
      </x:c>
      <x:c r="P57" s="30" t="str">
        <x:v>Yes</x:v>
      </x:c>
      <x:c r="Q57" s="30" t="str">
        <x:v>ماژول تست‌های بهینه‌سازی</x:v>
      </x:c>
      <x:c r="R57" s="30" t="str">
        <x:v>dim_or_fact_landing_page</x:v>
      </x:c>
      <x:c r="S57" s="30" t="str">
        <x:v>نیازمند تکمیل و تأیید مالک</x:v>
      </x:c>
      <x:c r="T57" s="30" t="str">
        <x:v>نیازمند تکمیل و تأیید مالک</x:v>
      </x:c>
      <x:c r="U57" s="30" t="str">
        <x:v>نیازمند تکمیل و تأیید مالک</x:v>
      </x:c>
      <x:c r="V57" s="30" t="str">
        <x:v>نیازمند تکمیل و تأیید مالک</x:v>
      </x:c>
      <x:c r="W57" s="30" t="str">
        <x:v>Data Engineer</x:v>
      </x:c>
      <x:c r="X57" s="30" t="str">
        <x:v>Proposed</x:v>
      </x:c>
    </x:row>
    <x:row r="58">
      <x:c r="A58" s="17" t="inlineStr">
        <x:is>
          <x:t xml:space="preserve">FLD-057</x:t>
        </x:is>
      </x:c>
      <x:c r="B58" s="4" t="inlineStr">
        <x:is>
          <x:t xml:space="preserve">Product</x:t>
        </x:is>
      </x:c>
      <x:c r="C58" s="4" t="inlineStr">
        <x:is>
          <x:t xml:space="preserve">sku_id</x:t>
        </x:is>
      </x:c>
      <x:c r="D58" s="4" t="inlineStr">
        <x:is>
          <x:t xml:space="preserve">کد اختصاصی واحد کالا در انبار تیتانا (SKU)</x:t>
        </x:is>
      </x:c>
      <x:c r="E58" s="4" t="inlineStr">
        <x:is>
          <x:t xml:space="preserve">String (BarCode)</x:t>
        </x:is>
      </x:c>
      <x:c r="F58" s="4" t="inlineStr">
        <x:is>
          <x:t xml:space="preserve">Product</x:t>
        </x:is>
      </x:c>
      <x:c r="G58" s="17" t="inlineStr">
        <x:is>
          <x:t xml:space="preserve">اجباری</x:t>
        </x:is>
      </x:c>
      <x:c r="H58" s="4" t="inlineStr">
        <x:is>
          <x:t xml:space="preserve">سیستم انبارداری (WMS)</x:t>
        </x:is>
      </x:c>
      <x:c r="I58" s="4" t="inlineStr">
        <x:is>
          <x:t xml:space="preserve">لحظه‌ای</x:t>
        </x:is>
      </x:c>
      <x:c r="J58" s="4" t="inlineStr">
        <x:is>
          <x:t xml:space="preserve">Primary Key</x:t>
        </x:is>
      </x:c>
      <x:c r="K58" s="4" t="inlineStr">
        <x:is>
          <x:t xml:space="preserve">ردیابی سود، فروش، مرجوعی و تبلیغات هر کالا</x:t>
        </x:is>
      </x:c>
      <x:c r="L58" s="4" t="inlineStr">
        <x:is>
          <x:t xml:space="preserve">استاندارد کدگذاری داخلی</x:t>
        </x:is>
      </x:c>
      <x:c r="M58" s="4" t="inlineStr">
        <x:is>
          <x:t xml:space="preserve">بدون هیچ‌گونه رکورد تکراری در انبار</x:t>
        </x:is>
      </x:c>
      <x:c r="N58" s="30" t="str">
        <x:v>FLD-057</x:v>
      </x:c>
      <x:c r="O58" s="30" t="str">
        <x:v>Needs validation</x:v>
      </x:c>
      <x:c r="P58" s="30" t="str">
        <x:v>Yes</x:v>
      </x:c>
      <x:c r="Q58" s="30" t="str">
        <x:v>سیستم انبارداری (WMS)</x:v>
      </x:c>
      <x:c r="R58" s="30" t="str">
        <x:v>dim_or_fact_product</x:v>
      </x:c>
      <x:c r="S58" s="30" t="str">
        <x:v>نیازمند تکمیل و تأیید مالک</x:v>
      </x:c>
      <x:c r="T58" s="30" t="str">
        <x:v>نیازمند تکمیل و تأیید مالک</x:v>
      </x:c>
      <x:c r="U58" s="30" t="str">
        <x:v>نیازمند تکمیل و تأیید مالک</x:v>
      </x:c>
      <x:c r="V58" s="30" t="str">
        <x:v>نیازمند تکمیل و تأیید مالک</x:v>
      </x:c>
      <x:c r="W58" s="30" t="str">
        <x:v>Data Engineer</x:v>
      </x:c>
      <x:c r="X58" s="30" t="str">
        <x:v>Proposed</x:v>
      </x:c>
    </x:row>
    <x:row r="59">
      <x:c r="A59" s="19" t="inlineStr">
        <x:is>
          <x:t xml:space="preserve">FLD-058</x:t>
        </x:is>
      </x:c>
      <x:c r="B59" s="6" t="inlineStr">
        <x:is>
          <x:t xml:space="preserve">Product</x:t>
        </x:is>
      </x:c>
      <x:c r="C59" s="6" t="inlineStr">
        <x:is>
          <x:t xml:space="preserve">product_canonical_name</x:t>
        </x:is>
      </x:c>
      <x:c r="D59" s="6" t="inlineStr">
        <x:is>
          <x:t xml:space="preserve">نام دقیق تجاری و علمی متریال یا دستگاه</x:t>
        </x:is>
      </x:c>
      <x:c r="E59" s="6" t="inlineStr">
        <x:is>
          <x:t xml:space="preserve">String</x:t>
        </x:is>
      </x:c>
      <x:c r="F59" s="6" t="inlineStr">
        <x:is>
          <x:t xml:space="preserve">Product</x:t>
        </x:is>
      </x:c>
      <x:c r="G59" s="19" t="inlineStr">
        <x:is>
          <x:t xml:space="preserve">اجباری</x:t>
        </x:is>
      </x:c>
      <x:c r="H59" s="6" t="inlineStr">
        <x:is>
          <x:t xml:space="preserve">کاتالوگ محصولات ERP</x:t>
        </x:is>
      </x:c>
      <x:c r="I59" s="6" t="inlineStr">
        <x:is>
          <x:t xml:space="preserve">هفتگی</x:t>
        </x:is>
      </x:c>
      <x:c r="J59" s="6" t="inlineStr">
        <x:is>
          <x:t xml:space="preserve">Dimension</x:t>
        </x:is>
      </x:c>
      <x:c r="K59" s="6" t="inlineStr">
        <x:is>
          <x:t xml:space="preserve">تحلیل تقاضا برای مدل‌های خاص تجهیزات و مواد</x:t>
        </x:is>
      </x:c>
      <x:c r="L59" s="6" t="inlineStr">
        <x:is>
          <x:t xml:space="preserve">عمومی مارکت</x:t>
        </x:is>
      </x:c>
      <x:c r="M59" s="6" t="inlineStr">
        <x:is>
          <x:t xml:space="preserve">تطابق با کاتالوگ بین‌المللی کالا</x:t>
        </x:is>
      </x:c>
      <x:c r="N59" s="30" t="str">
        <x:v>FLD-058</x:v>
      </x:c>
      <x:c r="O59" s="30" t="str">
        <x:v>No</x:v>
      </x:c>
      <x:c r="P59" s="30" t="str">
        <x:v>Yes</x:v>
      </x:c>
      <x:c r="Q59" s="30" t="str">
        <x:v>کاتالوگ محصولات ERP</x:v>
      </x:c>
      <x:c r="R59" s="30" t="str">
        <x:v>dim_or_fact_product</x:v>
      </x:c>
      <x:c r="S59" s="30" t="str">
        <x:v>نیازمند تکمیل و تأیید مالک</x:v>
      </x:c>
      <x:c r="T59" s="30" t="str">
        <x:v>نیازمند تکمیل و تأیید مالک</x:v>
      </x:c>
      <x:c r="U59" s="30" t="str">
        <x:v>نیازمند تکمیل و تأیید مالک</x:v>
      </x:c>
      <x:c r="V59" s="30" t="str">
        <x:v>نیازمند تکمیل و تأیید مالک</x:v>
      </x:c>
      <x:c r="W59" s="30" t="str">
        <x:v>Data Engineer</x:v>
      </x:c>
      <x:c r="X59" s="30" t="str">
        <x:v>Proposed</x:v>
      </x:c>
    </x:row>
    <x:row r="60">
      <x:c r="A60" s="17" t="inlineStr">
        <x:is>
          <x:t xml:space="preserve">FLD-059</x:t>
        </x:is>
      </x:c>
      <x:c r="B60" s="4" t="inlineStr">
        <x:is>
          <x:t xml:space="preserve">Product</x:t>
        </x:is>
      </x:c>
      <x:c r="C60" s="4" t="inlineStr">
        <x:is>
          <x:t xml:space="preserve">product_category_fk</x:t>
        </x:is>
      </x:c>
      <x:c r="D60" s="4" t="inlineStr">
        <x:is>
          <x:t xml:space="preserve">کد گروه و شاخه اصلی دسته‌بندی کالا</x:t>
        </x:is>
      </x:c>
      <x:c r="E60" s="4" t="inlineStr">
        <x:is>
          <x:t xml:space="preserve">String</x:t>
        </x:is>
      </x:c>
      <x:c r="F60" s="4" t="inlineStr">
        <x:is>
          <x:t xml:space="preserve">Product</x:t>
        </x:is>
      </x:c>
      <x:c r="G60" s="17" t="inlineStr">
        <x:is>
          <x:t xml:space="preserve">اجباری</x:t>
        </x:is>
      </x:c>
      <x:c r="H60" s="4" t="inlineStr">
        <x:is>
          <x:t xml:space="preserve">درختواره کالایی سیستم فروش</x:t>
        </x:is>
      </x:c>
      <x:c r="I60" s="4" t="inlineStr">
        <x:is>
          <x:t xml:space="preserve">ماهانه</x:t>
        </x:is>
      </x:c>
      <x:c r="J60" s="4" t="inlineStr">
        <x:is>
          <x:t xml:space="preserve">Foreign Key to Category</x:t>
        </x:is>
      </x:c>
      <x:c r="K60" s="4" t="inlineStr">
        <x:is>
          <x:t xml:space="preserve">تجمیع آمار فروش در سطح دسته‌های بالادستی</x:t>
        </x:is>
      </x:c>
      <x:c r="L60" s="4" t="inlineStr">
        <x:is>
          <x:t xml:space="preserve">تجاری</x:t>
        </x:is>
      </x:c>
      <x:c r="M60" s="4" t="inlineStr">
        <x:is>
          <x:t xml:space="preserve">تخصیص اجباری بدون کالای بدون رده</x:t>
        </x:is>
      </x:c>
      <x:c r="N60" s="30" t="str">
        <x:v>FLD-059</x:v>
      </x:c>
      <x:c r="O60" s="30" t="str">
        <x:v>No</x:v>
      </x:c>
      <x:c r="P60" s="30" t="str">
        <x:v>Yes</x:v>
      </x:c>
      <x:c r="Q60" s="30" t="str">
        <x:v>درختواره کالایی سیستم فروش</x:v>
      </x:c>
      <x:c r="R60" s="30" t="str">
        <x:v>dim_or_fact_product</x:v>
      </x:c>
      <x:c r="S60" s="30" t="str">
        <x:v>نیازمند تکمیل و تأیید مالک</x:v>
      </x:c>
      <x:c r="T60" s="30" t="str">
        <x:v>نیازمند تکمیل و تأیید مالک</x:v>
      </x:c>
      <x:c r="U60" s="30" t="str">
        <x:v>نیازمند تکمیل و تأیید مالک</x:v>
      </x:c>
      <x:c r="V60" s="30" t="str">
        <x:v>نیازمند تکمیل و تأیید مالک</x:v>
      </x:c>
      <x:c r="W60" s="30" t="str">
        <x:v>Data Engineer</x:v>
      </x:c>
      <x:c r="X60" s="30" t="str">
        <x:v>Proposed</x:v>
      </x:c>
    </x:row>
    <x:row r="61">
      <x:c r="A61" s="19" t="inlineStr">
        <x:is>
          <x:t xml:space="preserve">FLD-060</x:t>
        </x:is>
      </x:c>
      <x:c r="B61" s="6" t="inlineStr">
        <x:is>
          <x:t xml:space="preserve">Product</x:t>
        </x:is>
      </x:c>
      <x:c r="C61" s="6" t="inlineStr">
        <x:is>
          <x:t xml:space="preserve">product_brand_fk</x:t>
        </x:is>
      </x:c>
      <x:c r="D61" s="6" t="inlineStr">
        <x:is>
          <x:t xml:space="preserve">کلید اتصال کالا به برند سازنده</x:t>
        </x:is>
      </x:c>
      <x:c r="E61" s="6" t="inlineStr">
        <x:is>
          <x:t xml:space="preserve">String</x:t>
        </x:is>
      </x:c>
      <x:c r="F61" s="6" t="inlineStr">
        <x:is>
          <x:t xml:space="preserve">Product</x:t>
        </x:is>
      </x:c>
      <x:c r="G61" s="19" t="inlineStr">
        <x:is>
          <x:t xml:space="preserve">اجباری</x:t>
        </x:is>
      </x:c>
      <x:c r="H61" s="6" t="inlineStr">
        <x:is>
          <x:t xml:space="preserve">کاتالوگ کالا</x:t>
        </x:is>
      </x:c>
      <x:c r="I61" s="6" t="inlineStr">
        <x:is>
          <x:t xml:space="preserve">ماهانه</x:t>
        </x:is>
      </x:c>
      <x:c r="J61" s="6" t="inlineStr">
        <x:is>
          <x:t xml:space="preserve">Foreign Key to Brand</x:t>
        </x:is>
      </x:c>
      <x:c r="K61" s="6" t="inlineStr">
        <x:is>
          <x:t xml:space="preserve">سنجش میزان وفاداری دندان‌پزشکان به برندها</x:t>
        </x:is>
      </x:c>
      <x:c r="L61" s="6" t="inlineStr">
        <x:is>
          <x:t xml:space="preserve">عمومی</x:t>
        </x:is>
      </x:c>
      <x:c r="M61" s="6" t="inlineStr">
        <x:is>
          <x:t xml:space="preserve">اتصال به شناسه معتبر برند</x:t>
        </x:is>
      </x:c>
      <x:c r="N61" s="30" t="str">
        <x:v>FLD-060</x:v>
      </x:c>
      <x:c r="O61" s="30" t="str">
        <x:v>No</x:v>
      </x:c>
      <x:c r="P61" s="30" t="str">
        <x:v>Yes</x:v>
      </x:c>
      <x:c r="Q61" s="30" t="str">
        <x:v>کاتالوگ کالا</x:v>
      </x:c>
      <x:c r="R61" s="30" t="str">
        <x:v>dim_or_fact_product</x:v>
      </x:c>
      <x:c r="S61" s="30" t="str">
        <x:v>نیازمند تکمیل و تأیید مالک</x:v>
      </x:c>
      <x:c r="T61" s="30" t="str">
        <x:v>نیازمند تکمیل و تأیید مالک</x:v>
      </x:c>
      <x:c r="U61" s="30" t="str">
        <x:v>نیازمند تکمیل و تأیید مالک</x:v>
      </x:c>
      <x:c r="V61" s="30" t="str">
        <x:v>نیازمند تکمیل و تأیید مالک</x:v>
      </x:c>
      <x:c r="W61" s="30" t="str">
        <x:v>Data Engineer</x:v>
      </x:c>
      <x:c r="X61" s="30" t="str">
        <x:v>Proposed</x:v>
      </x:c>
    </x:row>
    <x:row r="62">
      <x:c r="A62" s="17" t="inlineStr">
        <x:is>
          <x:t xml:space="preserve">FLD-061</x:t>
        </x:is>
      </x:c>
      <x:c r="B62" s="4" t="inlineStr">
        <x:is>
          <x:t xml:space="preserve">Product</x:t>
        </x:is>
      </x:c>
      <x:c r="C62" s="4" t="inlineStr">
        <x:is>
          <x:t xml:space="preserve">product_current_cogs</x:t>
        </x:is>
      </x:c>
      <x:c r="D62" s="4" t="inlineStr">
        <x:is>
          <x:t xml:space="preserve">بهای تمام‌شده خرید/واردات کالا (COGS لحظه‌ای)</x:t>
        </x:is>
      </x:c>
      <x:c r="E62" s="4" t="inlineStr">
        <x:is>
          <x:t xml:space="preserve">Decimal (IRR)</x:t>
        </x:is>
      </x:c>
      <x:c r="F62" s="4" t="inlineStr">
        <x:is>
          <x:t xml:space="preserve">Product</x:t>
        </x:is>
      </x:c>
      <x:c r="G62" s="17" t="inlineStr">
        <x:is>
          <x:t xml:space="preserve">اجباری</x:t>
        </x:is>
      </x:c>
      <x:c r="H62" s="4" t="inlineStr">
        <x:is>
          <x:t xml:space="preserve">سیستم حسابداری صنعتی</x:t>
        </x:is>
      </x:c>
      <x:c r="I62" s="4" t="inlineStr">
        <x:is>
          <x:t xml:space="preserve">روزانه/تغییر خرید</x:t>
        </x:is>
      </x:c>
      <x:c r="J62" s="4" t="inlineStr">
        <x:is>
          <x:t xml:space="preserve">Metric (Cost)</x:t>
        </x:is>
      </x:c>
      <x:c r="K62" s="4" t="inlineStr">
        <x:is>
          <x:t xml:space="preserve">محاسبه بلادرنگ سود ناخالص و POAS در هر کمپین</x:t>
        </x:is>
      </x:c>
      <x:c r="L62" s="4" t="inlineStr">
        <x:is>
          <x:t xml:space="preserve">محرمانه فوق‌العاده حیاتی بیزینس</x:t>
        </x:is>
      </x:c>
      <x:c r="M62" s="4" t="inlineStr">
        <x:is>
          <x:t xml:space="preserve">به‌روزرسانی همگام با خروج هر پارت انبار</x:t>
        </x:is>
      </x:c>
      <x:c r="N62" s="30" t="str">
        <x:v>FLD-061</x:v>
      </x:c>
      <x:c r="O62" s="30" t="str">
        <x:v>No</x:v>
      </x:c>
      <x:c r="P62" s="30" t="str">
        <x:v>Yes</x:v>
      </x:c>
      <x:c r="Q62" s="30" t="str">
        <x:v>سیستم حسابداری صنعتی</x:v>
      </x:c>
      <x:c r="R62" s="30" t="str">
        <x:v>dim_or_fact_product</x:v>
      </x:c>
      <x:c r="S62" s="30" t="str">
        <x:v>نیازمند تکمیل و تأیید مالک</x:v>
      </x:c>
      <x:c r="T62" s="30" t="str">
        <x:v>نیازمند تکمیل و تأیید مالک</x:v>
      </x:c>
      <x:c r="U62" s="30" t="str">
        <x:v>نیازمند تکمیل و تأیید مالک</x:v>
      </x:c>
      <x:c r="V62" s="30" t="str">
        <x:v>نیازمند تکمیل و تأیید مالک</x:v>
      </x:c>
      <x:c r="W62" s="30" t="str">
        <x:v>Data Engineer</x:v>
      </x:c>
      <x:c r="X62" s="30" t="str">
        <x:v>Proposed</x:v>
      </x:c>
    </x:row>
    <x:row r="63">
      <x:c r="A63" s="19" t="inlineStr">
        <x:is>
          <x:t xml:space="preserve">FLD-062</x:t>
        </x:is>
      </x:c>
      <x:c r="B63" s="6" t="inlineStr">
        <x:is>
          <x:t xml:space="preserve">Product</x:t>
        </x:is>
      </x:c>
      <x:c r="C63" s="6" t="inlineStr">
        <x:is>
          <x:t xml:space="preserve">product_list_price</x:t>
        </x:is>
      </x:c>
      <x:c r="D63" s="6" t="inlineStr">
        <x:is>
          <x:t xml:space="preserve">قیمت فروش نقدی مصوب کالا در وب‌سایت</x:t>
        </x:is>
      </x:c>
      <x:c r="E63" s="6" t="inlineStr">
        <x:is>
          <x:t xml:space="preserve">Decimal (IRR)</x:t>
        </x:is>
      </x:c>
      <x:c r="F63" s="6" t="inlineStr">
        <x:is>
          <x:t xml:space="preserve">Product</x:t>
        </x:is>
      </x:c>
      <x:c r="G63" s="19" t="inlineStr">
        <x:is>
          <x:t xml:space="preserve">اجباری</x:t>
        </x:is>
      </x:c>
      <x:c r="H63" s="6" t="inlineStr">
        <x:is>
          <x:t xml:space="preserve">سیستم قیمت‌گذاری و CRM</x:t>
        </x:is>
      </x:c>
      <x:c r="I63" s="6" t="inlineStr">
        <x:is>
          <x:t xml:space="preserve">بلادرنگ</x:t>
        </x:is>
      </x:c>
      <x:c r="J63" s="6" t="inlineStr">
        <x:is>
          <x:t xml:space="preserve">Metric (Price)</x:t>
        </x:is>
      </x:c>
      <x:c r="K63" s="6" t="inlineStr">
        <x:is>
          <x:t xml:space="preserve">محاسبه تخفیف‌ها و سنجش کشش قیمتی تقاضا</x:t>
        </x:is>
      </x:c>
      <x:c r="L63" s="6" t="inlineStr">
        <x:is>
          <x:t xml:space="preserve">عمومی فروشگاه</x:t>
        </x:is>
      </x:c>
      <x:c r="M63" s="6" t="inlineStr">
        <x:is>
          <x:t xml:space="preserve">مقادیر بزرگتر از COGS</x:t>
        </x:is>
      </x:c>
      <x:c r="N63" s="30" t="str">
        <x:v>FLD-062</x:v>
      </x:c>
      <x:c r="O63" s="30" t="str">
        <x:v>No</x:v>
      </x:c>
      <x:c r="P63" s="30" t="str">
        <x:v>Yes</x:v>
      </x:c>
      <x:c r="Q63" s="30" t="str">
        <x:v>سیستم قیمت‌گذاری و CRM</x:v>
      </x:c>
      <x:c r="R63" s="30" t="str">
        <x:v>dim_or_fact_product</x:v>
      </x:c>
      <x:c r="S63" s="30" t="str">
        <x:v>نیازمند تکمیل و تأیید مالک</x:v>
      </x:c>
      <x:c r="T63" s="30" t="str">
        <x:v>نیازمند تکمیل و تأیید مالک</x:v>
      </x:c>
      <x:c r="U63" s="30" t="str">
        <x:v>نیازمند تکمیل و تأیید مالک</x:v>
      </x:c>
      <x:c r="V63" s="30" t="str">
        <x:v>نیازمند تکمیل و تأیید مالک</x:v>
      </x:c>
      <x:c r="W63" s="30" t="str">
        <x:v>Data Engineer</x:v>
      </x:c>
      <x:c r="X63" s="30" t="str">
        <x:v>Proposed</x:v>
      </x:c>
    </x:row>
    <x:row r="64">
      <x:c r="A64" s="17" t="inlineStr">
        <x:is>
          <x:t xml:space="preserve">FLD-063</x:t>
        </x:is>
      </x:c>
      <x:c r="B64" s="4" t="inlineStr">
        <x:is>
          <x:t xml:space="preserve">Product</x:t>
        </x:is>
      </x:c>
      <x:c r="C64" s="4" t="inlineStr">
        <x:is>
          <x:t xml:space="preserve">product_storage_temp_class</x:t>
        </x:is>
      </x:c>
      <x:c r="D64" s="4" t="inlineStr">
        <x:is>
          <x:t xml:space="preserve">رده دمایی نگهداری در انبار (زنجیره سرد ۲-۸ درجه در برابر دمای اتاق)</x:t>
        </x:is>
      </x:c>
      <x:c r="E64" s="4" t="inlineStr">
        <x:is>
          <x:t xml:space="preserve">Enum</x:t>
        </x:is>
      </x:c>
      <x:c r="F64" s="4" t="inlineStr">
        <x:is>
          <x:t xml:space="preserve">Product</x:t>
        </x:is>
      </x:c>
      <x:c r="G64" s="17" t="inlineStr">
        <x:is>
          <x:t xml:space="preserve">اجباری (مواد)</x:t>
        </x:is>
      </x:c>
      <x:c r="H64" s="4" t="inlineStr">
        <x:is>
          <x:t xml:space="preserve">مستندات فنی و برگه MSDS کالا</x:t>
        </x:is>
      </x:c>
      <x:c r="I64" s="4" t="inlineStr">
        <x:is>
          <x:t xml:space="preserve">سالانه</x:t>
        </x:is>
      </x:c>
      <x:c r="J64" s="4" t="inlineStr">
        <x:is>
          <x:t xml:space="preserve">Dimension</x:t>
        </x:is>
      </x:c>
      <x:c r="K64" s="4" t="inlineStr">
        <x:is>
          <x:t xml:space="preserve">تحلیل هزینه‌های لجستیک سرد و ضایعات انبار</x:t>
        </x:is>
      </x:c>
      <x:c r="L64" s="4" t="inlineStr">
        <x:is>
          <x:t xml:space="preserve">استاندارد سلامت و ایمنی</x:t>
        </x:is>
      </x:c>
      <x:c r="M64" s="4" t="inlineStr">
        <x:is>
          <x:t xml:space="preserve">تطابق ۱۰۰٪ با برچسب وزارت بهداشت</x:t>
        </x:is>
      </x:c>
      <x:c r="N64" s="30" t="str">
        <x:v>FLD-063</x:v>
      </x:c>
      <x:c r="O64" s="30" t="str">
        <x:v>No</x:v>
      </x:c>
      <x:c r="P64" s="30" t="str">
        <x:v>Yes</x:v>
      </x:c>
      <x:c r="Q64" s="30" t="str">
        <x:v>مستندات فنی و برگه MSDS کالا</x:v>
      </x:c>
      <x:c r="R64" s="30" t="str">
        <x:v>dim_or_fact_product</x:v>
      </x:c>
      <x:c r="S64" s="30" t="str">
        <x:v>نیازمند تکمیل و تأیید مالک</x:v>
      </x:c>
      <x:c r="T64" s="30" t="str">
        <x:v>نیازمند تکمیل و تأیید مالک</x:v>
      </x:c>
      <x:c r="U64" s="30" t="str">
        <x:v>نیازمند تکمیل و تأیید مالک</x:v>
      </x:c>
      <x:c r="V64" s="30" t="str">
        <x:v>نیازمند تکمیل و تأیید مالک</x:v>
      </x:c>
      <x:c r="W64" s="30" t="str">
        <x:v>Data Engineer</x:v>
      </x:c>
      <x:c r="X64" s="30" t="str">
        <x:v>Proposed</x:v>
      </x:c>
    </x:row>
    <x:row r="65">
      <x:c r="A65" s="19" t="inlineStr">
        <x:is>
          <x:t xml:space="preserve">FLD-064</x:t>
        </x:is>
      </x:c>
      <x:c r="B65" s="6" t="inlineStr">
        <x:is>
          <x:t xml:space="preserve">Category</x:t>
        </x:is>
      </x:c>
      <x:c r="C65" s="6" t="inlineStr">
        <x:is>
          <x:t xml:space="preserve">category_id</x:t>
        </x:is>
      </x:c>
      <x:c r="D65" s="6" t="inlineStr">
        <x:is>
          <x:t xml:space="preserve">شناسه یکتای رده محصولی (مانند اندودنتیکس، ارتودنسی)</x:t>
        </x:is>
      </x:c>
      <x:c r="E65" s="6" t="inlineStr">
        <x:is>
          <x:t xml:space="preserve">String</x:t>
        </x:is>
      </x:c>
      <x:c r="F65" s="6" t="inlineStr">
        <x:is>
          <x:t xml:space="preserve">Category</x:t>
        </x:is>
      </x:c>
      <x:c r="G65" s="19" t="inlineStr">
        <x:is>
          <x:t xml:space="preserve">اجباری</x:t>
        </x:is>
      </x:c>
      <x:c r="H65" s="6" t="inlineStr">
        <x:is>
          <x:t xml:space="preserve">پایگاه داده کاتالوگ</x:t>
        </x:is>
      </x:c>
      <x:c r="I65" s="6" t="inlineStr">
        <x:is>
          <x:t xml:space="preserve">ماهانه</x:t>
        </x:is>
      </x:c>
      <x:c r="J65" s="6" t="inlineStr">
        <x:is>
          <x:t xml:space="preserve">Primary Key</x:t>
        </x:is>
      </x:c>
      <x:c r="K65" s="6" t="inlineStr">
        <x:is>
          <x:t xml:space="preserve">مدیریت بودجه‌های تبلیغاتی بر اساس سودآوری دسته</x:t>
        </x:is>
      </x:c>
      <x:c r="L65" s="6" t="inlineStr">
        <x:is>
          <x:t xml:space="preserve">عمومی</x:t>
        </x:is>
      </x:c>
      <x:c r="M65" s="6" t="inlineStr">
        <x:is>
          <x:t xml:space="preserve">یکتایی در رده‌های درختی</x:t>
        </x:is>
      </x:c>
      <x:c r="N65" s="30" t="str">
        <x:v>FLD-064</x:v>
      </x:c>
      <x:c r="O65" s="30" t="str">
        <x:v>Needs validation</x:v>
      </x:c>
      <x:c r="P65" s="30" t="str">
        <x:v>Yes</x:v>
      </x:c>
      <x:c r="Q65" s="30" t="str">
        <x:v>پایگاه داده کاتالوگ</x:v>
      </x:c>
      <x:c r="R65" s="30" t="str">
        <x:v>dim_or_fact_category</x:v>
      </x:c>
      <x:c r="S65" s="30" t="str">
        <x:v>نیازمند تکمیل و تأیید مالک</x:v>
      </x:c>
      <x:c r="T65" s="30" t="str">
        <x:v>نیازمند تکمیل و تأیید مالک</x:v>
      </x:c>
      <x:c r="U65" s="30" t="str">
        <x:v>نیازمند تکمیل و تأیید مالک</x:v>
      </x:c>
      <x:c r="V65" s="30" t="str">
        <x:v>نیازمند تکمیل و تأیید مالک</x:v>
      </x:c>
      <x:c r="W65" s="30" t="str">
        <x:v>Data Engineer</x:v>
      </x:c>
      <x:c r="X65" s="30" t="str">
        <x:v>Proposed</x:v>
      </x:c>
    </x:row>
    <x:row r="66">
      <x:c r="A66" s="17" t="inlineStr">
        <x:is>
          <x:t xml:space="preserve">FLD-065</x:t>
        </x:is>
      </x:c>
      <x:c r="B66" s="4" t="inlineStr">
        <x:is>
          <x:t xml:space="preserve">Category</x:t>
        </x:is>
      </x:c>
      <x:c r="C66" s="4" t="inlineStr">
        <x:is>
          <x:t xml:space="preserve">category_name_fa</x:t>
        </x:is>
      </x:c>
      <x:c r="D66" s="4" t="inlineStr">
        <x:is>
          <x:t xml:space="preserve">عنوان فارسی شاخه کالایی</x:t>
        </x:is>
      </x:c>
      <x:c r="E66" s="4" t="inlineStr">
        <x:is>
          <x:t xml:space="preserve">String</x:t>
        </x:is>
      </x:c>
      <x:c r="F66" s="4" t="inlineStr">
        <x:is>
          <x:t xml:space="preserve">Category</x:t>
        </x:is>
      </x:c>
      <x:c r="G66" s="17" t="inlineStr">
        <x:is>
          <x:t xml:space="preserve">اجباری</x:t>
        </x:is>
      </x:c>
      <x:c r="H66" s="4" t="inlineStr">
        <x:is>
          <x:t xml:space="preserve">درخت محصولات</x:t>
        </x:is>
      </x:c>
      <x:c r="I66" s="4" t="inlineStr">
        <x:is>
          <x:t xml:space="preserve">ماهانه</x:t>
        </x:is>
      </x:c>
      <x:c r="J66" s="4" t="inlineStr">
        <x:is>
          <x:t xml:space="preserve">Dimension</x:t>
        </x:is>
      </x:c>
      <x:c r="K66" s="4" t="inlineStr">
        <x:is>
          <x:t xml:space="preserve">ساخت گزارش‌های تجمیعی مدیران و فیلترهای BI</x:t>
        </x:is>
      </x:c>
      <x:c r="L66" s="4" t="inlineStr">
        <x:is>
          <x:t xml:space="preserve">عمومی</x:t>
        </x:is>
      </x:c>
      <x:c r="M66" s="4" t="inlineStr">
        <x:is>
          <x:t xml:space="preserve">نام‌های استاندارد بدون ابهام</x:t>
        </x:is>
      </x:c>
      <x:c r="N66" s="30" t="str">
        <x:v>FLD-065</x:v>
      </x:c>
      <x:c r="O66" s="30" t="str">
        <x:v>No</x:v>
      </x:c>
      <x:c r="P66" s="30" t="str">
        <x:v>Yes</x:v>
      </x:c>
      <x:c r="Q66" s="30" t="str">
        <x:v>درخت محصولات</x:v>
      </x:c>
      <x:c r="R66" s="30" t="str">
        <x:v>dim_or_fact_category</x:v>
      </x:c>
      <x:c r="S66" s="30" t="str">
        <x:v>نیازمند تکمیل و تأیید مالک</x:v>
      </x:c>
      <x:c r="T66" s="30" t="str">
        <x:v>نیازمند تکمیل و تأیید مالک</x:v>
      </x:c>
      <x:c r="U66" s="30" t="str">
        <x:v>نیازمند تکمیل و تأیید مالک</x:v>
      </x:c>
      <x:c r="V66" s="30" t="str">
        <x:v>نیازمند تکمیل و تأیید مالک</x:v>
      </x:c>
      <x:c r="W66" s="30" t="str">
        <x:v>Data Engineer</x:v>
      </x:c>
      <x:c r="X66" s="30" t="str">
        <x:v>Proposed</x:v>
      </x:c>
    </x:row>
    <x:row r="67">
      <x:c r="A67" s="19" t="inlineStr">
        <x:is>
          <x:t xml:space="preserve">FLD-066</x:t>
        </x:is>
      </x:c>
      <x:c r="B67" s="6" t="inlineStr">
        <x:is>
          <x:t xml:space="preserve">Category</x:t>
        </x:is>
      </x:c>
      <x:c r="C67" s="6" t="inlineStr">
        <x:is>
          <x:t xml:space="preserve">category_target_margin_pct</x:t>
        </x:is>
      </x:c>
      <x:c r="D67" s="6" t="inlineStr">
        <x:is>
          <x:t xml:space="preserve">هدف حاشیه سود ناخالص تعیین‌شده توسط هیئت‌مدیره</x:t>
        </x:is>
      </x:c>
      <x:c r="E67" s="6" t="inlineStr">
        <x:is>
          <x:t xml:space="preserve">Decimal (Percentage)</x:t>
        </x:is>
      </x:c>
      <x:c r="F67" s="6" t="inlineStr">
        <x:is>
          <x:t xml:space="preserve">Category</x:t>
        </x:is>
      </x:c>
      <x:c r="G67" s="19" t="inlineStr">
        <x:is>
          <x:t xml:space="preserve">اجباری</x:t>
        </x:is>
      </x:c>
      <x:c r="H67" s="6" t="inlineStr">
        <x:is>
          <x:t xml:space="preserve">سند بودجه‌ریزی مالی شرکت</x:t>
        </x:is>
      </x:c>
      <x:c r="I67" s="6" t="inlineStr">
        <x:is>
          <x:t xml:space="preserve">فصلی</x:t>
        </x:is>
      </x:c>
      <x:c r="J67" s="6" t="inlineStr">
        <x:is>
          <x:t xml:space="preserve">Target Metric</x:t>
        </x:is>
      </x:c>
      <x:c r="K67" s="6" t="inlineStr">
        <x:is>
          <x:t xml:space="preserve">مقایسه سود واقعی تحقق‌یافته با تارگت استراتژیک</x:t>
        </x:is>
      </x:c>
      <x:c r="L67" s="6" t="inlineStr">
        <x:is>
          <x:t xml:space="preserve">محرمانه مدیریتی</x:t>
        </x:is>
      </x:c>
      <x:c r="M67" s="6" t="inlineStr">
        <x:is>
          <x:t xml:space="preserve">مقادیر منطقی بین ۰ تا ۱۰۰ درصد</x:t>
        </x:is>
      </x:c>
      <x:c r="N67" s="30" t="str">
        <x:v>FLD-066</x:v>
      </x:c>
      <x:c r="O67" s="30" t="str">
        <x:v>No</x:v>
      </x:c>
      <x:c r="P67" s="30" t="str">
        <x:v>Yes</x:v>
      </x:c>
      <x:c r="Q67" s="30" t="str">
        <x:v>سند بودجه‌ریزی مالی شرکت</x:v>
      </x:c>
      <x:c r="R67" s="30" t="str">
        <x:v>dim_or_fact_category</x:v>
      </x:c>
      <x:c r="S67" s="30" t="str">
        <x:v>نیازمند تکمیل و تأیید مالک</x:v>
      </x:c>
      <x:c r="T67" s="30" t="str">
        <x:v>نیازمند تکمیل و تأیید مالک</x:v>
      </x:c>
      <x:c r="U67" s="30" t="str">
        <x:v>نیازمند تکمیل و تأیید مالک</x:v>
      </x:c>
      <x:c r="V67" s="30" t="str">
        <x:v>نیازمند تکمیل و تأیید مالک</x:v>
      </x:c>
      <x:c r="W67" s="30" t="str">
        <x:v>Data Engineer</x:v>
      </x:c>
      <x:c r="X67" s="30" t="str">
        <x:v>Proposed</x:v>
      </x:c>
    </x:row>
    <x:row r="68">
      <x:c r="A68" s="17" t="inlineStr">
        <x:is>
          <x:t xml:space="preserve">FLD-067</x:t>
        </x:is>
      </x:c>
      <x:c r="B68" s="4" t="inlineStr">
        <x:is>
          <x:t xml:space="preserve">Category</x:t>
        </x:is>
      </x:c>
      <x:c r="C68" s="4" t="inlineStr">
        <x:is>
          <x:t xml:space="preserve">category_parent_id</x:t>
        </x:is>
      </x:c>
      <x:c r="D68" s="4" t="inlineStr">
        <x:is>
          <x:t xml:space="preserve">شناسه دسته والد در ساختار درختی</x:t>
        </x:is>
      </x:c>
      <x:c r="E68" s="4" t="inlineStr">
        <x:is>
          <x:t xml:space="preserve">String</x:t>
        </x:is>
      </x:c>
      <x:c r="F68" s="4" t="inlineStr">
        <x:is>
          <x:t xml:space="preserve">Category</x:t>
        </x:is>
      </x:c>
      <x:c r="G68" s="17" t="inlineStr">
        <x:is>
          <x:t xml:space="preserve">اختیاری</x:t>
        </x:is>
      </x:c>
      <x:c r="H68" s="4" t="inlineStr">
        <x:is>
          <x:t xml:space="preserve">دیتابیس کاتالوگ</x:t>
        </x:is>
      </x:c>
      <x:c r="I68" s="4" t="inlineStr">
        <x:is>
          <x:t xml:space="preserve">ماهانه</x:t>
        </x:is>
      </x:c>
      <x:c r="J68" s="4" t="inlineStr">
        <x:is>
          <x:t xml:space="preserve">Foreign Key (Self-join)</x:t>
        </x:is>
      </x:c>
      <x:c r="K68" s="4" t="inlineStr">
        <x:is>
          <x:t xml:space="preserve">تحلیل در سطوح مختلف کلان و خرد</x:t>
        </x:is>
      </x:c>
      <x:c r="L68" s="4" t="inlineStr">
        <x:is>
          <x:t xml:space="preserve">ساختاری</x:t>
        </x:is>
      </x:c>
      <x:c r="M68" s="4" t="inlineStr">
        <x:is>
          <x:t xml:space="preserve">جلوگیری از ایجاد حلقه در درختواره</x:t>
        </x:is>
      </x:c>
      <x:c r="N68" s="30" t="str">
        <x:v>FLD-067</x:v>
      </x:c>
      <x:c r="O68" s="30" t="str">
        <x:v>Needs validation</x:v>
      </x:c>
      <x:c r="P68" s="30" t="str">
        <x:v>Yes</x:v>
      </x:c>
      <x:c r="Q68" s="30" t="str">
        <x:v>دیتابیس کاتالوگ</x:v>
      </x:c>
      <x:c r="R68" s="30" t="str">
        <x:v>dim_or_fact_category</x:v>
      </x:c>
      <x:c r="S68" s="30" t="str">
        <x:v>نیازمند تکمیل و تأیید مالک</x:v>
      </x:c>
      <x:c r="T68" s="30" t="str">
        <x:v>نیازمند تکمیل و تأیید مالک</x:v>
      </x:c>
      <x:c r="U68" s="30" t="str">
        <x:v>نیازمند تکمیل و تأیید مالک</x:v>
      </x:c>
      <x:c r="V68" s="30" t="str">
        <x:v>نیازمند تکمیل و تأیید مالک</x:v>
      </x:c>
      <x:c r="W68" s="30" t="str">
        <x:v>Data Engineer</x:v>
      </x:c>
      <x:c r="X68" s="30" t="str">
        <x:v>Proposed</x:v>
      </x:c>
    </x:row>
    <x:row r="69">
      <x:c r="A69" s="19" t="inlineStr">
        <x:is>
          <x:t xml:space="preserve">FLD-068</x:t>
        </x:is>
      </x:c>
      <x:c r="B69" s="6" t="inlineStr">
        <x:is>
          <x:t xml:space="preserve">Brand</x:t>
        </x:is>
      </x:c>
      <x:c r="C69" s="6" t="inlineStr">
        <x:is>
          <x:t xml:space="preserve">brand_id</x:t>
        </x:is>
      </x:c>
      <x:c r="D69" s="6" t="inlineStr">
        <x:is>
          <x:t xml:space="preserve">شناسه یکتای شرکت سازنده یا برند تجاری</x:t>
        </x:is>
      </x:c>
      <x:c r="E69" s="6" t="inlineStr">
        <x:is>
          <x:t xml:space="preserve">String</x:t>
        </x:is>
      </x:c>
      <x:c r="F69" s="6" t="inlineStr">
        <x:is>
          <x:t xml:space="preserve">Brand</x:t>
        </x:is>
      </x:c>
      <x:c r="G69" s="19" t="inlineStr">
        <x:is>
          <x:t xml:space="preserve">اجباری</x:t>
        </x:is>
      </x:c>
      <x:c r="H69" s="6" t="inlineStr">
        <x:is>
          <x:t xml:space="preserve">پایگاه داده بازرگانی</x:t>
        </x:is>
      </x:c>
      <x:c r="I69" s="6" t="inlineStr">
        <x:is>
          <x:t xml:space="preserve">فصلی</x:t>
        </x:is>
      </x:c>
      <x:c r="J69" s="6" t="inlineStr">
        <x:is>
          <x:t xml:space="preserve">Primary Key</x:t>
        </x:is>
      </x:c>
      <x:c r="K69" s="6" t="inlineStr">
        <x:is>
          <x:t xml:space="preserve">ارزیابی سهم بازار و قدرت چانه‌زنی با تامین‌کننده</x:t>
        </x:is>
      </x:c>
      <x:c r="L69" s="6" t="inlineStr">
        <x:is>
          <x:t xml:space="preserve">عمومی تجاری</x:t>
        </x:is>
      </x:c>
      <x:c r="M69" s="6" t="inlineStr">
        <x:is>
          <x:t xml:space="preserve">کد یکتای برند</x:t>
        </x:is>
      </x:c>
      <x:c r="N69" s="30" t="str">
        <x:v>FLD-068</x:v>
      </x:c>
      <x:c r="O69" s="30" t="str">
        <x:v>Needs validation</x:v>
      </x:c>
      <x:c r="P69" s="30" t="str">
        <x:v>Yes</x:v>
      </x:c>
      <x:c r="Q69" s="30" t="str">
        <x:v>پایگاه داده بازرگانی</x:v>
      </x:c>
      <x:c r="R69" s="30" t="str">
        <x:v>dim_or_fact_brand</x:v>
      </x:c>
      <x:c r="S69" s="30" t="str">
        <x:v>نیازمند تکمیل و تأیید مالک</x:v>
      </x:c>
      <x:c r="T69" s="30" t="str">
        <x:v>نیازمند تکمیل و تأیید مالک</x:v>
      </x:c>
      <x:c r="U69" s="30" t="str">
        <x:v>نیازمند تکمیل و تأیید مالک</x:v>
      </x:c>
      <x:c r="V69" s="30" t="str">
        <x:v>نیازمند تکمیل و تأیید مالک</x:v>
      </x:c>
      <x:c r="W69" s="30" t="str">
        <x:v>Data Engineer</x:v>
      </x:c>
      <x:c r="X69" s="30" t="str">
        <x:v>Proposed</x:v>
      </x:c>
    </x:row>
    <x:row r="70">
      <x:c r="A70" s="17" t="inlineStr">
        <x:is>
          <x:t xml:space="preserve">FLD-069</x:t>
        </x:is>
      </x:c>
      <x:c r="B70" s="4" t="inlineStr">
        <x:is>
          <x:t xml:space="preserve">Brand</x:t>
        </x:is>
      </x:c>
      <x:c r="C70" s="4" t="inlineStr">
        <x:is>
          <x:t xml:space="preserve">brand_trade_name</x:t>
        </x:is>
      </x:c>
      <x:c r="D70" s="4" t="inlineStr">
        <x:is>
          <x:t xml:space="preserve">نام تجاری برند (مانند Dentsply, 3M, Kerr)</x:t>
        </x:is>
      </x:c>
      <x:c r="E70" s="4" t="inlineStr">
        <x:is>
          <x:t xml:space="preserve">String</x:t>
        </x:is>
      </x:c>
      <x:c r="F70" s="4" t="inlineStr">
        <x:is>
          <x:t xml:space="preserve">Brand</x:t>
        </x:is>
      </x:c>
      <x:c r="G70" s="17" t="inlineStr">
        <x:is>
          <x:t xml:space="preserve">اجباری</x:t>
        </x:is>
      </x:c>
      <x:c r="H70" s="4" t="inlineStr">
        <x:is>
          <x:t xml:space="preserve">کاتالوگ بازرگانی</x:t>
        </x:is>
      </x:c>
      <x:c r="I70" s="4" t="inlineStr">
        <x:is>
          <x:t xml:space="preserve">فصلی</x:t>
        </x:is>
      </x:c>
      <x:c r="J70" s="4" t="inlineStr">
        <x:is>
          <x:t xml:space="preserve">Dimension</x:t>
        </x:is>
      </x:c>
      <x:c r="K70" s="4" t="inlineStr">
        <x:is>
          <x:t xml:space="preserve">هدف‌گیری تبلیغاتی روی عبارات کلیدی برندها</x:t>
        </x:is>
      </x:c>
      <x:c r="L70" s="4" t="inlineStr">
        <x:is>
          <x:t xml:space="preserve">تجاری</x:t>
        </x:is>
      </x:c>
      <x:c r="M70" s="4" t="inlineStr">
        <x:is>
          <x:t xml:space="preserve">نگارش استاندارد انگلیسی و فارسی</x:t>
        </x:is>
      </x:c>
      <x:c r="N70" s="30" t="str">
        <x:v>FLD-069</x:v>
      </x:c>
      <x:c r="O70" s="30" t="str">
        <x:v>No</x:v>
      </x:c>
      <x:c r="P70" s="30" t="str">
        <x:v>Yes</x:v>
      </x:c>
      <x:c r="Q70" s="30" t="str">
        <x:v>کاتالوگ بازرگانی</x:v>
      </x:c>
      <x:c r="R70" s="30" t="str">
        <x:v>dim_or_fact_brand</x:v>
      </x:c>
      <x:c r="S70" s="30" t="str">
        <x:v>نیازمند تکمیل و تأیید مالک</x:v>
      </x:c>
      <x:c r="T70" s="30" t="str">
        <x:v>نیازمند تکمیل و تأیید مالک</x:v>
      </x:c>
      <x:c r="U70" s="30" t="str">
        <x:v>نیازمند تکمیل و تأیید مالک</x:v>
      </x:c>
      <x:c r="V70" s="30" t="str">
        <x:v>نیازمند تکمیل و تأیید مالک</x:v>
      </x:c>
      <x:c r="W70" s="30" t="str">
        <x:v>Data Engineer</x:v>
      </x:c>
      <x:c r="X70" s="30" t="str">
        <x:v>Proposed</x:v>
      </x:c>
    </x:row>
    <x:row r="71">
      <x:c r="A71" s="19" t="inlineStr">
        <x:is>
          <x:t xml:space="preserve">FLD-070</x:t>
        </x:is>
      </x:c>
      <x:c r="B71" s="6" t="inlineStr">
        <x:is>
          <x:t xml:space="preserve">Brand</x:t>
        </x:is>
      </x:c>
      <x:c r="C71" s="6" t="inlineStr">
        <x:is>
          <x:t xml:space="preserve">brand_country_of_origin</x:t>
        </x:is>
      </x:c>
      <x:c r="D71" s="6" t="inlineStr">
        <x:is>
          <x:t xml:space="preserve">کشور مبدأ تولیدکننده تجهیزات یا مواد</x:t>
        </x:is>
      </x:c>
      <x:c r="E71" s="6" t="inlineStr">
        <x:is>
          <x:t xml:space="preserve">String</x:t>
        </x:is>
      </x:c>
      <x:c r="F71" s="6" t="inlineStr">
        <x:is>
          <x:t xml:space="preserve">Brand</x:t>
        </x:is>
      </x:c>
      <x:c r="G71" s="19" t="inlineStr">
        <x:is>
          <x:t xml:space="preserve">اختیاری</x:t>
        </x:is>
      </x:c>
      <x:c r="H71" s="6" t="inlineStr">
        <x:is>
          <x:t xml:space="preserve">مستندات مجوز واردات کالا</x:t>
        </x:is>
      </x:c>
      <x:c r="I71" s="6" t="inlineStr">
        <x:is>
          <x:t xml:space="preserve">سالانه</x:t>
        </x:is>
      </x:c>
      <x:c r="J71" s="6" t="inlineStr">
        <x:is>
          <x:t xml:space="preserve">Dimension</x:t>
        </x:is>
      </x:c>
      <x:c r="K71" s="6" t="inlineStr">
        <x:is>
          <x:t xml:space="preserve">تحلیل ترجیحات کیفی پزشکان (اروپایی در برابر آسیایی)</x:t>
        </x:is>
      </x:c>
      <x:c r="L71" s="6" t="inlineStr">
        <x:is>
          <x:t xml:space="preserve">عمومی</x:t>
        </x:is>
      </x:c>
      <x:c r="M71" s="6" t="inlineStr">
        <x:is>
          <x:t xml:space="preserve">اسامی استاندارد بین‌المللی کشورها</x:t>
        </x:is>
      </x:c>
      <x:c r="N71" s="30" t="str">
        <x:v>FLD-070</x:v>
      </x:c>
      <x:c r="O71" s="30" t="str">
        <x:v>No</x:v>
      </x:c>
      <x:c r="P71" s="30" t="str">
        <x:v>Yes</x:v>
      </x:c>
      <x:c r="Q71" s="30" t="str">
        <x:v>مستندات مجوز واردات کالا</x:v>
      </x:c>
      <x:c r="R71" s="30" t="str">
        <x:v>dim_or_fact_brand</x:v>
      </x:c>
      <x:c r="S71" s="30" t="str">
        <x:v>نیازمند تکمیل و تأیید مالک</x:v>
      </x:c>
      <x:c r="T71" s="30" t="str">
        <x:v>نیازمند تکمیل و تأیید مالک</x:v>
      </x:c>
      <x:c r="U71" s="30" t="str">
        <x:v>نیازمند تکمیل و تأیید مالک</x:v>
      </x:c>
      <x:c r="V71" s="30" t="str">
        <x:v>نیازمند تکمیل و تأیید مالک</x:v>
      </x:c>
      <x:c r="W71" s="30" t="str">
        <x:v>Data Engineer</x:v>
      </x:c>
      <x:c r="X71" s="30" t="str">
        <x:v>Proposed</x:v>
      </x:c>
    </x:row>
    <x:row r="72">
      <x:c r="A72" s="17" t="inlineStr">
        <x:is>
          <x:t xml:space="preserve">FLD-071</x:t>
        </x:is>
      </x:c>
      <x:c r="B72" s="4" t="inlineStr">
        <x:is>
          <x:t xml:space="preserve">Inventory</x:t>
        </x:is>
      </x:c>
      <x:c r="C72" s="4" t="inlineStr">
        <x:is>
          <x:t xml:space="preserve">inventory_available_stock</x:t>
        </x:is>
      </x:c>
      <x:c r="D72" s="4" t="inlineStr">
        <x:is>
          <x:t xml:space="preserve">تعداد موجودی فیزیکی آماده تحویل در انبار مرکزی</x:t>
        </x:is>
      </x:c>
      <x:c r="E72" s="4" t="inlineStr">
        <x:is>
          <x:t xml:space="preserve">Integer</x:t>
        </x:is>
      </x:c>
      <x:c r="F72" s="4" t="inlineStr">
        <x:is>
          <x:t xml:space="preserve">Inventory</x:t>
        </x:is>
      </x:c>
      <x:c r="G72" s="17" t="inlineStr">
        <x:is>
          <x:t xml:space="preserve">اجباری</x:t>
        </x:is>
      </x:c>
      <x:c r="H72" s="4" t="inlineStr">
        <x:is>
          <x:t xml:space="preserve">دیتابیس آنلاین WMS انبار</x:t>
        </x:is>
      </x:c>
      <x:c r="I72" s="4" t="inlineStr">
        <x:is>
          <x:t xml:space="preserve">لحظه‌ای (Live)</x:t>
        </x:is>
      </x:c>
      <x:c r="J72" s="4" t="inlineStr">
        <x:is>
          <x:t xml:space="preserve">Metric</x:t>
        </x:is>
      </x:c>
      <x:c r="K72" s="4" t="inlineStr">
        <x:is>
          <x:t xml:space="preserve">خاموش‌کردن هوشمند ادز کالاهایی با موجودی صفر</x:t>
        </x:is>
      </x:c>
      <x:c r="L72" s="4" t="inlineStr">
        <x:is>
          <x:t xml:space="preserve">اطلاعات حیاتی انبار</x:t>
        </x:is>
      </x:c>
      <x:c r="M72" s="4" t="inlineStr">
        <x:is>
          <x:t xml:space="preserve">تطابق ۱۰۰٪ با موجودی واقعی قفسه‌ها</x:t>
        </x:is>
      </x:c>
      <x:c r="N72" s="30" t="str">
        <x:v>FLD-071</x:v>
      </x:c>
      <x:c r="O72" s="30" t="str">
        <x:v>No</x:v>
      </x:c>
      <x:c r="P72" s="30" t="str">
        <x:v>Yes</x:v>
      </x:c>
      <x:c r="Q72" s="30" t="str">
        <x:v>دیتابیس آنلاین WMS انبار</x:v>
      </x:c>
      <x:c r="R72" s="30" t="str">
        <x:v>dim_or_fact_inventory</x:v>
      </x:c>
      <x:c r="S72" s="30" t="str">
        <x:v>نیازمند تکمیل و تأیید مالک</x:v>
      </x:c>
      <x:c r="T72" s="30" t="str">
        <x:v>نیازمند تکمیل و تأیید مالک</x:v>
      </x:c>
      <x:c r="U72" s="30" t="str">
        <x:v>نیازمند تکمیل و تأیید مالک</x:v>
      </x:c>
      <x:c r="V72" s="30" t="str">
        <x:v>نیازمند تکمیل و تأیید مالک</x:v>
      </x:c>
      <x:c r="W72" s="30" t="str">
        <x:v>Data Engineer</x:v>
      </x:c>
      <x:c r="X72" s="30" t="str">
        <x:v>Proposed</x:v>
      </x:c>
    </x:row>
    <x:row r="73">
      <x:c r="A73" s="19" t="inlineStr">
        <x:is>
          <x:t xml:space="preserve">FLD-072</x:t>
        </x:is>
      </x:c>
      <x:c r="B73" s="6" t="inlineStr">
        <x:is>
          <x:t xml:space="preserve">Inventory</x:t>
        </x:is>
      </x:c>
      <x:c r="C73" s="6" t="inlineStr">
        <x:is>
          <x:t xml:space="preserve">inventory_safety_stock_level</x:t>
        </x:is>
      </x:c>
      <x:c r="D73" s="6" t="inlineStr">
        <x:is>
          <x:t xml:space="preserve">حداقل موجودی اطمینان پیش از ورود به بحران ناموجودی</x:t>
        </x:is>
      </x:c>
      <x:c r="E73" s="6" t="inlineStr">
        <x:is>
          <x:t xml:space="preserve">Integer</x:t>
        </x:is>
      </x:c>
      <x:c r="F73" s="6" t="inlineStr">
        <x:is>
          <x:t xml:space="preserve">Inventory</x:t>
        </x:is>
      </x:c>
      <x:c r="G73" s="19" t="inlineStr">
        <x:is>
          <x:t xml:space="preserve">اجباری</x:t>
        </x:is>
      </x:c>
      <x:c r="H73" s="6" t="inlineStr">
        <x:is>
          <x:t xml:space="preserve">الگوریتم زنجیره تامین</x:t>
        </x:is>
      </x:c>
      <x:c r="I73" s="6" t="inlineStr">
        <x:is>
          <x:t xml:space="preserve">ماهانه</x:t>
        </x:is>
      </x:c>
      <x:c r="J73" s="6" t="inlineStr">
        <x:is>
          <x:t xml:space="preserve">Threshold Metric</x:t>
        </x:is>
      </x:c>
      <x:c r="K73" s="6" t="inlineStr">
        <x:is>
          <x:t xml:space="preserve">ارسال هشدار به تیم پرفورمنس جهت کاهش شدت ادز</x:t>
        </x:is>
      </x:c>
      <x:c r="L73" s="6" t="inlineStr">
        <x:is>
          <x:t xml:space="preserve">فنی انبار</x:t>
        </x:is>
      </x:c>
      <x:c r="M73" s="6" t="inlineStr">
        <x:is>
          <x:t xml:space="preserve">مقادیر مثبت بر اساس دوره سفارش</x:t>
        </x:is>
      </x:c>
      <x:c r="N73" s="30" t="str">
        <x:v>FLD-072</x:v>
      </x:c>
      <x:c r="O73" s="30" t="str">
        <x:v>No</x:v>
      </x:c>
      <x:c r="P73" s="30" t="str">
        <x:v>Yes</x:v>
      </x:c>
      <x:c r="Q73" s="30" t="str">
        <x:v>الگوریتم زنجیره تامین</x:v>
      </x:c>
      <x:c r="R73" s="30" t="str">
        <x:v>dim_or_fact_inventory</x:v>
      </x:c>
      <x:c r="S73" s="30" t="str">
        <x:v>نیازمند تکمیل و تأیید مالک</x:v>
      </x:c>
      <x:c r="T73" s="30" t="str">
        <x:v>نیازمند تکمیل و تأیید مالک</x:v>
      </x:c>
      <x:c r="U73" s="30" t="str">
        <x:v>نیازمند تکمیل و تأیید مالک</x:v>
      </x:c>
      <x:c r="V73" s="30" t="str">
        <x:v>نیازمند تکمیل و تأیید مالک</x:v>
      </x:c>
      <x:c r="W73" s="30" t="str">
        <x:v>Data Engineer</x:v>
      </x:c>
      <x:c r="X73" s="30" t="str">
        <x:v>Proposed</x:v>
      </x:c>
    </x:row>
    <x:row r="74">
      <x:c r="A74" s="17" t="inlineStr">
        <x:is>
          <x:t xml:space="preserve">FLD-073</x:t>
        </x:is>
      </x:c>
      <x:c r="B74" s="4" t="inlineStr">
        <x:is>
          <x:t xml:space="preserve">Inventory</x:t>
        </x:is>
      </x:c>
      <x:c r="C74" s="4" t="inlineStr">
        <x:is>
          <x:t xml:space="preserve">inventory_batch_expiry_date</x:t>
        </x:is>
      </x:c>
      <x:c r="D74" s="4" t="inlineStr">
        <x:is>
          <x:t xml:space="preserve">تاریخ انقضای پارت فعلی مواد مصرفی در انبار</x:t>
        </x:is>
      </x:c>
      <x:c r="E74" s="4" t="inlineStr">
        <x:is>
          <x:t xml:space="preserve">Date</x:t>
        </x:is>
      </x:c>
      <x:c r="F74" s="4" t="inlineStr">
        <x:is>
          <x:t xml:space="preserve">Inventory</x:t>
        </x:is>
      </x:c>
      <x:c r="G74" s="17" t="inlineStr">
        <x:is>
          <x:t xml:space="preserve">شرطی</x:t>
        </x:is>
      </x:c>
      <x:c r="H74" s="4" t="inlineStr">
        <x:is>
          <x:t xml:space="preserve">سیستم ورود کالای انبار</x:t>
        </x:is>
      </x:c>
      <x:c r="I74" s="4" t="inlineStr">
        <x:is>
          <x:t xml:space="preserve">با ورود بهر جدید</x:t>
        </x:is>
      </x:c>
      <x:c r="J74" s="4" t="inlineStr">
        <x:is>
          <x:t xml:space="preserve">Dimension / Filter</x:t>
        </x:is>
      </x:c>
      <x:c r="K74" s="4" t="inlineStr">
        <x:is>
          <x:t xml:space="preserve">طراحی کمپین‌های تخفیفی ویژه اقلام نزدیک به انقضا</x:t>
        </x:is>
      </x:c>
      <x:c r="L74" s="4" t="inlineStr">
        <x:is>
          <x:t xml:space="preserve">استانداردهای دارویی و پزشکی</x:t>
        </x:is>
      </x:c>
      <x:c r="M74" s="4" t="inlineStr">
        <x:is>
          <x:t xml:space="preserve">ثبت دقیق سال و ماه میلادی انقضا</x:t>
        </x:is>
      </x:c>
      <x:c r="N74" s="30" t="str">
        <x:v>FLD-073</x:v>
      </x:c>
      <x:c r="O74" s="30" t="str">
        <x:v>No</x:v>
      </x:c>
      <x:c r="P74" s="30" t="str">
        <x:v>Yes</x:v>
      </x:c>
      <x:c r="Q74" s="30" t="str">
        <x:v>سیستم ورود کالای انبار</x:v>
      </x:c>
      <x:c r="R74" s="30" t="str">
        <x:v>dim_or_fact_inventory</x:v>
      </x:c>
      <x:c r="S74" s="30" t="str">
        <x:v>نیازمند تکمیل و تأیید مالک</x:v>
      </x:c>
      <x:c r="T74" s="30" t="str">
        <x:v>نیازمند تکمیل و تأیید مالک</x:v>
      </x:c>
      <x:c r="U74" s="30" t="str">
        <x:v>نیازمند تکمیل و تأیید مالک</x:v>
      </x:c>
      <x:c r="V74" s="30" t="str">
        <x:v>نیازمند تکمیل و تأیید مالک</x:v>
      </x:c>
      <x:c r="W74" s="30" t="str">
        <x:v>Data Engineer</x:v>
      </x:c>
      <x:c r="X74" s="30" t="str">
        <x:v>Proposed</x:v>
      </x:c>
    </x:row>
    <x:row r="75">
      <x:c r="A75" s="19" t="inlineStr">
        <x:is>
          <x:t xml:space="preserve">FLD-074</x:t>
        </x:is>
      </x:c>
      <x:c r="B75" s="6" t="inlineStr">
        <x:is>
          <x:t xml:space="preserve">Inventory</x:t>
        </x:is>
      </x:c>
      <x:c r="C75" s="6" t="inlineStr">
        <x:is>
          <x:t xml:space="preserve">inventory_lead_time_days</x:t>
        </x:is>
      </x:c>
      <x:c r="D75" s="6" t="inlineStr">
        <x:is>
          <x:t xml:space="preserve">مدت‌زمان لازم برای تامین مجدد کالا از کارخانه/گمرک (به روز)</x:t>
        </x:is>
      </x:c>
      <x:c r="E75" s="6" t="inlineStr">
        <x:is>
          <x:t xml:space="preserve">Integer</x:t>
        </x:is>
      </x:c>
      <x:c r="F75" s="6" t="inlineStr">
        <x:is>
          <x:t xml:space="preserve">Inventory</x:t>
        </x:is>
      </x:c>
      <x:c r="G75" s="19" t="inlineStr">
        <x:is>
          <x:t xml:space="preserve">اجباری</x:t>
        </x:is>
      </x:c>
      <x:c r="H75" s="6" t="inlineStr">
        <x:is>
          <x:t xml:space="preserve">سامانه بازرگانی خارجی و انبارداری</x:t>
        </x:is>
      </x:c>
      <x:c r="I75" s="6" t="inlineStr">
        <x:is>
          <x:t xml:space="preserve">ماهانه</x:t>
        </x:is>
      </x:c>
      <x:c r="J75" s="6" t="inlineStr">
        <x:is>
          <x:t xml:space="preserve">Metric</x:t>
        </x:is>
      </x:c>
      <x:c r="K75" s="6" t="inlineStr">
        <x:is>
          <x:t xml:space="preserve">هشدار هوشمند به پرفورمنس مارکتینگ جهت توقف زودهنگام ادز</x:t>
        </x:is>
      </x:c>
      <x:c r="L75" s="6" t="inlineStr">
        <x:is>
          <x:t xml:space="preserve">اطلاعات محرمانه تامین</x:t>
        </x:is>
      </x:c>
      <x:c r="M75" s="6" t="inlineStr">
        <x:is>
          <x:t xml:space="preserve">اعداد صحیح مثبت معتبر</x:t>
        </x:is>
      </x:c>
      <x:c r="N75" s="30" t="str">
        <x:v>FLD-074</x:v>
      </x:c>
      <x:c r="O75" s="30" t="str">
        <x:v>No</x:v>
      </x:c>
      <x:c r="P75" s="30" t="str">
        <x:v>Yes</x:v>
      </x:c>
      <x:c r="Q75" s="30" t="str">
        <x:v>سامانه بازرگانی خارجی و انبارداری</x:v>
      </x:c>
      <x:c r="R75" s="30" t="str">
        <x:v>dim_or_fact_inventory</x:v>
      </x:c>
      <x:c r="S75" s="30" t="str">
        <x:v>نیازمند تکمیل و تأیید مالک</x:v>
      </x:c>
      <x:c r="T75" s="30" t="str">
        <x:v>نیازمند تکمیل و تأیید مالک</x:v>
      </x:c>
      <x:c r="U75" s="30" t="str">
        <x:v>نیازمند تکمیل و تأیید مالک</x:v>
      </x:c>
      <x:c r="V75" s="30" t="str">
        <x:v>نیازمند تکمیل و تأیید مالک</x:v>
      </x:c>
      <x:c r="W75" s="30" t="str">
        <x:v>Data Engineer</x:v>
      </x:c>
      <x:c r="X75" s="30" t="str">
        <x:v>Proposed</x:v>
      </x:c>
    </x:row>
    <x:row r="76">
      <x:c r="A76" s="17" t="inlineStr">
        <x:is>
          <x:t xml:space="preserve">FLD-075</x:t>
        </x:is>
      </x:c>
      <x:c r="B76" s="4" t="inlineStr">
        <x:is>
          <x:t xml:space="preserve">Order</x:t>
        </x:is>
      </x:c>
      <x:c r="C76" s="4" t="inlineStr">
        <x:is>
          <x:t xml:space="preserve">order_id</x:t>
        </x:is>
      </x:c>
      <x:c r="D76" s="4" t="inlineStr">
        <x:is>
          <x:t xml:space="preserve">شماره فاکتور نهایی و شناسه یکتای سفارش در تیتانا</x:t>
        </x:is>
      </x:c>
      <x:c r="E76" s="4" t="inlineStr">
        <x:is>
          <x:t xml:space="preserve">String / BigInt</x:t>
        </x:is>
      </x:c>
      <x:c r="F76" s="4" t="inlineStr">
        <x:is>
          <x:t xml:space="preserve">Order</x:t>
        </x:is>
      </x:c>
      <x:c r="G76" s="17" t="inlineStr">
        <x:is>
          <x:t xml:space="preserve">اجباری</x:t>
        </x:is>
      </x:c>
      <x:c r="H76" s="4" t="inlineStr">
        <x:is>
          <x:t xml:space="preserve">پایگاه داده مرکزی فروش</x:t>
        </x:is>
      </x:c>
      <x:c r="I76" s="4" t="inlineStr">
        <x:is>
          <x:t xml:space="preserve">بلادرنگ</x:t>
        </x:is>
      </x:c>
      <x:c r="J76" s="4" t="inlineStr">
        <x:is>
          <x:t xml:space="preserve">Primary Key</x:t>
        </x:is>
      </x:c>
      <x:c r="K76" s="4" t="inlineStr">
        <x:is>
          <x:t xml:space="preserve">مبنای تمامی محاسبات درآمد، سود، اتریبیوشن و خریدها</x:t>
        </x:is>
      </x:c>
      <x:c r="L76" s="4" t="inlineStr">
        <x:is>
          <x:t xml:space="preserve">عمومی سند مالی</x:t>
        </x:is>
      </x:c>
      <x:c r="M76" s="4" t="inlineStr">
        <x:is>
          <x:t xml:space="preserve">بدون گپ عددی یا فاکتور مفقوده</x:t>
        </x:is>
      </x:c>
      <x:c r="N76" s="30" t="str">
        <x:v>FLD-075</x:v>
      </x:c>
      <x:c r="O76" s="30" t="str">
        <x:v>Needs validation</x:v>
      </x:c>
      <x:c r="P76" s="30" t="str">
        <x:v>Yes</x:v>
      </x:c>
      <x:c r="Q76" s="30" t="str">
        <x:v>پایگاه داده مرکزی فروش</x:v>
      </x:c>
      <x:c r="R76" s="30" t="str">
        <x:v>dim_or_fact_order</x:v>
      </x:c>
      <x:c r="S76" s="30" t="str">
        <x:v>نیازمند تکمیل و تأیید مالک</x:v>
      </x:c>
      <x:c r="T76" s="30" t="str">
        <x:v>نیازمند تکمیل و تأیید مالک</x:v>
      </x:c>
      <x:c r="U76" s="30" t="str">
        <x:v>نیازمند تکمیل و تأیید مالک</x:v>
      </x:c>
      <x:c r="V76" s="30" t="str">
        <x:v>نیازمند تکمیل و تأیید مالک</x:v>
      </x:c>
      <x:c r="W76" s="30" t="str">
        <x:v>Data Engineer</x:v>
      </x:c>
      <x:c r="X76" s="30" t="str">
        <x:v>Proposed</x:v>
      </x:c>
    </x:row>
    <x:row r="77">
      <x:c r="A77" s="19" t="inlineStr">
        <x:is>
          <x:t xml:space="preserve">FLD-076</x:t>
        </x:is>
      </x:c>
      <x:c r="B77" s="6" t="inlineStr">
        <x:is>
          <x:t xml:space="preserve">Order</x:t>
        </x:is>
      </x:c>
      <x:c r="C77" s="6" t="inlineStr">
        <x:is>
          <x:t xml:space="preserve">order_master_customer_fk</x:t>
        </x:is>
      </x:c>
      <x:c r="D77" s="6" t="inlineStr">
        <x:is>
          <x:t xml:space="preserve">اتصال فاکتور به مشتری ثبت‌کننده خرید</x:t>
        </x:is>
      </x:c>
      <x:c r="E77" s="6" t="inlineStr">
        <x:is>
          <x:t xml:space="preserve">UUID</x:t>
        </x:is>
      </x:c>
      <x:c r="F77" s="6" t="inlineStr">
        <x:is>
          <x:t xml:space="preserve">Order</x:t>
        </x:is>
      </x:c>
      <x:c r="G77" s="19" t="inlineStr">
        <x:is>
          <x:t xml:space="preserve">اجباری</x:t>
        </x:is>
      </x:c>
      <x:c r="H77" s="6" t="inlineStr">
        <x:is>
          <x:t xml:space="preserve">سیستم احراز هویت سفارش</x:t>
        </x:is>
      </x:c>
      <x:c r="I77" s="6" t="inlineStr">
        <x:is>
          <x:t xml:space="preserve">لحظه‌ای</x:t>
        </x:is>
      </x:c>
      <x:c r="J77" s="6" t="inlineStr">
        <x:is>
          <x:t xml:space="preserve">Foreign Key to Customer</x:t>
        </x:is>
      </x:c>
      <x:c r="K77" s="6" t="inlineStr">
        <x:is>
          <x:t xml:space="preserve">تفکیک خریدار جدید از بازگشتی، محاسبه CLV و RFM</x:t>
        </x:is>
      </x:c>
      <x:c r="L77" s="6" t="inlineStr">
        <x:is>
          <x:t xml:space="preserve">حفظ محرمانگی خریدار</x:t>
        </x:is>
      </x:c>
      <x:c r="M77" s="6" t="inlineStr">
        <x:is>
          <x:t xml:space="preserve">پیوند قطعی به رکورد معتبر دندان‌پزشک</x:t>
        </x:is>
      </x:c>
      <x:c r="N77" s="30" t="str">
        <x:v>FLD-076</x:v>
      </x:c>
      <x:c r="O77" s="30" t="str">
        <x:v>No</x:v>
      </x:c>
      <x:c r="P77" s="30" t="str">
        <x:v>Yes</x:v>
      </x:c>
      <x:c r="Q77" s="30" t="str">
        <x:v>سیستم احراز هویت سفارش</x:v>
      </x:c>
      <x:c r="R77" s="30" t="str">
        <x:v>dim_or_fact_order</x:v>
      </x:c>
      <x:c r="S77" s="30" t="str">
        <x:v>نیازمند تکمیل و تأیید مالک</x:v>
      </x:c>
      <x:c r="T77" s="30" t="str">
        <x:v>نیازمند تکمیل و تأیید مالک</x:v>
      </x:c>
      <x:c r="U77" s="30" t="str">
        <x:v>نیازمند تکمیل و تأیید مالک</x:v>
      </x:c>
      <x:c r="V77" s="30" t="str">
        <x:v>نیازمند تکمیل و تأیید مالک</x:v>
      </x:c>
      <x:c r="W77" s="30" t="str">
        <x:v>Data Engineer</x:v>
      </x:c>
      <x:c r="X77" s="30" t="str">
        <x:v>Proposed</x:v>
      </x:c>
    </x:row>
    <x:row r="78">
      <x:c r="A78" s="17" t="inlineStr">
        <x:is>
          <x:t xml:space="preserve">FLD-077</x:t>
        </x:is>
      </x:c>
      <x:c r="B78" s="4" t="inlineStr">
        <x:is>
          <x:t xml:space="preserve">Order</x:t>
        </x:is>
      </x:c>
      <x:c r="C78" s="4" t="inlineStr">
        <x:is>
          <x:t xml:space="preserve">order_final_net_paid_amount</x:t>
        </x:is>
      </x:c>
      <x:c r="D78" s="4" t="inlineStr">
        <x:is>
          <x:t xml:space="preserve">مبلغ نهایی تسویه‌شده فاکتور پس از تمام کسورات</x:t>
        </x:is>
      </x:c>
      <x:c r="E78" s="4" t="inlineStr">
        <x:is>
          <x:t xml:space="preserve">Decimal (IRR)</x:t>
        </x:is>
      </x:c>
      <x:c r="F78" s="4" t="inlineStr">
        <x:is>
          <x:t xml:space="preserve">Order</x:t>
        </x:is>
      </x:c>
      <x:c r="G78" s="17" t="inlineStr">
        <x:is>
          <x:t xml:space="preserve">اجباری</x:t>
        </x:is>
      </x:c>
      <x:c r="H78" s="4" t="inlineStr">
        <x:is>
          <x:t xml:space="preserve">تاییدیه خزانه‌داری / درگاه</x:t>
        </x:is>
      </x:c>
      <x:c r="I78" s="4" t="inlineStr">
        <x:is>
          <x:t xml:space="preserve">لحظه‌ای</x:t>
        </x:is>
      </x:c>
      <x:c r="J78" s="4" t="inlineStr">
        <x:is>
          <x:t xml:space="preserve">Metric (Revenue)</x:t>
        </x:is>
      </x:c>
      <x:c r="K78" s="4" t="inlineStr">
        <x:is>
          <x:t xml:space="preserve">محاسبه مستقیم Net Revenue، AOV، ROAS و سود</x:t>
        </x:is>
      </x:c>
      <x:c r="L78" s="4" t="inlineStr">
        <x:is>
          <x:t xml:space="preserve">سند قطعی حسابداری</x:t>
        </x:is>
      </x:c>
      <x:c r="M78" s="4" t="inlineStr">
        <x:is>
          <x:t xml:space="preserve">تطابق ریالی ۱۰۰٪ با رسید شاپرک/چک</x:t>
        </x:is>
      </x:c>
      <x:c r="N78" s="30" t="str">
        <x:v>FLD-077</x:v>
      </x:c>
      <x:c r="O78" s="30" t="str">
        <x:v>No</x:v>
      </x:c>
      <x:c r="P78" s="30" t="str">
        <x:v>Yes</x:v>
      </x:c>
      <x:c r="Q78" s="30" t="str">
        <x:v>تاییدیه خزانه‌داری / درگاه</x:v>
      </x:c>
      <x:c r="R78" s="30" t="str">
        <x:v>dim_or_fact_order</x:v>
      </x:c>
      <x:c r="S78" s="30" t="str">
        <x:v>نیازمند تکمیل و تأیید مالک</x:v>
      </x:c>
      <x:c r="T78" s="30" t="str">
        <x:v>نیازمند تکمیل و تأیید مالک</x:v>
      </x:c>
      <x:c r="U78" s="30" t="str">
        <x:v>نیازمند تکمیل و تأیید مالک</x:v>
      </x:c>
      <x:c r="V78" s="30" t="str">
        <x:v>نیازمند تکمیل و تأیید مالک</x:v>
      </x:c>
      <x:c r="W78" s="30" t="str">
        <x:v>Data Engineer</x:v>
      </x:c>
      <x:c r="X78" s="30" t="str">
        <x:v>Proposed</x:v>
      </x:c>
    </x:row>
    <x:row r="79">
      <x:c r="A79" s="19" t="inlineStr">
        <x:is>
          <x:t xml:space="preserve">FLD-078</x:t>
        </x:is>
      </x:c>
      <x:c r="B79" s="6" t="inlineStr">
        <x:is>
          <x:t xml:space="preserve">Order</x:t>
        </x:is>
      </x:c>
      <x:c r="C79" s="6" t="inlineStr">
        <x:is>
          <x:t xml:space="preserve">order_settlement_status</x:t>
        </x:is>
      </x:c>
      <x:c r="D79" s="6" t="inlineStr">
        <x:is>
          <x:t xml:space="preserve">وضعیت قطعی تسویه سفارش (Paid, Pending, Failed)</x:t>
        </x:is>
      </x:c>
      <x:c r="E79" s="6" t="inlineStr">
        <x:is>
          <x:t xml:space="preserve">Enum</x:t>
        </x:is>
      </x:c>
      <x:c r="F79" s="6" t="inlineStr">
        <x:is>
          <x:t xml:space="preserve">Order</x:t>
        </x:is>
      </x:c>
      <x:c r="G79" s="19" t="inlineStr">
        <x:is>
          <x:t xml:space="preserve">اجباری</x:t>
        </x:is>
      </x:c>
      <x:c r="H79" s="6" t="inlineStr">
        <x:is>
          <x:t xml:space="preserve">سیستم مالی و پرداخت</x:t>
        </x:is>
      </x:c>
      <x:c r="I79" s="6" t="inlineStr">
        <x:is>
          <x:t xml:space="preserve">لحظه‌ای</x:t>
        </x:is>
      </x:c>
      <x:c r="J79" s="6" t="inlineStr">
        <x:is>
          <x:t xml:space="preserve">Dimension</x:t>
        </x:is>
      </x:c>
      <x:c r="K79" s="6" t="inlineStr">
        <x:is>
          <x:t xml:space="preserve">حذف سفارش‌های پرداخت‌نشده از محاسبات سود مارکتینگ</x:t>
        </x:is>
      </x:c>
      <x:c r="L79" s="6" t="inlineStr">
        <x:is>
          <x:t xml:space="preserve">داخلی</x:t>
        </x:is>
      </x:c>
      <x:c r="M79" s="6" t="inlineStr">
        <x:is>
          <x:t xml:space="preserve">تفکیک دقیق سفارش موفق از معلق</x:t>
        </x:is>
      </x:c>
      <x:c r="N79" s="30" t="str">
        <x:v>FLD-078</x:v>
      </x:c>
      <x:c r="O79" s="30" t="str">
        <x:v>No</x:v>
      </x:c>
      <x:c r="P79" s="30" t="str">
        <x:v>Yes</x:v>
      </x:c>
      <x:c r="Q79" s="30" t="str">
        <x:v>سیستم مالی و پرداخت</x:v>
      </x:c>
      <x:c r="R79" s="30" t="str">
        <x:v>dim_or_fact_order</x:v>
      </x:c>
      <x:c r="S79" s="30" t="str">
        <x:v>نیازمند تکمیل و تأیید مالک</x:v>
      </x:c>
      <x:c r="T79" s="30" t="str">
        <x:v>نیازمند تکمیل و تأیید مالک</x:v>
      </x:c>
      <x:c r="U79" s="30" t="str">
        <x:v>نیازمند تکمیل و تأیید مالک</x:v>
      </x:c>
      <x:c r="V79" s="30" t="str">
        <x:v>نیازمند تکمیل و تأیید مالک</x:v>
      </x:c>
      <x:c r="W79" s="30" t="str">
        <x:v>Data Engineer</x:v>
      </x:c>
      <x:c r="X79" s="30" t="str">
        <x:v>Proposed</x:v>
      </x:c>
    </x:row>
    <x:row r="80">
      <x:c r="A80" s="17" t="inlineStr">
        <x:is>
          <x:t xml:space="preserve">FLD-079</x:t>
        </x:is>
      </x:c>
      <x:c r="B80" s="4" t="inlineStr">
        <x:is>
          <x:t xml:space="preserve">Order</x:t>
        </x:is>
      </x:c>
      <x:c r="C80" s="4" t="inlineStr">
        <x:is>
          <x:t xml:space="preserve">order_creation_timestamp</x:t>
        </x:is>
      </x:c>
      <x:c r="D80" s="4" t="inlineStr">
        <x:is>
          <x:t xml:space="preserve">زمان دقیق ثبت فاکتور توسط کلینیک</x:t>
        </x:is>
      </x:c>
      <x:c r="E80" s="4" t="inlineStr">
        <x:is>
          <x:t xml:space="preserve">Timestamp (UTC)</x:t>
        </x:is>
      </x:c>
      <x:c r="F80" s="4" t="inlineStr">
        <x:is>
          <x:t xml:space="preserve">Order</x:t>
        </x:is>
      </x:c>
      <x:c r="G80" s="17" t="inlineStr">
        <x:is>
          <x:t xml:space="preserve">اجباری</x:t>
        </x:is>
      </x:c>
      <x:c r="H80" s="4" t="inlineStr">
        <x:is>
          <x:t xml:space="preserve">دیتابیس سفارشات</x:t>
        </x:is>
      </x:c>
      <x:c r="I80" s="4" t="inlineStr">
        <x:is>
          <x:t xml:space="preserve">لحظه‌ای</x:t>
        </x:is>
      </x:c>
      <x:c r="J80" s="4" t="inlineStr">
        <x:is>
          <x:t xml:space="preserve">Time Dimension</x:t>
        </x:is>
      </x:c>
      <x:c r="K80" s="4" t="inlineStr">
        <x:is>
          <x:t xml:space="preserve">اتصال دقیق به تاچ‌پوینت‌های تبلیغاتی گذشته</x:t>
        </x:is>
      </x:c>
      <x:c r="L80" s="4" t="inlineStr">
        <x:is>
          <x:t xml:space="preserve">عمومی سیستم</x:t>
        </x:is>
      </x:c>
      <x:c r="M80" s="4" t="inlineStr">
        <x:is>
          <x:t xml:space="preserve">منطقه زمانی یکسان با لاگ‌های وب</x:t>
        </x:is>
      </x:c>
      <x:c r="N80" s="30" t="str">
        <x:v>FLD-079</x:v>
      </x:c>
      <x:c r="O80" s="30" t="str">
        <x:v>No</x:v>
      </x:c>
      <x:c r="P80" s="30" t="str">
        <x:v>Yes</x:v>
      </x:c>
      <x:c r="Q80" s="30" t="str">
        <x:v>دیتابیس سفارشات</x:v>
      </x:c>
      <x:c r="R80" s="30" t="str">
        <x:v>dim_or_fact_order</x:v>
      </x:c>
      <x:c r="S80" s="30" t="str">
        <x:v>نیازمند تکمیل و تأیید مالک</x:v>
      </x:c>
      <x:c r="T80" s="30" t="str">
        <x:v>نیازمند تکمیل و تأیید مالک</x:v>
      </x:c>
      <x:c r="U80" s="30" t="str">
        <x:v>نیازمند تکمیل و تأیید مالک</x:v>
      </x:c>
      <x:c r="V80" s="30" t="str">
        <x:v>نیازمند تکمیل و تأیید مالک</x:v>
      </x:c>
      <x:c r="W80" s="30" t="str">
        <x:v>Data Engineer</x:v>
      </x:c>
      <x:c r="X80" s="30" t="str">
        <x:v>Proposed</x:v>
      </x:c>
    </x:row>
    <x:row r="81">
      <x:c r="A81" s="19" t="inlineStr">
        <x:is>
          <x:t xml:space="preserve">FLD-080</x:t>
        </x:is>
      </x:c>
      <x:c r="B81" s="6" t="inlineStr">
        <x:is>
          <x:t xml:space="preserve">Order</x:t>
        </x:is>
      </x:c>
      <x:c r="C81" s="6" t="inlineStr">
        <x:is>
          <x:t xml:space="preserve">order_delivery_city_name</x:t>
        </x:is>
      </x:c>
      <x:c r="D81" s="6" t="inlineStr">
        <x:is>
          <x:t xml:space="preserve">شهر و استان محل تحویل بار به مطب</x:t>
        </x:is>
      </x:c>
      <x:c r="E81" s="6" t="inlineStr">
        <x:is>
          <x:t xml:space="preserve">String</x:t>
        </x:is>
      </x:c>
      <x:c r="F81" s="6" t="inlineStr">
        <x:is>
          <x:t xml:space="preserve">Order</x:t>
        </x:is>
      </x:c>
      <x:c r="G81" s="19" t="inlineStr">
        <x:is>
          <x:t xml:space="preserve">اجباری</x:t>
        </x:is>
      </x:c>
      <x:c r="H81" s="6" t="inlineStr">
        <x:is>
          <x:t xml:space="preserve">فرم آدرس پستی گیرنده</x:t>
        </x:is>
      </x:c>
      <x:c r="I81" s="6" t="inlineStr">
        <x:is>
          <x:t xml:space="preserve">لحظه‌ای</x:t>
        </x:is>
      </x:c>
      <x:c r="J81" s="6" t="inlineStr">
        <x:is>
          <x:t xml:space="preserve">Dimension</x:t>
        </x:is>
      </x:c>
      <x:c r="K81" s="6" t="inlineStr">
        <x:is>
          <x:t xml:space="preserve">تحلیل فروش منطقه‌ای و آزمایش‌های لیفت استانی</x:t>
        </x:is>
      </x:c>
      <x:c r="L81" s="6" t="inlineStr">
        <x:is>
          <x:t xml:space="preserve">داده مکانی مطب</x:t>
        </x:is>
      </x:c>
      <x:c r="M81" s="6" t="inlineStr">
        <x:is>
          <x:t xml:space="preserve">اسامی استاندارد تقسیمات کشوری</x:t>
        </x:is>
      </x:c>
      <x:c r="N81" s="30" t="str">
        <x:v>FLD-080</x:v>
      </x:c>
      <x:c r="O81" s="30" t="str">
        <x:v>No</x:v>
      </x:c>
      <x:c r="P81" s="30" t="str">
        <x:v>Yes</x:v>
      </x:c>
      <x:c r="Q81" s="30" t="str">
        <x:v>فرم آدرس پستی گیرنده</x:v>
      </x:c>
      <x:c r="R81" s="30" t="str">
        <x:v>dim_or_fact_order</x:v>
      </x:c>
      <x:c r="S81" s="30" t="str">
        <x:v>نیازمند تکمیل و تأیید مالک</x:v>
      </x:c>
      <x:c r="T81" s="30" t="str">
        <x:v>نیازمند تکمیل و تأیید مالک</x:v>
      </x:c>
      <x:c r="U81" s="30" t="str">
        <x:v>نیازمند تکمیل و تأیید مالک</x:v>
      </x:c>
      <x:c r="V81" s="30" t="str">
        <x:v>نیازمند تکمیل و تأیید مالک</x:v>
      </x:c>
      <x:c r="W81" s="30" t="str">
        <x:v>Data Engineer</x:v>
      </x:c>
      <x:c r="X81" s="30" t="str">
        <x:v>Proposed</x:v>
      </x:c>
    </x:row>
    <x:row r="82">
      <x:c r="A82" s="17" t="inlineStr">
        <x:is>
          <x:t xml:space="preserve">FLD-081</x:t>
        </x:is>
      </x:c>
      <x:c r="B82" s="4" t="inlineStr">
        <x:is>
          <x:t xml:space="preserve">Order</x:t>
        </x:is>
      </x:c>
      <x:c r="C82" s="4" t="inlineStr">
        <x:is>
          <x:t xml:space="preserve">order_shipping_freight_cost</x:t>
        </x:is>
      </x:c>
      <x:c r="D82" s="4" t="inlineStr">
        <x:is>
          <x:t xml:space="preserve">هزینه واقعی باربری فیزیکی و تحویل تجهیزات سنگین به مطب</x:t>
        </x:is>
      </x:c>
      <x:c r="E82" s="4" t="inlineStr">
        <x:is>
          <x:t xml:space="preserve">Decimal (IRR)</x:t>
        </x:is>
      </x:c>
      <x:c r="F82" s="4" t="inlineStr">
        <x:is>
          <x:t xml:space="preserve">Order</x:t>
        </x:is>
      </x:c>
      <x:c r="G82" s="17" t="inlineStr">
        <x:is>
          <x:t xml:space="preserve">اجباری</x:t>
        </x:is>
      </x:c>
      <x:c r="H82" s="4" t="inlineStr">
        <x:is>
          <x:t xml:space="preserve">بارنامه رسمی شرکت‌های حمل‌ونقل</x:t>
        </x:is>
      </x:c>
      <x:c r="I82" s="4" t="inlineStr">
        <x:is>
          <x:t xml:space="preserve">روزانه</x:t>
        </x:is>
      </x:c>
      <x:c r="J82" s="4" t="inlineStr">
        <x:is>
          <x:t xml:space="preserve">Metric (Cost)</x:t>
        </x:is>
      </x:c>
      <x:c r="K82" s="4" t="inlineStr">
        <x:is>
          <x:t xml:space="preserve">کسر دقیق از درآمد برای محاسبه Contribution Margin</x:t>
        </x:is>
      </x:c>
      <x:c r="L82" s="4" t="inlineStr">
        <x:is>
          <x:t xml:space="preserve">اسناد رسمی مالیاتی</x:t>
        </x:is>
      </x:c>
      <x:c r="M82" s="4" t="inlineStr">
        <x:is>
          <x:t xml:space="preserve">تطابق ریالی با فاکتور لجستیک</x:t>
        </x:is>
      </x:c>
      <x:c r="N82" s="30" t="str">
        <x:v>FLD-081</x:v>
      </x:c>
      <x:c r="O82" s="30" t="str">
        <x:v>No</x:v>
      </x:c>
      <x:c r="P82" s="30" t="str">
        <x:v>Yes</x:v>
      </x:c>
      <x:c r="Q82" s="30" t="str">
        <x:v>بارنامه رسمی شرکت‌های حمل‌ونقل</x:v>
      </x:c>
      <x:c r="R82" s="30" t="str">
        <x:v>dim_or_fact_order</x:v>
      </x:c>
      <x:c r="S82" s="30" t="str">
        <x:v>نیازمند تکمیل و تأیید مالک</x:v>
      </x:c>
      <x:c r="T82" s="30" t="str">
        <x:v>نیازمند تکمیل و تأیید مالک</x:v>
      </x:c>
      <x:c r="U82" s="30" t="str">
        <x:v>نیازمند تکمیل و تأیید مالک</x:v>
      </x:c>
      <x:c r="V82" s="30" t="str">
        <x:v>نیازمند تکمیل و تأیید مالک</x:v>
      </x:c>
      <x:c r="W82" s="30" t="str">
        <x:v>Data Engineer</x:v>
      </x:c>
      <x:c r="X82" s="30" t="str">
        <x:v>Proposed</x:v>
      </x:c>
    </x:row>
    <x:row r="83">
      <x:c r="A83" s="19" t="inlineStr">
        <x:is>
          <x:t xml:space="preserve">FLD-082</x:t>
        </x:is>
      </x:c>
      <x:c r="B83" s="6" t="inlineStr">
        <x:is>
          <x:t xml:space="preserve">Order Item</x:t>
        </x:is>
      </x:c>
      <x:c r="C83" s="6" t="inlineStr">
        <x:is>
          <x:t xml:space="preserve">order_item_id</x:t>
        </x:is>
      </x:c>
      <x:c r="D83" s="6" t="inlineStr">
        <x:is>
          <x:t xml:space="preserve">شناسه یکتای ردیف قلم کالا در فاکتور</x:t>
        </x:is>
      </x:c>
      <x:c r="E83" s="6" t="inlineStr">
        <x:is>
          <x:t xml:space="preserve">BigInt</x:t>
        </x:is>
      </x:c>
      <x:c r="F83" s="6" t="inlineStr">
        <x:is>
          <x:t xml:space="preserve">Order Item</x:t>
        </x:is>
      </x:c>
      <x:c r="G83" s="19" t="inlineStr">
        <x:is>
          <x:t xml:space="preserve">اجباری</x:t>
        </x:is>
      </x:c>
      <x:c r="H83" s="6" t="inlineStr">
        <x:is>
          <x:t xml:space="preserve">پایگاه داده فاکتور فروش</x:t>
        </x:is>
      </x:c>
      <x:c r="I83" s="6" t="inlineStr">
        <x:is>
          <x:t xml:space="preserve">لحظه‌ای</x:t>
        </x:is>
      </x:c>
      <x:c r="J83" s="6" t="inlineStr">
        <x:is>
          <x:t xml:space="preserve">Primary Key</x:t>
        </x:is>
      </x:c>
      <x:c r="K83" s="6" t="inlineStr">
        <x:is>
          <x:t xml:space="preserve">تحلیل سبد خرید (Market Basket) و همبستگی اقلام</x:t>
        </x:is>
      </x:c>
      <x:c r="L83" s="6" t="inlineStr">
        <x:is>
          <x:t xml:space="preserve">ریز سند فروش</x:t>
        </x:is>
      </x:c>
      <x:c r="M83" s="6" t="inlineStr">
        <x:is>
          <x:t xml:space="preserve">یکتایی در کل سطرهای فاکتورها</x:t>
        </x:is>
      </x:c>
      <x:c r="N83" s="30" t="str">
        <x:v>FLD-082</x:v>
      </x:c>
      <x:c r="O83" s="30" t="str">
        <x:v>Needs validation</x:v>
      </x:c>
      <x:c r="P83" s="30" t="str">
        <x:v>Yes</x:v>
      </x:c>
      <x:c r="Q83" s="30" t="str">
        <x:v>پایگاه داده فاکتور فروش</x:v>
      </x:c>
      <x:c r="R83" s="30" t="str">
        <x:v>dim_or_fact_order_item</x:v>
      </x:c>
      <x:c r="S83" s="30" t="str">
        <x:v>نیازمند تکمیل و تأیید مالک</x:v>
      </x:c>
      <x:c r="T83" s="30" t="str">
        <x:v>نیازمند تکمیل و تأیید مالک</x:v>
      </x:c>
      <x:c r="U83" s="30" t="str">
        <x:v>نیازمند تکمیل و تأیید مالک</x:v>
      </x:c>
      <x:c r="V83" s="30" t="str">
        <x:v>نیازمند تکمیل و تأیید مالک</x:v>
      </x:c>
      <x:c r="W83" s="30" t="str">
        <x:v>Data Engineer</x:v>
      </x:c>
      <x:c r="X83" s="30" t="str">
        <x:v>Proposed</x:v>
      </x:c>
    </x:row>
    <x:row r="84">
      <x:c r="A84" s="17" t="inlineStr">
        <x:is>
          <x:t xml:space="preserve">FLD-083</x:t>
        </x:is>
      </x:c>
      <x:c r="B84" s="4" t="inlineStr">
        <x:is>
          <x:t xml:space="preserve">Order Item</x:t>
        </x:is>
      </x:c>
      <x:c r="C84" s="4" t="inlineStr">
        <x:is>
          <x:t xml:space="preserve">order_item_order_fk</x:t>
        </x:is>
      </x:c>
      <x:c r="D84" s="4" t="inlineStr">
        <x:is>
          <x:t xml:space="preserve">اتصال ردیف کالا به شماره فاکتور بالادست</x:t>
        </x:is>
      </x:c>
      <x:c r="E84" s="4" t="inlineStr">
        <x:is>
          <x:t xml:space="preserve">String</x:t>
        </x:is>
      </x:c>
      <x:c r="F84" s="4" t="inlineStr">
        <x:is>
          <x:t xml:space="preserve">Order Item</x:t>
        </x:is>
      </x:c>
      <x:c r="G84" s="17" t="inlineStr">
        <x:is>
          <x:t xml:space="preserve">اجباری</x:t>
        </x:is>
      </x:c>
      <x:c r="H84" s="4" t="inlineStr">
        <x:is>
          <x:t xml:space="preserve">جدول سفارشات</x:t>
        </x:is>
      </x:c>
      <x:c r="I84" s="4" t="inlineStr">
        <x:is>
          <x:t xml:space="preserve">لحظه‌ای</x:t>
        </x:is>
      </x:c>
      <x:c r="J84" s="4" t="inlineStr">
        <x:is>
          <x:t xml:space="preserve">Foreign Key to Order</x:t>
        </x:is>
      </x:c>
      <x:c r="K84" s="4" t="inlineStr">
        <x:is>
          <x:t xml:space="preserve">تجمیع خطوط فاکتور در سطح کل سبد خرید</x:t>
        </x:is>
      </x:c>
      <x:c r="L84" s="4" t="inlineStr">
        <x:is>
          <x:t xml:space="preserve">ساختاری</x:t>
        </x:is>
      </x:c>
      <x:c r="M84" s="4" t="inlineStr">
        <x:is>
          <x:t xml:space="preserve">بدون ردیف بدون شماره فاکتور</x:t>
        </x:is>
      </x:c>
      <x:c r="N84" s="30" t="str">
        <x:v>FLD-083</x:v>
      </x:c>
      <x:c r="O84" s="30" t="str">
        <x:v>No</x:v>
      </x:c>
      <x:c r="P84" s="30" t="str">
        <x:v>Yes</x:v>
      </x:c>
      <x:c r="Q84" s="30" t="str">
        <x:v>جدول سفارشات</x:v>
      </x:c>
      <x:c r="R84" s="30" t="str">
        <x:v>dim_or_fact_order_item</x:v>
      </x:c>
      <x:c r="S84" s="30" t="str">
        <x:v>نیازمند تکمیل و تأیید مالک</x:v>
      </x:c>
      <x:c r="T84" s="30" t="str">
        <x:v>نیازمند تکمیل و تأیید مالک</x:v>
      </x:c>
      <x:c r="U84" s="30" t="str">
        <x:v>نیازمند تکمیل و تأیید مالک</x:v>
      </x:c>
      <x:c r="V84" s="30" t="str">
        <x:v>نیازمند تکمیل و تأیید مالک</x:v>
      </x:c>
      <x:c r="W84" s="30" t="str">
        <x:v>Data Engineer</x:v>
      </x:c>
      <x:c r="X84" s="30" t="str">
        <x:v>Proposed</x:v>
      </x:c>
    </x:row>
    <x:row r="85">
      <x:c r="A85" s="19" t="inlineStr">
        <x:is>
          <x:t xml:space="preserve">FLD-084</x:t>
        </x:is>
      </x:c>
      <x:c r="B85" s="6" t="inlineStr">
        <x:is>
          <x:t xml:space="preserve">Order Item</x:t>
        </x:is>
      </x:c>
      <x:c r="C85" s="6" t="inlineStr">
        <x:is>
          <x:t xml:space="preserve">order_item_sku_fk</x:t>
        </x:is>
      </x:c>
      <x:c r="D85" s="6" t="inlineStr">
        <x:is>
          <x:t xml:space="preserve">کد کالای خریداری‌شده در این ردیف</x:t>
        </x:is>
      </x:c>
      <x:c r="E85" s="6" t="inlineStr">
        <x:is>
          <x:t xml:space="preserve">String</x:t>
        </x:is>
      </x:c>
      <x:c r="F85" s="6" t="inlineStr">
        <x:is>
          <x:t xml:space="preserve">Order Item</x:t>
        </x:is>
      </x:c>
      <x:c r="G85" s="19" t="inlineStr">
        <x:is>
          <x:t xml:space="preserve">اجباری</x:t>
        </x:is>
      </x:c>
      <x:c r="H85" s="6" t="inlineStr">
        <x:is>
          <x:t xml:space="preserve">کاتالوگ محصولات انبار</x:t>
        </x:is>
      </x:c>
      <x:c r="I85" s="6" t="inlineStr">
        <x:is>
          <x:t xml:space="preserve">لحظه‌ای</x:t>
        </x:is>
      </x:c>
      <x:c r="J85" s="6" t="inlineStr">
        <x:is>
          <x:t xml:space="preserve">Foreign Key to Product</x:t>
        </x:is>
      </x:c>
      <x:c r="K85" s="6" t="inlineStr">
        <x:is>
          <x:t xml:space="preserve">محاسبه تیراژ فروش و سودآوری هر SKU</x:t>
        </x:is>
      </x:c>
      <x:c r="L85" s="6" t="inlineStr">
        <x:is>
          <x:t xml:space="preserve">ساختاری</x:t>
        </x:is>
      </x:c>
      <x:c r="M85" s="6" t="inlineStr">
        <x:is>
          <x:t xml:space="preserve">اتصال قطعی به شناسه انبار</x:t>
        </x:is>
      </x:c>
      <x:c r="N85" s="30" t="str">
        <x:v>FLD-084</x:v>
      </x:c>
      <x:c r="O85" s="30" t="str">
        <x:v>No</x:v>
      </x:c>
      <x:c r="P85" s="30" t="str">
        <x:v>Yes</x:v>
      </x:c>
      <x:c r="Q85" s="30" t="str">
        <x:v>کاتالوگ محصولات انبار</x:v>
      </x:c>
      <x:c r="R85" s="30" t="str">
        <x:v>dim_or_fact_order_item</x:v>
      </x:c>
      <x:c r="S85" s="30" t="str">
        <x:v>نیازمند تکمیل و تأیید مالک</x:v>
      </x:c>
      <x:c r="T85" s="30" t="str">
        <x:v>نیازمند تکمیل و تأیید مالک</x:v>
      </x:c>
      <x:c r="U85" s="30" t="str">
        <x:v>نیازمند تکمیل و تأیید مالک</x:v>
      </x:c>
      <x:c r="V85" s="30" t="str">
        <x:v>نیازمند تکمیل و تأیید مالک</x:v>
      </x:c>
      <x:c r="W85" s="30" t="str">
        <x:v>Data Engineer</x:v>
      </x:c>
      <x:c r="X85" s="30" t="str">
        <x:v>Proposed</x:v>
      </x:c>
    </x:row>
    <x:row r="86">
      <x:c r="A86" s="17" t="inlineStr">
        <x:is>
          <x:t xml:space="preserve">FLD-085</x:t>
        </x:is>
      </x:c>
      <x:c r="B86" s="4" t="inlineStr">
        <x:is>
          <x:t xml:space="preserve">Order Item</x:t>
        </x:is>
      </x:c>
      <x:c r="C86" s="4" t="inlineStr">
        <x:is>
          <x:t xml:space="preserve">order_item_quantity_sold</x:t>
        </x:is>
      </x:c>
      <x:c r="D86" s="4" t="inlineStr">
        <x:is>
          <x:t xml:space="preserve">تعداد واحدهای خریداری‌شده از این کالا در فاکتور</x:t>
        </x:is>
      </x:c>
      <x:c r="E86" s="4" t="inlineStr">
        <x:is>
          <x:t xml:space="preserve">Integer</x:t>
        </x:is>
      </x:c>
      <x:c r="F86" s="4" t="inlineStr">
        <x:is>
          <x:t xml:space="preserve">Order Item</x:t>
        </x:is>
      </x:c>
      <x:c r="G86" s="17" t="inlineStr">
        <x:is>
          <x:t xml:space="preserve">اجباری</x:t>
        </x:is>
      </x:c>
      <x:c r="H86" s="4" t="inlineStr">
        <x:is>
          <x:t xml:space="preserve">فاکتور خرید</x:t>
        </x:is>
      </x:c>
      <x:c r="I86" s="4" t="inlineStr">
        <x:is>
          <x:t xml:space="preserve">لحظه‌ای</x:t>
        </x:is>
      </x:c>
      <x:c r="J86" s="4" t="inlineStr">
        <x:is>
          <x:t xml:space="preserve">Metric</x:t>
        </x:is>
      </x:c>
      <x:c r="K86" s="4" t="inlineStr">
        <x:is>
          <x:t xml:space="preserve">محاسبه Items per Order و سرعت مصرف کالا</x:t>
        </x:is>
      </x:c>
      <x:c r="L86" s="4" t="inlineStr">
        <x:is>
          <x:t xml:space="preserve">عمومی</x:t>
        </x:is>
      </x:c>
      <x:c r="M86" s="4" t="inlineStr">
        <x:is>
          <x:t xml:space="preserve">اعداد صحیح بزرگتر از صفر</x:t>
        </x:is>
      </x:c>
      <x:c r="N86" s="30" t="str">
        <x:v>FLD-085</x:v>
      </x:c>
      <x:c r="O86" s="30" t="str">
        <x:v>No</x:v>
      </x:c>
      <x:c r="P86" s="30" t="str">
        <x:v>Yes</x:v>
      </x:c>
      <x:c r="Q86" s="30" t="str">
        <x:v>فاکتور خرید</x:v>
      </x:c>
      <x:c r="R86" s="30" t="str">
        <x:v>dim_or_fact_order_item</x:v>
      </x:c>
      <x:c r="S86" s="30" t="str">
        <x:v>نیازمند تکمیل و تأیید مالک</x:v>
      </x:c>
      <x:c r="T86" s="30" t="str">
        <x:v>نیازمند تکمیل و تأیید مالک</x:v>
      </x:c>
      <x:c r="U86" s="30" t="str">
        <x:v>نیازمند تکمیل و تأیید مالک</x:v>
      </x:c>
      <x:c r="V86" s="30" t="str">
        <x:v>نیازمند تکمیل و تأیید مالک</x:v>
      </x:c>
      <x:c r="W86" s="30" t="str">
        <x:v>Data Engineer</x:v>
      </x:c>
      <x:c r="X86" s="30" t="str">
        <x:v>Proposed</x:v>
      </x:c>
    </x:row>
    <x:row r="87">
      <x:c r="A87" s="19" t="inlineStr">
        <x:is>
          <x:t xml:space="preserve">FLD-086</x:t>
        </x:is>
      </x:c>
      <x:c r="B87" s="6" t="inlineStr">
        <x:is>
          <x:t xml:space="preserve">Order Item</x:t>
        </x:is>
      </x:c>
      <x:c r="C87" s="6" t="inlineStr">
        <x:is>
          <x:t xml:space="preserve">order_item_unit_discount</x:t>
        </x:is>
      </x:c>
      <x:c r="D87" s="6" t="inlineStr">
        <x:is>
          <x:t xml:space="preserve">مبلغ تخفیف اعمال‌شده اختصاصی روی این قلم کالا</x:t>
        </x:is>
      </x:c>
      <x:c r="E87" s="6" t="inlineStr">
        <x:is>
          <x:t xml:space="preserve">Decimal (IRR)</x:t>
        </x:is>
      </x:c>
      <x:c r="F87" s="6" t="inlineStr">
        <x:is>
          <x:t xml:space="preserve">Order Item</x:t>
        </x:is>
      </x:c>
      <x:c r="G87" s="19" t="inlineStr">
        <x:is>
          <x:t xml:space="preserve">اختیاری</x:t>
        </x:is>
      </x:c>
      <x:c r="H87" s="6" t="inlineStr">
        <x:is>
          <x:t xml:space="preserve">سیستم کوپن و قیمت</x:t>
        </x:is>
      </x:c>
      <x:c r="I87" s="6" t="inlineStr">
        <x:is>
          <x:t xml:space="preserve">لحظه‌ای</x:t>
        </x:is>
      </x:c>
      <x:c r="J87" s="6" t="inlineStr">
        <x:is>
          <x:t xml:space="preserve">Metric</x:t>
        </x:is>
      </x:c>
      <x:c r="K87" s="6" t="inlineStr">
        <x:is>
          <x:t xml:space="preserve">محاسبه نرخ تخفیف واقعی و اثر آن بر فروش کالا</x:t>
        </x:is>
      </x:c>
      <x:c r="L87" s="6" t="inlineStr">
        <x:is>
          <x:t xml:space="preserve">محرمانه تجاری</x:t>
        </x:is>
      </x:c>
      <x:c r="M87" s="6" t="inlineStr">
        <x:is>
          <x:t xml:space="preserve">مقادیر نامنفی کمتر از قیمت واحد</x:t>
        </x:is>
      </x:c>
      <x:c r="N87" s="30" t="str">
        <x:v>FLD-086</x:v>
      </x:c>
      <x:c r="O87" s="30" t="str">
        <x:v>No</x:v>
      </x:c>
      <x:c r="P87" s="30" t="str">
        <x:v>Yes</x:v>
      </x:c>
      <x:c r="Q87" s="30" t="str">
        <x:v>سیستم کوپن و قیمت</x:v>
      </x:c>
      <x:c r="R87" s="30" t="str">
        <x:v>dim_or_fact_order_item</x:v>
      </x:c>
      <x:c r="S87" s="30" t="str">
        <x:v>نیازمند تکمیل و تأیید مالک</x:v>
      </x:c>
      <x:c r="T87" s="30" t="str">
        <x:v>نیازمند تکمیل و تأیید مالک</x:v>
      </x:c>
      <x:c r="U87" s="30" t="str">
        <x:v>نیازمند تکمیل و تأیید مالک</x:v>
      </x:c>
      <x:c r="V87" s="30" t="str">
        <x:v>نیازمند تکمیل و تأیید مالک</x:v>
      </x:c>
      <x:c r="W87" s="30" t="str">
        <x:v>Data Engineer</x:v>
      </x:c>
      <x:c r="X87" s="30" t="str">
        <x:v>Proposed</x:v>
      </x:c>
    </x:row>
    <x:row r="88">
      <x:c r="A88" s="17" t="inlineStr">
        <x:is>
          <x:t xml:space="preserve">FLD-087</x:t>
        </x:is>
      </x:c>
      <x:c r="B88" s="4" t="inlineStr">
        <x:is>
          <x:t xml:space="preserve">Payment</x:t>
        </x:is>
      </x:c>
      <x:c r="C88" s="4" t="inlineStr">
        <x:is>
          <x:t xml:space="preserve">payment_id</x:t>
        </x:is>
      </x:c>
      <x:c r="D88" s="4" t="inlineStr">
        <x:is>
          <x:t xml:space="preserve">شناسه یکتای تراکنش بانکی در سیستم خزانه‌داری</x:t>
        </x:is>
      </x:c>
      <x:c r="E88" s="4" t="inlineStr">
        <x:is>
          <x:t xml:space="preserve">String (UUID)</x:t>
        </x:is>
      </x:c>
      <x:c r="F88" s="4" t="inlineStr">
        <x:is>
          <x:t xml:space="preserve">Payment</x:t>
        </x:is>
      </x:c>
      <x:c r="G88" s="17" t="inlineStr">
        <x:is>
          <x:t xml:space="preserve">اجباری</x:t>
        </x:is>
      </x:c>
      <x:c r="H88" s="4" t="inlineStr">
        <x:is>
          <x:t xml:space="preserve">ماژول پرداخت / گیت‌وی</x:t>
        </x:is>
      </x:c>
      <x:c r="I88" s="4" t="inlineStr">
        <x:is>
          <x:t xml:space="preserve">بلادرنگ</x:t>
        </x:is>
      </x:c>
      <x:c r="J88" s="4" t="inlineStr">
        <x:is>
          <x:t xml:space="preserve">Primary Key</x:t>
        </x:is>
      </x:c>
      <x:c r="K88" s="4" t="inlineStr">
        <x:is>
          <x:t xml:space="preserve">رهگیری قطعی مالی و جلوگیری از فیش جعلی</x:t>
        </x:is>
      </x:c>
      <x:c r="L88" s="4" t="inlineStr">
        <x:is>
          <x:t xml:space="preserve">داده مالی حساس</x:t>
        </x:is>
      </x:c>
      <x:c r="M88" s="4" t="inlineStr">
        <x:is>
          <x:t xml:space="preserve">یکتایی ۱۰۰٪ در سطح سیستم مالی</x:t>
        </x:is>
      </x:c>
      <x:c r="N88" s="30" t="str">
        <x:v>FLD-087</x:v>
      </x:c>
      <x:c r="O88" s="30" t="str">
        <x:v>Needs validation</x:v>
      </x:c>
      <x:c r="P88" s="30" t="str">
        <x:v>Yes</x:v>
      </x:c>
      <x:c r="Q88" s="30" t="str">
        <x:v>ماژول پرداخت / گیت‌وی</x:v>
      </x:c>
      <x:c r="R88" s="30" t="str">
        <x:v>dim_or_fact_payment</x:v>
      </x:c>
      <x:c r="S88" s="30" t="str">
        <x:v>نیازمند تکمیل و تأیید مالک</x:v>
      </x:c>
      <x:c r="T88" s="30" t="str">
        <x:v>نیازمند تکمیل و تأیید مالک</x:v>
      </x:c>
      <x:c r="U88" s="30" t="str">
        <x:v>نیازمند تکمیل و تأیید مالک</x:v>
      </x:c>
      <x:c r="V88" s="30" t="str">
        <x:v>نیازمند تکمیل و تأیید مالک</x:v>
      </x:c>
      <x:c r="W88" s="30" t="str">
        <x:v>Data Engineer</x:v>
      </x:c>
      <x:c r="X88" s="30" t="str">
        <x:v>Proposed</x:v>
      </x:c>
    </x:row>
    <x:row r="89">
      <x:c r="A89" s="19" t="inlineStr">
        <x:is>
          <x:t xml:space="preserve">FLD-088</x:t>
        </x:is>
      </x:c>
      <x:c r="B89" s="6" t="inlineStr">
        <x:is>
          <x:t xml:space="preserve">Payment</x:t>
        </x:is>
      </x:c>
      <x:c r="C89" s="6" t="inlineStr">
        <x:is>
          <x:t xml:space="preserve">payment_order_fk</x:t>
        </x:is>
      </x:c>
      <x:c r="D89" s="6" t="inlineStr">
        <x:is>
          <x:t xml:space="preserve">شماره فاکتوری که این پرداخت برای آن انجام شده</x:t>
        </x:is>
      </x:c>
      <x:c r="E89" s="6" t="inlineStr">
        <x:is>
          <x:t xml:space="preserve">String</x:t>
        </x:is>
      </x:c>
      <x:c r="F89" s="6" t="inlineStr">
        <x:is>
          <x:t xml:space="preserve">Payment</x:t>
        </x:is>
      </x:c>
      <x:c r="G89" s="19" t="inlineStr">
        <x:is>
          <x:t xml:space="preserve">اجباری</x:t>
        </x:is>
      </x:c>
      <x:c r="H89" s="6" t="inlineStr">
        <x:is>
          <x:t xml:space="preserve">هسته حسابداری</x:t>
        </x:is>
      </x:c>
      <x:c r="I89" s="6" t="inlineStr">
        <x:is>
          <x:t xml:space="preserve">لحظه‌ای</x:t>
        </x:is>
      </x:c>
      <x:c r="J89" s="6" t="inlineStr">
        <x:is>
          <x:t xml:space="preserve">Foreign Key to Order</x:t>
        </x:is>
      </x:c>
      <x:c r="K89" s="6" t="inlineStr">
        <x:is>
          <x:t xml:space="preserve">الصاق سند مالی تسویه به سفارش مربوطه</x:t>
        </x:is>
      </x:c>
      <x:c r="L89" s="6" t="inlineStr">
        <x:is>
          <x:t xml:space="preserve">ساختاری</x:t>
        </x:is>
      </x:c>
      <x:c r="M89" s="6" t="inlineStr">
        <x:is>
          <x:t xml:space="preserve">تطابق با فاکتور معتبر</x:t>
        </x:is>
      </x:c>
      <x:c r="N89" s="30" t="str">
        <x:v>FLD-088</x:v>
      </x:c>
      <x:c r="O89" s="30" t="str">
        <x:v>No</x:v>
      </x:c>
      <x:c r="P89" s="30" t="str">
        <x:v>Yes</x:v>
      </x:c>
      <x:c r="Q89" s="30" t="str">
        <x:v>هسته حسابداری</x:v>
      </x:c>
      <x:c r="R89" s="30" t="str">
        <x:v>dim_or_fact_payment</x:v>
      </x:c>
      <x:c r="S89" s="30" t="str">
        <x:v>نیازمند تکمیل و تأیید مالک</x:v>
      </x:c>
      <x:c r="T89" s="30" t="str">
        <x:v>نیازمند تکمیل و تأیید مالک</x:v>
      </x:c>
      <x:c r="U89" s="30" t="str">
        <x:v>نیازمند تکمیل و تأیید مالک</x:v>
      </x:c>
      <x:c r="V89" s="30" t="str">
        <x:v>نیازمند تکمیل و تأیید مالک</x:v>
      </x:c>
      <x:c r="W89" s="30" t="str">
        <x:v>Data Engineer</x:v>
      </x:c>
      <x:c r="X89" s="30" t="str">
        <x:v>Proposed</x:v>
      </x:c>
    </x:row>
    <x:row r="90">
      <x:c r="A90" s="17" t="inlineStr">
        <x:is>
          <x:t xml:space="preserve">FLD-089</x:t>
        </x:is>
      </x:c>
      <x:c r="B90" s="4" t="inlineStr">
        <x:is>
          <x:t xml:space="preserve">Payment</x:t>
        </x:is>
      </x:c>
      <x:c r="C90" s="4" t="inlineStr">
        <x:is>
          <x:t xml:space="preserve">payment_gateway_rrn</x:t>
        </x:is>
      </x:c>
      <x:c r="D90" s="4" t="inlineStr">
        <x:is>
          <x:t xml:space="preserve">شماره مرجع تراکنش شاپرک (Retrieval Reference No)</x:t>
        </x:is>
      </x:c>
      <x:c r="E90" s="4" t="inlineStr">
        <x:is>
          <x:t xml:space="preserve">String (Numeric)</x:t>
        </x:is>
      </x:c>
      <x:c r="F90" s="4" t="inlineStr">
        <x:is>
          <x:t xml:space="preserve">Payment</x:t>
        </x:is>
      </x:c>
      <x:c r="G90" s="17" t="inlineStr">
        <x:is>
          <x:t xml:space="preserve">شرطی</x:t>
        </x:is>
      </x:c>
      <x:c r="H90" s="4" t="inlineStr">
        <x:is>
          <x:t xml:space="preserve">وب‌سرویس درگاه بانکی</x:t>
        </x:is>
      </x:c>
      <x:c r="I90" s="4" t="inlineStr">
        <x:is>
          <x:t xml:space="preserve">لحظه‌ای</x:t>
        </x:is>
      </x:c>
      <x:c r="J90" s="4" t="inlineStr">
        <x:is>
          <x:t xml:space="preserve">Unique Key</x:t>
        </x:is>
      </x:c>
      <x:c r="K90" s="4" t="inlineStr">
        <x:is>
          <x:t xml:space="preserve">ممیزی صحت پرداخت و حل مغایرت‌های مالی بانکی</x:t>
        </x:is>
      </x:c>
      <x:c r="L90" s="4" t="inlineStr">
        <x:is>
          <x:t xml:space="preserve">شناسه تراکنش شبکه شاپرک</x:t>
        </x:is>
      </x:c>
      <x:c r="M90" s="4" t="inlineStr">
        <x:is>
          <x:t xml:space="preserve">ثبت معتبر کد پیگیری بانکی</x:t>
        </x:is>
      </x:c>
      <x:c r="N90" s="30" t="str">
        <x:v>FLD-089</x:v>
      </x:c>
      <x:c r="O90" s="30" t="str">
        <x:v>No</x:v>
      </x:c>
      <x:c r="P90" s="30" t="str">
        <x:v>Yes</x:v>
      </x:c>
      <x:c r="Q90" s="30" t="str">
        <x:v>وب‌سرویس درگاه بانکی</x:v>
      </x:c>
      <x:c r="R90" s="30" t="str">
        <x:v>dim_or_fact_payment</x:v>
      </x:c>
      <x:c r="S90" s="30" t="str">
        <x:v>نیازمند تکمیل و تأیید مالک</x:v>
      </x:c>
      <x:c r="T90" s="30" t="str">
        <x:v>نیازمند تکمیل و تأیید مالک</x:v>
      </x:c>
      <x:c r="U90" s="30" t="str">
        <x:v>نیازمند تکمیل و تأیید مالک</x:v>
      </x:c>
      <x:c r="V90" s="30" t="str">
        <x:v>نیازمند تکمیل و تأیید مالک</x:v>
      </x:c>
      <x:c r="W90" s="30" t="str">
        <x:v>Data Engineer</x:v>
      </x:c>
      <x:c r="X90" s="30" t="str">
        <x:v>Proposed</x:v>
      </x:c>
    </x:row>
    <x:row r="91">
      <x:c r="A91" s="19" t="inlineStr">
        <x:is>
          <x:t xml:space="preserve">FLD-090</x:t>
        </x:is>
      </x:c>
      <x:c r="B91" s="6" t="inlineStr">
        <x:is>
          <x:t xml:space="preserve">Payment</x:t>
        </x:is>
      </x:c>
      <x:c r="C91" s="6" t="inlineStr">
        <x:is>
          <x:t xml:space="preserve">payment_method_category</x:t>
        </x:is>
      </x:c>
      <x:c r="D91" s="6" t="inlineStr">
        <x:is>
          <x:t xml:space="preserve">شیوه پرداخت (درگاه آنلاین، چک صیادی، واریز فیش)</x:t>
        </x:is>
      </x:c>
      <x:c r="E91" s="6" t="inlineStr">
        <x:is>
          <x:t xml:space="preserve">Enum</x:t>
        </x:is>
      </x:c>
      <x:c r="F91" s="6" t="inlineStr">
        <x:is>
          <x:t xml:space="preserve">Payment</x:t>
        </x:is>
      </x:c>
      <x:c r="G91" s="19" t="inlineStr">
        <x:is>
          <x:t xml:space="preserve">اجباری</x:t>
        </x:is>
      </x:c>
      <x:c r="H91" s="6" t="inlineStr">
        <x:is>
          <x:t xml:space="preserve">فرم انتخاب روش پرداخت</x:t>
        </x:is>
      </x:c>
      <x:c r="I91" s="6" t="inlineStr">
        <x:is>
          <x:t xml:space="preserve">لحظه‌ای</x:t>
        </x:is>
      </x:c>
      <x:c r="J91" s="6" t="inlineStr">
        <x:is>
          <x:t xml:space="preserve">Dimension</x:t>
        </x:is>
      </x:c>
      <x:c r="K91" s="6" t="inlineStr">
        <x:is>
          <x:t xml:space="preserve">تحلیل کشش دندان‌پزشکان به شرایط اقساط و نسیه</x:t>
        </x:is>
      </x:c>
      <x:c r="L91" s="6" t="inlineStr">
        <x:is>
          <x:t xml:space="preserve">عمومی فاکتور</x:t>
        </x:is>
      </x:c>
      <x:c r="M91" s="6" t="inlineStr">
        <x:is>
          <x:t xml:space="preserve">بدون مقدار ثبت‌نشده</x:t>
        </x:is>
      </x:c>
      <x:c r="N91" s="30" t="str">
        <x:v>FLD-090</x:v>
      </x:c>
      <x:c r="O91" s="30" t="str">
        <x:v>No</x:v>
      </x:c>
      <x:c r="P91" s="30" t="str">
        <x:v>Yes</x:v>
      </x:c>
      <x:c r="Q91" s="30" t="str">
        <x:v>فرم انتخاب روش پرداخت</x:v>
      </x:c>
      <x:c r="R91" s="30" t="str">
        <x:v>dim_or_fact_payment</x:v>
      </x:c>
      <x:c r="S91" s="30" t="str">
        <x:v>نیازمند تکمیل و تأیید مالک</x:v>
      </x:c>
      <x:c r="T91" s="30" t="str">
        <x:v>نیازمند تکمیل و تأیید مالک</x:v>
      </x:c>
      <x:c r="U91" s="30" t="str">
        <x:v>نیازمند تکمیل و تأیید مالک</x:v>
      </x:c>
      <x:c r="V91" s="30" t="str">
        <x:v>نیازمند تکمیل و تأیید مالک</x:v>
      </x:c>
      <x:c r="W91" s="30" t="str">
        <x:v>Data Engineer</x:v>
      </x:c>
      <x:c r="X91" s="30" t="str">
        <x:v>Proposed</x:v>
      </x:c>
    </x:row>
    <x:row r="92">
      <x:c r="A92" s="17" t="inlineStr">
        <x:is>
          <x:t xml:space="preserve">FLD-091</x:t>
        </x:is>
      </x:c>
      <x:c r="B92" s="4" t="inlineStr">
        <x:is>
          <x:t xml:space="preserve">Refund</x:t>
        </x:is>
      </x:c>
      <x:c r="C92" s="4" t="inlineStr">
        <x:is>
          <x:t xml:space="preserve">refund_record_id</x:t>
        </x:is>
      </x:c>
      <x:c r="D92" s="4" t="inlineStr">
        <x:is>
          <x:t xml:space="preserve">شناسه یکتای سند عودت وجه یا مرجوعی کالا</x:t>
        </x:is>
      </x:c>
      <x:c r="E92" s="4" t="inlineStr">
        <x:is>
          <x:t xml:space="preserve">String</x:t>
        </x:is>
      </x:c>
      <x:c r="F92" s="4" t="inlineStr">
        <x:is>
          <x:t xml:space="preserve">Refund</x:t>
        </x:is>
      </x:c>
      <x:c r="G92" s="17" t="inlineStr">
        <x:is>
          <x:t xml:space="preserve">اجباری</x:t>
        </x:is>
      </x:c>
      <x:c r="H92" s="4" t="inlineStr">
        <x:is>
          <x:t xml:space="preserve">سیستم خدمات پس از فروش</x:t>
        </x:is>
      </x:c>
      <x:c r="I92" s="4" t="inlineStr">
        <x:is>
          <x:t xml:space="preserve">روزانه</x:t>
        </x:is>
      </x:c>
      <x:c r="J92" s="4" t="inlineStr">
        <x:is>
          <x:t xml:space="preserve">Primary Key</x:t>
        </x:is>
      </x:c>
      <x:c r="K92" s="4" t="inlineStr">
        <x:is>
          <x:t xml:space="preserve">تحلیل نرخ مرجوعی و کسر مستقیم از سود کمپین</x:t>
        </x:is>
      </x:c>
      <x:c r="L92" s="4" t="inlineStr">
        <x:is>
          <x:t xml:space="preserve">سند حسابداری عودت</x:t>
        </x:is>
      </x:c>
      <x:c r="M92" s="4" t="inlineStr">
        <x:is>
          <x:t xml:space="preserve">یکتایی شناسه مرجوعی</x:t>
        </x:is>
      </x:c>
      <x:c r="N92" s="30" t="str">
        <x:v>FLD-091</x:v>
      </x:c>
      <x:c r="O92" s="30" t="str">
        <x:v>Needs validation</x:v>
      </x:c>
      <x:c r="P92" s="30" t="str">
        <x:v>Yes</x:v>
      </x:c>
      <x:c r="Q92" s="30" t="str">
        <x:v>سیستم خدمات پس از فروش</x:v>
      </x:c>
      <x:c r="R92" s="30" t="str">
        <x:v>dim_or_fact_refund</x:v>
      </x:c>
      <x:c r="S92" s="30" t="str">
        <x:v>نیازمند تکمیل و تأیید مالک</x:v>
      </x:c>
      <x:c r="T92" s="30" t="str">
        <x:v>نیازمند تکمیل و تأیید مالک</x:v>
      </x:c>
      <x:c r="U92" s="30" t="str">
        <x:v>نیازمند تکمیل و تأیید مالک</x:v>
      </x:c>
      <x:c r="V92" s="30" t="str">
        <x:v>نیازمند تکمیل و تأیید مالک</x:v>
      </x:c>
      <x:c r="W92" s="30" t="str">
        <x:v>Data Engineer</x:v>
      </x:c>
      <x:c r="X92" s="30" t="str">
        <x:v>Proposed</x:v>
      </x:c>
    </x:row>
    <x:row r="93">
      <x:c r="A93" s="19" t="inlineStr">
        <x:is>
          <x:t xml:space="preserve">FLD-092</x:t>
        </x:is>
      </x:c>
      <x:c r="B93" s="6" t="inlineStr">
        <x:is>
          <x:t xml:space="preserve">Refund</x:t>
        </x:is>
      </x:c>
      <x:c r="C93" s="6" t="inlineStr">
        <x:is>
          <x:t xml:space="preserve">refund_order_fk</x:t>
        </x:is>
      </x:c>
      <x:c r="D93" s="6" t="inlineStr">
        <x:is>
          <x:t xml:space="preserve">شماره فاکتور اصلی که کالا از آن عودت داده شده است</x:t>
        </x:is>
      </x:c>
      <x:c r="E93" s="6" t="inlineStr">
        <x:is>
          <x:t xml:space="preserve">String</x:t>
        </x:is>
      </x:c>
      <x:c r="F93" s="6" t="inlineStr">
        <x:is>
          <x:t xml:space="preserve">Refund</x:t>
        </x:is>
      </x:c>
      <x:c r="G93" s="19" t="inlineStr">
        <x:is>
          <x:t xml:space="preserve">اجباری</x:t>
        </x:is>
      </x:c>
      <x:c r="H93" s="6" t="inlineStr">
        <x:is>
          <x:t xml:space="preserve">دیتابیس مالی</x:t>
        </x:is>
      </x:c>
      <x:c r="I93" s="6" t="inlineStr">
        <x:is>
          <x:t xml:space="preserve">روزانه</x:t>
        </x:is>
      </x:c>
      <x:c r="J93" s="6" t="inlineStr">
        <x:is>
          <x:t xml:space="preserve">Foreign Key to Order</x:t>
        </x:is>
      </x:c>
      <x:c r="K93" s="6" t="inlineStr">
        <x:is>
          <x:t xml:space="preserve">انتساب مرجوعی به کانال و کمپین جذب‌کننده اولیه</x:t>
        </x:is>
      </x:c>
      <x:c r="L93" s="6" t="inlineStr">
        <x:is>
          <x:t xml:space="preserve">ساختاری</x:t>
        </x:is>
      </x:c>
      <x:c r="M93" s="6" t="inlineStr">
        <x:is>
          <x:t xml:space="preserve">اتصال به فاکتور اولیه معتبر</x:t>
        </x:is>
      </x:c>
      <x:c r="N93" s="30" t="str">
        <x:v>FLD-092</x:v>
      </x:c>
      <x:c r="O93" s="30" t="str">
        <x:v>No</x:v>
      </x:c>
      <x:c r="P93" s="30" t="str">
        <x:v>Yes</x:v>
      </x:c>
      <x:c r="Q93" s="30" t="str">
        <x:v>دیتابیس مالی</x:v>
      </x:c>
      <x:c r="R93" s="30" t="str">
        <x:v>dim_or_fact_refund</x:v>
      </x:c>
      <x:c r="S93" s="30" t="str">
        <x:v>نیازمند تکمیل و تأیید مالک</x:v>
      </x:c>
      <x:c r="T93" s="30" t="str">
        <x:v>نیازمند تکمیل و تأیید مالک</x:v>
      </x:c>
      <x:c r="U93" s="30" t="str">
        <x:v>نیازمند تکمیل و تأیید مالک</x:v>
      </x:c>
      <x:c r="V93" s="30" t="str">
        <x:v>نیازمند تکمیل و تأیید مالک</x:v>
      </x:c>
      <x:c r="W93" s="30" t="str">
        <x:v>Data Engineer</x:v>
      </x:c>
      <x:c r="X93" s="30" t="str">
        <x:v>Proposed</x:v>
      </x:c>
    </x:row>
    <x:row r="94">
      <x:c r="A94" s="17" t="inlineStr">
        <x:is>
          <x:t xml:space="preserve">FLD-093</x:t>
        </x:is>
      </x:c>
      <x:c r="B94" s="4" t="inlineStr">
        <x:is>
          <x:t xml:space="preserve">Refund</x:t>
        </x:is>
      </x:c>
      <x:c r="C94" s="4" t="inlineStr">
        <x:is>
          <x:t xml:space="preserve">refund_total_amount</x:t>
        </x:is>
      </x:c>
      <x:c r="D94" s="4" t="inlineStr">
        <x:is>
          <x:t xml:space="preserve">مبلغ ریالی عودت داده‌شده به حساب دندان‌پزشک</x:t>
        </x:is>
      </x:c>
      <x:c r="E94" s="4" t="inlineStr">
        <x:is>
          <x:t xml:space="preserve">Decimal (IRR)</x:t>
        </x:is>
      </x:c>
      <x:c r="F94" s="4" t="inlineStr">
        <x:is>
          <x:t xml:space="preserve">Refund</x:t>
        </x:is>
      </x:c>
      <x:c r="G94" s="17" t="inlineStr">
        <x:is>
          <x:t xml:space="preserve">اجباری</x:t>
        </x:is>
      </x:c>
      <x:c r="H94" s="4" t="inlineStr">
        <x:is>
          <x:t xml:space="preserve">حواله بانکی بازگشت وجه</x:t>
        </x:is>
      </x:c>
      <x:c r="I94" s="4" t="inlineStr">
        <x:is>
          <x:t xml:space="preserve">روزانه</x:t>
        </x:is>
      </x:c>
      <x:c r="J94" s="4" t="inlineStr">
        <x:is>
          <x:t xml:space="preserve">Metric</x:t>
        </x:is>
      </x:c>
      <x:c r="K94" s="4" t="inlineStr">
        <x:is>
          <x:t xml:space="preserve">کسر از Gross Revenue برای محاسبه Net Sales</x:t>
        </x:is>
      </x:c>
      <x:c r="L94" s="4" t="inlineStr">
        <x:is>
          <x:t xml:space="preserve">سند بانکی خروجی</x:t>
        </x:is>
      </x:c>
      <x:c r="M94" s="4" t="inlineStr">
        <x:is>
          <x:t xml:space="preserve">مساوی یا کمتر از ارزش فاکتور اولیه</x:t>
        </x:is>
      </x:c>
      <x:c r="N94" s="30" t="str">
        <x:v>FLD-093</x:v>
      </x:c>
      <x:c r="O94" s="30" t="str">
        <x:v>No</x:v>
      </x:c>
      <x:c r="P94" s="30" t="str">
        <x:v>Yes</x:v>
      </x:c>
      <x:c r="Q94" s="30" t="str">
        <x:v>حواله بانکی بازگشت وجه</x:v>
      </x:c>
      <x:c r="R94" s="30" t="str">
        <x:v>dim_or_fact_refund</x:v>
      </x:c>
      <x:c r="S94" s="30" t="str">
        <x:v>نیازمند تکمیل و تأیید مالک</x:v>
      </x:c>
      <x:c r="T94" s="30" t="str">
        <x:v>نیازمند تکمیل و تأیید مالک</x:v>
      </x:c>
      <x:c r="U94" s="30" t="str">
        <x:v>نیازمند تکمیل و تأیید مالک</x:v>
      </x:c>
      <x:c r="V94" s="30" t="str">
        <x:v>نیازمند تکمیل و تأیید مالک</x:v>
      </x:c>
      <x:c r="W94" s="30" t="str">
        <x:v>Data Engineer</x:v>
      </x:c>
      <x:c r="X94" s="30" t="str">
        <x:v>Proposed</x:v>
      </x:c>
    </x:row>
    <x:row r="95">
      <x:c r="A95" s="19" t="inlineStr">
        <x:is>
          <x:t xml:space="preserve">FLD-094</x:t>
        </x:is>
      </x:c>
      <x:c r="B95" s="6" t="inlineStr">
        <x:is>
          <x:t xml:space="preserve">Refund</x:t>
        </x:is>
      </x:c>
      <x:c r="C95" s="6" t="inlineStr">
        <x:is>
          <x:t xml:space="preserve">refund_reason_classification</x:t>
        </x:is>
      </x:c>
      <x:c r="D95" s="6" t="inlineStr">
        <x:is>
          <x:t xml:space="preserve">طبقه‌بندی علت عودت (نقص تاریخ انقضا، مغایرت فیزیکی، ...)</x:t>
        </x:is>
      </x:c>
      <x:c r="E95" s="6" t="inlineStr">
        <x:is>
          <x:t xml:space="preserve">Enum</x:t>
        </x:is>
      </x:c>
      <x:c r="F95" s="6" t="inlineStr">
        <x:is>
          <x:t xml:space="preserve">Refund</x:t>
        </x:is>
      </x:c>
      <x:c r="G95" s="19" t="inlineStr">
        <x:is>
          <x:t xml:space="preserve">اجباری</x:t>
        </x:is>
      </x:c>
      <x:c r="H95" s="6" t="inlineStr">
        <x:is>
          <x:t xml:space="preserve">گزارش فنی انبار/پشتیبانی</x:t>
        </x:is>
      </x:c>
      <x:c r="I95" s="6" t="inlineStr">
        <x:is>
          <x:t xml:space="preserve">روزانه</x:t>
        </x:is>
      </x:c>
      <x:c r="J95" s="6" t="inlineStr">
        <x:is>
          <x:t xml:space="preserve">Dimension</x:t>
        </x:is>
      </x:c>
      <x:c r="K95" s="6" t="inlineStr">
        <x:is>
          <x:t xml:space="preserve">شناسایی مشکلات کیفی زنجیره تامین تجهیزات</x:t>
        </x:is>
      </x:c>
      <x:c r="L95" s="6" t="inlineStr">
        <x:is>
          <x:t xml:space="preserve">داخلی</x:t>
        </x:is>
      </x:c>
      <x:c r="M95" s="6" t="inlineStr">
        <x:is>
          <x:t xml:space="preserve">ثبت اجباری علت بر اساس استاندارد</x:t>
        </x:is>
      </x:c>
      <x:c r="N95" s="30" t="str">
        <x:v>FLD-094</x:v>
      </x:c>
      <x:c r="O95" s="30" t="str">
        <x:v>No</x:v>
      </x:c>
      <x:c r="P95" s="30" t="str">
        <x:v>Yes</x:v>
      </x:c>
      <x:c r="Q95" s="30" t="str">
        <x:v>گزارش فنی انبار/پشتیبانی</x:v>
      </x:c>
      <x:c r="R95" s="30" t="str">
        <x:v>dim_or_fact_refund</x:v>
      </x:c>
      <x:c r="S95" s="30" t="str">
        <x:v>نیازمند تکمیل و تأیید مالک</x:v>
      </x:c>
      <x:c r="T95" s="30" t="str">
        <x:v>نیازمند تکمیل و تأیید مالک</x:v>
      </x:c>
      <x:c r="U95" s="30" t="str">
        <x:v>نیازمند تکمیل و تأیید مالک</x:v>
      </x:c>
      <x:c r="V95" s="30" t="str">
        <x:v>نیازمند تکمیل و تأیید مالک</x:v>
      </x:c>
      <x:c r="W95" s="30" t="str">
        <x:v>Data Engineer</x:v>
      </x:c>
      <x:c r="X95" s="30" t="str">
        <x:v>Proposed</x:v>
      </x:c>
    </x:row>
    <x:row r="96">
      <x:c r="A96" s="17" t="inlineStr">
        <x:is>
          <x:t xml:space="preserve">FLD-095</x:t>
        </x:is>
      </x:c>
      <x:c r="B96" s="4" t="inlineStr">
        <x:is>
          <x:t xml:space="preserve">Discount</x:t>
        </x:is>
      </x:c>
      <x:c r="C96" s="4" t="inlineStr">
        <x:is>
          <x:t xml:space="preserve">discount_coupon_id</x:t>
        </x:is>
      </x:c>
      <x:c r="D96" s="4" t="inlineStr">
        <x:is>
          <x:t xml:space="preserve">شناسه یکتای آفر یا کوپن تخفیفی استفاده‌شده</x:t>
        </x:is>
      </x:c>
      <x:c r="E96" s="4" t="inlineStr">
        <x:is>
          <x:t xml:space="preserve">String</x:t>
        </x:is>
      </x:c>
      <x:c r="F96" s="4" t="inlineStr">
        <x:is>
          <x:t xml:space="preserve">Discount</x:t>
        </x:is>
      </x:c>
      <x:c r="G96" s="17" t="inlineStr">
        <x:is>
          <x:t xml:space="preserve">اختیاری</x:t>
        </x:is>
      </x:c>
      <x:c r="H96" s="4" t="inlineStr">
        <x:is>
          <x:t xml:space="preserve">موتور پروموشن وب‌سایت</x:t>
        </x:is>
      </x:c>
      <x:c r="I96" s="4" t="inlineStr">
        <x:is>
          <x:t xml:space="preserve">لحظه‌ای</x:t>
        </x:is>
      </x:c>
      <x:c r="J96" s="4" t="inlineStr">
        <x:is>
          <x:t xml:space="preserve">Primary Key</x:t>
        </x:is>
      </x:c>
      <x:c r="K96" s="4" t="inlineStr">
        <x:is>
          <x:t xml:space="preserve">ارزیابی اثربخشی جشنواره‌های فروش و نرخ تخفیف</x:t>
        </x:is>
      </x:c>
      <x:c r="L96" s="4" t="inlineStr">
        <x:is>
          <x:t xml:space="preserve">کد پروموشن</x:t>
        </x:is>
      </x:c>
      <x:c r="M96" s="4" t="inlineStr">
        <x:is>
          <x:t xml:space="preserve">کدهای تعریف‌شده استاندارد</x:t>
        </x:is>
      </x:c>
      <x:c r="N96" s="30" t="str">
        <x:v>FLD-095</x:v>
      </x:c>
      <x:c r="O96" s="30" t="str">
        <x:v>Needs validation</x:v>
      </x:c>
      <x:c r="P96" s="30" t="str">
        <x:v>Yes</x:v>
      </x:c>
      <x:c r="Q96" s="30" t="str">
        <x:v>موتور پروموشن وب‌سایت</x:v>
      </x:c>
      <x:c r="R96" s="30" t="str">
        <x:v>dim_or_fact_discount</x:v>
      </x:c>
      <x:c r="S96" s="30" t="str">
        <x:v>نیازمند تکمیل و تأیید مالک</x:v>
      </x:c>
      <x:c r="T96" s="30" t="str">
        <x:v>نیازمند تکمیل و تأیید مالک</x:v>
      </x:c>
      <x:c r="U96" s="30" t="str">
        <x:v>نیازمند تکمیل و تأیید مالک</x:v>
      </x:c>
      <x:c r="V96" s="30" t="str">
        <x:v>نیازمند تکمیل و تأیید مالک</x:v>
      </x:c>
      <x:c r="W96" s="30" t="str">
        <x:v>Data Engineer</x:v>
      </x:c>
      <x:c r="X96" s="30" t="str">
        <x:v>Proposed</x:v>
      </x:c>
    </x:row>
    <x:row r="97">
      <x:c r="A97" s="19" t="inlineStr">
        <x:is>
          <x:t xml:space="preserve">FLD-096</x:t>
        </x:is>
      </x:c>
      <x:c r="B97" s="6" t="inlineStr">
        <x:is>
          <x:t xml:space="preserve">Discount</x:t>
        </x:is>
      </x:c>
      <x:c r="C97" s="6" t="inlineStr">
        <x:is>
          <x:t xml:space="preserve">discount_coupon_code_string</x:t>
        </x:is>
      </x:c>
      <x:c r="D97" s="6" t="inlineStr">
        <x:is>
          <x:t xml:space="preserve">کد متنی واردشده توسط مشتری (مانند EXIDA2026)</x:t>
        </x:is>
      </x:c>
      <x:c r="E97" s="6" t="inlineStr">
        <x:is>
          <x:t xml:space="preserve">String</x:t>
        </x:is>
      </x:c>
      <x:c r="F97" s="6" t="inlineStr">
        <x:is>
          <x:t xml:space="preserve">Discount</x:t>
        </x:is>
      </x:c>
      <x:c r="G97" s="19" t="inlineStr">
        <x:is>
          <x:t xml:space="preserve">اختیاری</x:t>
        </x:is>
      </x:c>
      <x:c r="H97" s="6" t="inlineStr">
        <x:is>
          <x:t xml:space="preserve">فیلد کوپن در سبد خرید</x:t>
        </x:is>
      </x:c>
      <x:c r="I97" s="6" t="inlineStr">
        <x:is>
          <x:t xml:space="preserve">لحظه‌ای</x:t>
        </x:is>
      </x:c>
      <x:c r="J97" s="6" t="inlineStr">
        <x:is>
          <x:t xml:space="preserve">Dimension</x:t>
        </x:is>
      </x:c>
      <x:c r="K97" s="6" t="inlineStr">
        <x:is>
          <x:t xml:space="preserve">انتساب فروش به کمپین‌های خاص اینفلوئنسری یا کنگره</x:t>
        </x:is>
      </x:c>
      <x:c r="L97" s="6" t="inlineStr">
        <x:is>
          <x:t xml:space="preserve">عمومی بازاریابی</x:t>
        </x:is>
      </x:c>
      <x:c r="M97" s="6" t="inlineStr">
        <x:is>
          <x:t xml:space="preserve">تبدیل خودکار به حروف بزرگ بدون فاصله</x:t>
        </x:is>
      </x:c>
      <x:c r="N97" s="30" t="str">
        <x:v>FLD-096</x:v>
      </x:c>
      <x:c r="O97" s="30" t="str">
        <x:v>No</x:v>
      </x:c>
      <x:c r="P97" s="30" t="str">
        <x:v>Yes</x:v>
      </x:c>
      <x:c r="Q97" s="30" t="str">
        <x:v>فیلد کوپن در سبد خرید</x:v>
      </x:c>
      <x:c r="R97" s="30" t="str">
        <x:v>dim_or_fact_discount</x:v>
      </x:c>
      <x:c r="S97" s="30" t="str">
        <x:v>نیازمند تکمیل و تأیید مالک</x:v>
      </x:c>
      <x:c r="T97" s="30" t="str">
        <x:v>نیازمند تکمیل و تأیید مالک</x:v>
      </x:c>
      <x:c r="U97" s="30" t="str">
        <x:v>نیازمند تکمیل و تأیید مالک</x:v>
      </x:c>
      <x:c r="V97" s="30" t="str">
        <x:v>نیازمند تکمیل و تأیید مالک</x:v>
      </x:c>
      <x:c r="W97" s="30" t="str">
        <x:v>Data Engineer</x:v>
      </x:c>
      <x:c r="X97" s="30" t="str">
        <x:v>Proposed</x:v>
      </x:c>
    </x:row>
    <x:row r="98">
      <x:c r="A98" s="17" t="inlineStr">
        <x:is>
          <x:t xml:space="preserve">FLD-097</x:t>
        </x:is>
      </x:c>
      <x:c r="B98" s="4" t="inlineStr">
        <x:is>
          <x:t xml:space="preserve">Salesperson</x:t>
        </x:is>
      </x:c>
      <x:c r="C98" s="4" t="inlineStr">
        <x:is>
          <x:t xml:space="preserve">sales_rep_id</x:t>
        </x:is>
      </x:c>
      <x:c r="D98" s="4" t="inlineStr">
        <x:is>
          <x:t xml:space="preserve">کد پرسنلی اختصاصی کارشناس فروش تلفنی/حضوری</x:t>
        </x:is>
      </x:c>
      <x:c r="E98" s="4" t="inlineStr">
        <x:is>
          <x:t xml:space="preserve">String</x:t>
        </x:is>
      </x:c>
      <x:c r="F98" s="4" t="inlineStr">
        <x:is>
          <x:t xml:space="preserve">Salesperson</x:t>
        </x:is>
      </x:c>
      <x:c r="G98" s="17" t="inlineStr">
        <x:is>
          <x:t xml:space="preserve">اجباری</x:t>
        </x:is>
      </x:c>
      <x:c r="H98" s="4" t="inlineStr">
        <x:is>
          <x:t xml:space="preserve">دیتابیس منابع انسانی / CRM</x:t>
        </x:is>
      </x:c>
      <x:c r="I98" s="4" t="inlineStr">
        <x:is>
          <x:t xml:space="preserve">ماهانه</x:t>
        </x:is>
      </x:c>
      <x:c r="J98" s="4" t="inlineStr">
        <x:is>
          <x:t xml:space="preserve">Primary Key</x:t>
        </x:is>
      </x:c>
      <x:c r="K98" s="4" t="inlineStr">
        <x:is>
          <x:t xml:space="preserve">ارزیابی بهره‌وری فروشندگان و نرخ بستن معاملات</x:t>
        </x:is>
      </x:c>
      <x:c r="L98" s="4" t="inlineStr">
        <x:is>
          <x:t xml:space="preserve">شناسه پرسنلی</x:t>
        </x:is>
      </x:c>
      <x:c r="M98" s="4" t="inlineStr">
        <x:is>
          <x:t xml:space="preserve">کدهای پرسنلی معتبر فعال</x:t>
        </x:is>
      </x:c>
      <x:c r="N98" s="30" t="str">
        <x:v>FLD-097</x:v>
      </x:c>
      <x:c r="O98" s="30" t="str">
        <x:v>Needs validation</x:v>
      </x:c>
      <x:c r="P98" s="30" t="str">
        <x:v>Yes</x:v>
      </x:c>
      <x:c r="Q98" s="30" t="str">
        <x:v>دیتابیس منابع انسانی / CRM</x:v>
      </x:c>
      <x:c r="R98" s="30" t="str">
        <x:v>dim_or_fact_salesperson</x:v>
      </x:c>
      <x:c r="S98" s="30" t="str">
        <x:v>نیازمند تکمیل و تأیید مالک</x:v>
      </x:c>
      <x:c r="T98" s="30" t="str">
        <x:v>نیازمند تکمیل و تأیید مالک</x:v>
      </x:c>
      <x:c r="U98" s="30" t="str">
        <x:v>نیازمند تکمیل و تأیید مالک</x:v>
      </x:c>
      <x:c r="V98" s="30" t="str">
        <x:v>نیازمند تکمیل و تأیید مالک</x:v>
      </x:c>
      <x:c r="W98" s="30" t="str">
        <x:v>Data Engineer</x:v>
      </x:c>
      <x:c r="X98" s="30" t="str">
        <x:v>Proposed</x:v>
      </x:c>
    </x:row>
    <x:row r="99">
      <x:c r="A99" s="19" t="inlineStr">
        <x:is>
          <x:t xml:space="preserve">FLD-098</x:t>
        </x:is>
      </x:c>
      <x:c r="B99" s="6" t="inlineStr">
        <x:is>
          <x:t xml:space="preserve">Salesperson</x:t>
        </x:is>
      </x:c>
      <x:c r="C99" s="6" t="inlineStr">
        <x:is>
          <x:t xml:space="preserve">sales_rep_full_name</x:t>
        </x:is>
      </x:c>
      <x:c r="D99" s="6" t="inlineStr">
        <x:is>
          <x:t xml:space="preserve">نام کامل کارشناس فروش مسوول اکانت کلینیک</x:t>
        </x:is>
      </x:c>
      <x:c r="E99" s="6" t="inlineStr">
        <x:is>
          <x:t xml:space="preserve">String</x:t>
        </x:is>
      </x:c>
      <x:c r="F99" s="6" t="inlineStr">
        <x:is>
          <x:t xml:space="preserve">Salesperson</x:t>
        </x:is>
      </x:c>
      <x:c r="G99" s="19" t="inlineStr">
        <x:is>
          <x:t xml:space="preserve">اجباری</x:t>
        </x:is>
      </x:c>
      <x:c r="H99" s="6" t="inlineStr">
        <x:is>
          <x:t xml:space="preserve">پروفایل پرسنلی CRM</x:t>
        </x:is>
      </x:c>
      <x:c r="I99" s="6" t="inlineStr">
        <x:is>
          <x:t xml:space="preserve">ماهانه</x:t>
        </x:is>
      </x:c>
      <x:c r="J99" s="6" t="inlineStr">
        <x:is>
          <x:t xml:space="preserve">Dimension</x:t>
        </x:is>
      </x:c>
      <x:c r="K99" s="6" t="inlineStr">
        <x:is>
          <x:t xml:space="preserve">گزارش‌دهی فروش تفکیکی به تفکیک افراد تیم</x:t>
        </x:is>
      </x:c>
      <x:c r="L99" s="6" t="inlineStr">
        <x:is>
          <x:t xml:space="preserve">داخلی</x:t>
        </x:is>
      </x:c>
      <x:c r="M99" s="6" t="inlineStr">
        <x:is>
          <x:t xml:space="preserve">نگارش استاندارد نام کارشناس</x:t>
        </x:is>
      </x:c>
      <x:c r="N99" s="30" t="str">
        <x:v>FLD-098</x:v>
      </x:c>
      <x:c r="O99" s="30" t="str">
        <x:v>No</x:v>
      </x:c>
      <x:c r="P99" s="30" t="str">
        <x:v>Yes</x:v>
      </x:c>
      <x:c r="Q99" s="30" t="str">
        <x:v>پروفایل پرسنلی CRM</x:v>
      </x:c>
      <x:c r="R99" s="30" t="str">
        <x:v>dim_or_fact_salesperson</x:v>
      </x:c>
      <x:c r="S99" s="30" t="str">
        <x:v>نیازمند تکمیل و تأیید مالک</x:v>
      </x:c>
      <x:c r="T99" s="30" t="str">
        <x:v>نیازمند تکمیل و تأیید مالک</x:v>
      </x:c>
      <x:c r="U99" s="30" t="str">
        <x:v>نیازمند تکمیل و تأیید مالک</x:v>
      </x:c>
      <x:c r="V99" s="30" t="str">
        <x:v>نیازمند تکمیل و تأیید مالک</x:v>
      </x:c>
      <x:c r="W99" s="30" t="str">
        <x:v>Data Engineer</x:v>
      </x:c>
      <x:c r="X99" s="30" t="str">
        <x:v>Proposed</x:v>
      </x:c>
    </x:row>
    <x:row r="100">
      <x:c r="A100" s="17" t="inlineStr">
        <x:is>
          <x:t xml:space="preserve">FLD-099</x:t>
        </x:is>
      </x:c>
      <x:c r="B100" s="4" t="inlineStr">
        <x:is>
          <x:t xml:space="preserve">Salesperson</x:t>
        </x:is>
      </x:c>
      <x:c r="C100" s="4" t="inlineStr">
        <x:is>
          <x:t xml:space="preserve">sales_rep_territory_zone</x:t>
        </x:is>
      </x:c>
      <x:c r="D100" s="4" t="inlineStr">
        <x:is>
          <x:t xml:space="preserve">منطقه جغرافیایی تحت مدیریت کارشناس (مثلاً تهران غرب)</x:t>
        </x:is>
      </x:c>
      <x:c r="E100" s="4" t="inlineStr">
        <x:is>
          <x:t xml:space="preserve">String</x:t>
        </x:is>
      </x:c>
      <x:c r="F100" s="4" t="inlineStr">
        <x:is>
          <x:t xml:space="preserve">Salesperson</x:t>
        </x:is>
      </x:c>
      <x:c r="G100" s="17" t="inlineStr">
        <x:is>
          <x:t xml:space="preserve">اجباری</x:t>
        </x:is>
      </x:c>
      <x:c r="H100" s="4" t="inlineStr">
        <x:is>
          <x:t xml:space="preserve">چارت سازمانی فروش</x:t>
        </x:is>
      </x:c>
      <x:c r="I100" s="4" t="inlineStr">
        <x:is>
          <x:t xml:space="preserve">فصلی</x:t>
        </x:is>
      </x:c>
      <x:c r="J100" s="4" t="inlineStr">
        <x:is>
          <x:t xml:space="preserve">Dimension</x:t>
        </x:is>
      </x:c>
      <x:c r="K100" s="4" t="inlineStr">
        <x:is>
          <x:t xml:space="preserve">تحلیل تطبیقی تارگت فروش در مناطق کشوری</x:t>
        </x:is>
      </x:c>
      <x:c r="L100" s="4" t="inlineStr">
        <x:is>
          <x:t xml:space="preserve">عمومی سازمانی</x:t>
        </x:is>
      </x:c>
      <x:c r="M100" s="4" t="inlineStr">
        <x:is>
          <x:t xml:space="preserve">بدون تداخل حوزه‌های استانی</x:t>
        </x:is>
      </x:c>
      <x:c r="N100" s="30" t="str">
        <x:v>FLD-099</x:v>
      </x:c>
      <x:c r="O100" s="30" t="str">
        <x:v>No</x:v>
      </x:c>
      <x:c r="P100" s="30" t="str">
        <x:v>Yes</x:v>
      </x:c>
      <x:c r="Q100" s="30" t="str">
        <x:v>چارت سازمانی فروش</x:v>
      </x:c>
      <x:c r="R100" s="30" t="str">
        <x:v>dim_or_fact_salesperson</x:v>
      </x:c>
      <x:c r="S100" s="30" t="str">
        <x:v>نیازمند تکمیل و تأیید مالک</x:v>
      </x:c>
      <x:c r="T100" s="30" t="str">
        <x:v>نیازمند تکمیل و تأیید مالک</x:v>
      </x:c>
      <x:c r="U100" s="30" t="str">
        <x:v>نیازمند تکمیل و تأیید مالک</x:v>
      </x:c>
      <x:c r="V100" s="30" t="str">
        <x:v>نیازمند تکمیل و تأیید مالک</x:v>
      </x:c>
      <x:c r="W100" s="30" t="str">
        <x:v>Data Engineer</x:v>
      </x:c>
      <x:c r="X100" s="30" t="str">
        <x:v>Proposed</x:v>
      </x:c>
    </x:row>
    <x:row r="101">
      <x:c r="A101" s="19" t="inlineStr">
        <x:is>
          <x:t xml:space="preserve">FLD-100</x:t>
        </x:is>
      </x:c>
      <x:c r="B101" s="6" t="inlineStr">
        <x:is>
          <x:t xml:space="preserve">Salesperson</x:t>
        </x:is>
      </x:c>
      <x:c r="C101" s="6" t="inlineStr">
        <x:is>
          <x:t xml:space="preserve">sales_rep_commission_earned</x:t>
        </x:is>
      </x:c>
      <x:c r="D101" s="6" t="inlineStr">
        <x:is>
          <x:t xml:space="preserve">پاداش و پورسانت ریالی تخصیص‌یافته به کارشناس بابت فاکتور</x:t>
        </x:is>
      </x:c>
      <x:c r="E101" s="6" t="inlineStr">
        <x:is>
          <x:t xml:space="preserve">Decimal (IRR)</x:t>
        </x:is>
      </x:c>
      <x:c r="F101" s="6" t="inlineStr">
        <x:is>
          <x:t xml:space="preserve">Salesperson</x:t>
        </x:is>
      </x:c>
      <x:c r="G101" s="19" t="inlineStr">
        <x:is>
          <x:t xml:space="preserve">اجباری</x:t>
        </x:is>
      </x:c>
      <x:c r="H101" s="6" t="inlineStr">
        <x:is>
          <x:t xml:space="preserve">نرم‌افزار حقوق و دستمزد / CRM</x:t>
        </x:is>
      </x:c>
      <x:c r="I101" s="6" t="inlineStr">
        <x:is>
          <x:t xml:space="preserve">ماهانه</x:t>
        </x:is>
      </x:c>
      <x:c r="J101" s="6" t="inlineStr">
        <x:is>
          <x:t xml:space="preserve">Metric (Cost)</x:t>
        </x:is>
      </x:c>
      <x:c r="K101" s="6" t="inlineStr">
        <x:is>
          <x:t xml:space="preserve">محاسبه هزینه متغیر فروش به ازای سفارش</x:t>
        </x:is>
      </x:c>
      <x:c r="L101" s="6" t="inlineStr">
        <x:is>
          <x:t xml:space="preserve">محرمانه پرسنلی</x:t>
        </x:is>
      </x:c>
      <x:c r="M101" s="6" t="inlineStr">
        <x:is>
          <x:t xml:space="preserve">محاسبه بر اساس فرمول مصوب کمیسیون</x:t>
        </x:is>
      </x:c>
      <x:c r="N101" s="30" t="str">
        <x:v>FLD-100</x:v>
      </x:c>
      <x:c r="O101" s="30" t="str">
        <x:v>No</x:v>
      </x:c>
      <x:c r="P101" s="30" t="str">
        <x:v>Yes</x:v>
      </x:c>
      <x:c r="Q101" s="30" t="str">
        <x:v>نرم‌افزار حقوق و دستمزد / CRM</x:v>
      </x:c>
      <x:c r="R101" s="30" t="str">
        <x:v>dim_or_fact_salesperson</x:v>
      </x:c>
      <x:c r="S101" s="30" t="str">
        <x:v>نیازمند تکمیل و تأیید مالک</x:v>
      </x:c>
      <x:c r="T101" s="30" t="str">
        <x:v>نیازمند تکمیل و تأیید مالک</x:v>
      </x:c>
      <x:c r="U101" s="30" t="str">
        <x:v>نیازمند تکمیل و تأیید مالک</x:v>
      </x:c>
      <x:c r="V101" s="30" t="str">
        <x:v>نیازمند تکمیل و تأیید مالک</x:v>
      </x:c>
      <x:c r="W101" s="30" t="str">
        <x:v>Data Engineer</x:v>
      </x:c>
      <x:c r="X101" s="30" t="str">
        <x:v>Proposed</x:v>
      </x:c>
    </x:row>
    <x:row r="102">
      <x:c r="A102" s="17" t="inlineStr">
        <x:is>
          <x:t xml:space="preserve">FLD-101</x:t>
        </x:is>
      </x:c>
      <x:c r="B102" s="4" t="inlineStr">
        <x:is>
          <x:t xml:space="preserve">Salesperson</x:t>
        </x:is>
      </x:c>
      <x:c r="C102" s="4" t="inlineStr">
        <x:is>
          <x:t xml:space="preserve">sales_rep_quota_target_amount</x:t>
        </x:is>
      </x:c>
      <x:c r="D102" s="4" t="inlineStr">
        <x:is>
          <x:t xml:space="preserve">تارگت ریالی مصوب فروش ماهانه برای کارشناس</x:t>
        </x:is>
      </x:c>
      <x:c r="E102" s="4" t="inlineStr">
        <x:is>
          <x:t xml:space="preserve">Decimal (IRR)</x:t>
        </x:is>
      </x:c>
      <x:c r="F102" s="4" t="inlineStr">
        <x:is>
          <x:t xml:space="preserve">Salesperson</x:t>
        </x:is>
      </x:c>
      <x:c r="G102" s="17" t="inlineStr">
        <x:is>
          <x:t xml:space="preserve">اجباری</x:t>
        </x:is>
      </x:c>
      <x:c r="H102" s="4" t="inlineStr">
        <x:is>
          <x:t xml:space="preserve">بودجه فروش B2B</x:t>
        </x:is>
      </x:c>
      <x:c r="I102" s="4" t="inlineStr">
        <x:is>
          <x:t xml:space="preserve">ماهانه</x:t>
        </x:is>
      </x:c>
      <x:c r="J102" s="4" t="inlineStr">
        <x:is>
          <x:t xml:space="preserve">Target Metric</x:t>
        </x:is>
      </x:c>
      <x:c r="K102" s="4" t="inlineStr">
        <x:is>
          <x:t xml:space="preserve">ارزیابی درصد تحقق تارگت‌های فروش پرسنل</x:t>
        </x:is>
      </x:c>
      <x:c r="L102" s="4" t="inlineStr">
        <x:is>
          <x:t xml:space="preserve">محرمانه سازمانی</x:t>
        </x:is>
      </x:c>
      <x:c r="M102" s="4" t="inlineStr">
        <x:is>
          <x:t xml:space="preserve">مقادیر ریالی مثبت معتبر</x:t>
        </x:is>
      </x:c>
      <x:c r="N102" s="30" t="str">
        <x:v>FLD-101</x:v>
      </x:c>
      <x:c r="O102" s="30" t="str">
        <x:v>No</x:v>
      </x:c>
      <x:c r="P102" s="30" t="str">
        <x:v>Yes</x:v>
      </x:c>
      <x:c r="Q102" s="30" t="str">
        <x:v>بودجه فروش B2B</x:v>
      </x:c>
      <x:c r="R102" s="30" t="str">
        <x:v>dim_or_fact_salesperson</x:v>
      </x:c>
      <x:c r="S102" s="30" t="str">
        <x:v>نیازمند تکمیل و تأیید مالک</x:v>
      </x:c>
      <x:c r="T102" s="30" t="str">
        <x:v>نیازمند تکمیل و تأیید مالک</x:v>
      </x:c>
      <x:c r="U102" s="30" t="str">
        <x:v>نیازمند تکمیل و تأیید مالک</x:v>
      </x:c>
      <x:c r="V102" s="30" t="str">
        <x:v>نیازمند تکمیل و تأیید مالک</x:v>
      </x:c>
      <x:c r="W102" s="30" t="str">
        <x:v>Data Engineer</x:v>
      </x:c>
      <x:c r="X102" s="30" t="str">
        <x:v>Proposed</x:v>
      </x:c>
    </x:row>
    <x:row r="103">
      <x:c r="A103" s="19" t="inlineStr">
        <x:is>
          <x:t xml:space="preserve">FLD-102</x:t>
        </x:is>
      </x:c>
      <x:c r="B103" s="6" t="inlineStr">
        <x:is>
          <x:t xml:space="preserve">Call Center</x:t>
        </x:is>
      </x:c>
      <x:c r="C103" s="6" t="inlineStr">
        <x:is>
          <x:t xml:space="preserve">call_log_id</x:t>
        </x:is>
      </x:c>
      <x:c r="D103" s="6" t="inlineStr">
        <x:is>
          <x:t xml:space="preserve">شناسه یکتای تماس تلفنی ثبت‌شده در سانترال VoIP</x:t>
        </x:is>
      </x:c>
      <x:c r="E103" s="6" t="inlineStr">
        <x:is>
          <x:t xml:space="preserve">String</x:t>
        </x:is>
      </x:c>
      <x:c r="F103" s="6" t="inlineStr">
        <x:is>
          <x:t xml:space="preserve">Call Center</x:t>
        </x:is>
      </x:c>
      <x:c r="G103" s="19" t="inlineStr">
        <x:is>
          <x:t xml:space="preserve">اجباری</x:t>
        </x:is>
      </x:c>
      <x:c r="H103" s="6" t="inlineStr">
        <x:is>
          <x:t xml:space="preserve">سامانه تلفنی VoIP (ایزابل/استریسک)</x:t>
        </x:is>
      </x:c>
      <x:c r="I103" s="6" t="inlineStr">
        <x:is>
          <x:t xml:space="preserve">لحظه‌ای</x:t>
        </x:is>
      </x:c>
      <x:c r="J103" s="6" t="inlineStr">
        <x:is>
          <x:t xml:space="preserve">Primary Key</x:t>
        </x:is>
      </x:c>
      <x:c r="K103" s="6" t="inlineStr">
        <x:is>
          <x:t xml:space="preserve">ممیزی زمان پاسخ‌گویی به لید (Response Time SLA)</x:t>
        </x:is>
      </x:c>
      <x:c r="L103" s="6" t="inlineStr">
        <x:is>
          <x:t xml:space="preserve">داده‌های فنی تلفن</x:t>
        </x:is>
      </x:c>
      <x:c r="M103" s="6" t="inlineStr">
        <x:is>
          <x:t xml:space="preserve">یکتایی مطلق تماس‌ها در سانترال</x:t>
        </x:is>
      </x:c>
      <x:c r="N103" s="30" t="str">
        <x:v>FLD-102</x:v>
      </x:c>
      <x:c r="O103" s="30" t="str">
        <x:v>Needs validation</x:v>
      </x:c>
      <x:c r="P103" s="30" t="str">
        <x:v>Yes</x:v>
      </x:c>
      <x:c r="Q103" s="30" t="str">
        <x:v>سامانه تلفنی VoIP (ایزابل/استریسک)</x:v>
      </x:c>
      <x:c r="R103" s="30" t="str">
        <x:v>dim_or_fact_call_center</x:v>
      </x:c>
      <x:c r="S103" s="30" t="str">
        <x:v>نیازمند تکمیل و تأیید مالک</x:v>
      </x:c>
      <x:c r="T103" s="30" t="str">
        <x:v>نیازمند تکمیل و تأیید مالک</x:v>
      </x:c>
      <x:c r="U103" s="30" t="str">
        <x:v>نیازمند تکمیل و تأیید مالک</x:v>
      </x:c>
      <x:c r="V103" s="30" t="str">
        <x:v>نیازمند تکمیل و تأیید مالک</x:v>
      </x:c>
      <x:c r="W103" s="30" t="str">
        <x:v>Data Engineer</x:v>
      </x:c>
      <x:c r="X103" s="30" t="str">
        <x:v>Proposed</x:v>
      </x:c>
    </x:row>
    <x:row r="104">
      <x:c r="A104" s="17" t="inlineStr">
        <x:is>
          <x:t xml:space="preserve">FLD-103</x:t>
        </x:is>
      </x:c>
      <x:c r="B104" s="4" t="inlineStr">
        <x:is>
          <x:t xml:space="preserve">Call Center</x:t>
        </x:is>
      </x:c>
      <x:c r="C104" s="4" t="inlineStr">
        <x:is>
          <x:t xml:space="preserve">call_customer_phone_number</x:t>
        </x:is>
      </x:c>
      <x:c r="D104" s="4" t="inlineStr">
        <x:is>
          <x:t xml:space="preserve">شماره تماس کلینیک با پوشش امنیتی در سیستم تماس</x:t>
        </x:is>
      </x:c>
      <x:c r="E104" s="4" t="inlineStr">
        <x:is>
          <x:t xml:space="preserve">String (Masked)</x:t>
        </x:is>
      </x:c>
      <x:c r="F104" s="4" t="inlineStr">
        <x:is>
          <x:t xml:space="preserve">Call Center</x:t>
        </x:is>
      </x:c>
      <x:c r="G104" s="17" t="inlineStr">
        <x:is>
          <x:t xml:space="preserve">اجباری</x:t>
        </x:is>
      </x:c>
      <x:c r="H104" s="4" t="inlineStr">
        <x:is>
          <x:t xml:space="preserve">لاگ مکالمات ورودی/خروجی</x:t>
        </x:is>
      </x:c>
      <x:c r="I104" s="4" t="inlineStr">
        <x:is>
          <x:t xml:space="preserve">لحظه‌ای</x:t>
        </x:is>
      </x:c>
      <x:c r="J104" s="4" t="inlineStr">
        <x:is>
          <x:t xml:space="preserve">Joining Key</x:t>
        </x:is>
      </x:c>
      <x:c r="K104" s="4" t="inlineStr">
        <x:is>
          <x:t xml:space="preserve">اتصال تماس‌های تلفنی به پرونده دندان‌پزشک در CRM</x:t>
        </x:is>
      </x:c>
      <x:c r="L104" s="4" t="inlineStr">
        <x:is>
          <x:t xml:space="preserve">حفاظت حریم شخصی (Masking ۴ رقم وسط)</x:t>
        </x:is>
      </x:c>
      <x:c r="M104" s="4" t="inlineStr">
        <x:is>
          <x:t xml:space="preserve">استاندارد ۱۰ رقمی شماره‌های همراه</x:t>
        </x:is>
      </x:c>
      <x:c r="N104" s="30" t="str">
        <x:v>FLD-103</x:v>
      </x:c>
      <x:c r="O104" s="30" t="str">
        <x:v>No</x:v>
      </x:c>
      <x:c r="P104" s="30" t="str">
        <x:v>Yes</x:v>
      </x:c>
      <x:c r="Q104" s="30" t="str">
        <x:v>لاگ مکالمات ورودی/خروجی</x:v>
      </x:c>
      <x:c r="R104" s="30" t="str">
        <x:v>dim_or_fact_call_center</x:v>
      </x:c>
      <x:c r="S104" s="30" t="str">
        <x:v>نیازمند تکمیل و تأیید مالک</x:v>
      </x:c>
      <x:c r="T104" s="30" t="str">
        <x:v>نیازمند تکمیل و تأیید مالک</x:v>
      </x:c>
      <x:c r="U104" s="30" t="str">
        <x:v>نیازمند تکمیل و تأیید مالک</x:v>
      </x:c>
      <x:c r="V104" s="30" t="str">
        <x:v>نیازمند تکمیل و تأیید مالک</x:v>
      </x:c>
      <x:c r="W104" s="30" t="str">
        <x:v>Data Engineer</x:v>
      </x:c>
      <x:c r="X104" s="30" t="str">
        <x:v>Proposed</x:v>
      </x:c>
    </x:row>
    <x:row r="105">
      <x:c r="A105" s="19" t="inlineStr">
        <x:is>
          <x:t xml:space="preserve">FLD-104</x:t>
        </x:is>
      </x:c>
      <x:c r="B105" s="6" t="inlineStr">
        <x:is>
          <x:t xml:space="preserve">Call Center</x:t>
        </x:is>
      </x:c>
      <x:c r="C105" s="6" t="inlineStr">
        <x:is>
          <x:t xml:space="preserve">call_duration_seconds</x:t>
        </x:is>
      </x:c>
      <x:c r="D105" s="6" t="inlineStr">
        <x:is>
          <x:t xml:space="preserve">طول مدت مفید مکالمه کارشناس با دندان‌پزشک به ثانیه</x:t>
        </x:is>
      </x:c>
      <x:c r="E105" s="6" t="inlineStr">
        <x:is>
          <x:t xml:space="preserve">Integer</x:t>
        </x:is>
      </x:c>
      <x:c r="F105" s="6" t="inlineStr">
        <x:is>
          <x:t xml:space="preserve">Call Center</x:t>
        </x:is>
      </x:c>
      <x:c r="G105" s="19" t="inlineStr">
        <x:is>
          <x:t xml:space="preserve">اجباری</x:t>
        </x:is>
      </x:c>
      <x:c r="H105" s="6" t="inlineStr">
        <x:is>
          <x:t xml:space="preserve">لاگ مخابراتی VoIP</x:t>
        </x:is>
      </x:c>
      <x:c r="I105" s="6" t="inlineStr">
        <x:is>
          <x:t xml:space="preserve">لحظه‌ای</x:t>
        </x:is>
      </x:c>
      <x:c r="J105" s="6" t="inlineStr">
        <x:is>
          <x:t xml:space="preserve">Metric</x:t>
        </x:is>
      </x:c>
      <x:c r="K105" s="6" t="inlineStr">
        <x:is>
          <x:t xml:space="preserve">سنجش کیفیت مشاوره فنی و غربال‌گری لیدها</x:t>
        </x:is>
      </x:c>
      <x:c r="L105" s="6" t="inlineStr">
        <x:is>
          <x:t xml:space="preserve">فنی</x:t>
        </x:is>
      </x:c>
      <x:c r="M105" s="6" t="inlineStr">
        <x:is>
          <x:t xml:space="preserve">اعداد صحیح نامنفی</x:t>
        </x:is>
      </x:c>
      <x:c r="N105" s="30" t="str">
        <x:v>FLD-104</x:v>
      </x:c>
      <x:c r="O105" s="30" t="str">
        <x:v>No</x:v>
      </x:c>
      <x:c r="P105" s="30" t="str">
        <x:v>Yes</x:v>
      </x:c>
      <x:c r="Q105" s="30" t="str">
        <x:v>لاگ مخابراتی VoIP</x:v>
      </x:c>
      <x:c r="R105" s="30" t="str">
        <x:v>dim_or_fact_call_center</x:v>
      </x:c>
      <x:c r="S105" s="30" t="str">
        <x:v>نیازمند تکمیل و تأیید مالک</x:v>
      </x:c>
      <x:c r="T105" s="30" t="str">
        <x:v>نیازمند تکمیل و تأیید مالک</x:v>
      </x:c>
      <x:c r="U105" s="30" t="str">
        <x:v>نیازمند تکمیل و تأیید مالک</x:v>
      </x:c>
      <x:c r="V105" s="30" t="str">
        <x:v>نیازمند تکمیل و تأیید مالک</x:v>
      </x:c>
      <x:c r="W105" s="30" t="str">
        <x:v>Data Engineer</x:v>
      </x:c>
      <x:c r="X105" s="30" t="str">
        <x:v>Proposed</x:v>
      </x:c>
    </x:row>
    <x:row r="106">
      <x:c r="A106" s="17" t="inlineStr">
        <x:is>
          <x:t xml:space="preserve">FLD-105</x:t>
        </x:is>
      </x:c>
      <x:c r="B106" s="4" t="inlineStr">
        <x:is>
          <x:t xml:space="preserve">Call Center</x:t>
        </x:is>
      </x:c>
      <x:c r="C106" s="4" t="inlineStr">
        <x:is>
          <x:t xml:space="preserve">call_recording_file_path</x:t>
        </x:is>
      </x:c>
      <x:c r="D106" s="4" t="inlineStr">
        <x:is>
          <x:t xml:space="preserve">آدرس سرور ذخیره‌سازی صوت مکالمه جهت کنترل کیفی</x:t>
        </x:is>
      </x:c>
      <x:c r="E106" s="4" t="inlineStr">
        <x:is>
          <x:t xml:space="preserve">String (URI)</x:t>
        </x:is>
      </x:c>
      <x:c r="F106" s="4" t="inlineStr">
        <x:is>
          <x:t xml:space="preserve">Call Center</x:t>
        </x:is>
      </x:c>
      <x:c r="G106" s="17" t="inlineStr">
        <x:is>
          <x:t xml:space="preserve">اختیاری</x:t>
        </x:is>
      </x:c>
      <x:c r="H106" s="4" t="inlineStr">
        <x:is>
          <x:t xml:space="preserve">سرور ذخیره‌سازی مدیا VoIP</x:t>
        </x:is>
      </x:c>
      <x:c r="I106" s="4" t="inlineStr">
        <x:is>
          <x:t xml:space="preserve">روزانه</x:t>
        </x:is>
      </x:c>
      <x:c r="J106" s="4" t="inlineStr">
        <x:is>
          <x:t xml:space="preserve">Link Attribute</x:t>
        </x:is>
      </x:c>
      <x:c r="K106" s="4" t="inlineStr">
        <x:is>
          <x:t xml:space="preserve">ارزیابی نحوه پرزنت محصولات و نیازسنجی مطب</x:t>
        </x:is>
      </x:c>
      <x:c r="L106" s="4" t="inlineStr">
        <x:is>
          <x:t xml:space="preserve">فایل صوتی محرمانه؛ دسترسی محدود به سوپروایزر</x:t>
        </x:is>
      </x:c>
      <x:c r="M106" s="4" t="inlineStr">
        <x:is>
          <x:t xml:space="preserve">فایل‌های فشرده استاندارد</x:t>
        </x:is>
      </x:c>
      <x:c r="N106" s="30" t="str">
        <x:v>FLD-105</x:v>
      </x:c>
      <x:c r="O106" s="30" t="str">
        <x:v>No</x:v>
      </x:c>
      <x:c r="P106" s="30" t="str">
        <x:v>Yes</x:v>
      </x:c>
      <x:c r="Q106" s="30" t="str">
        <x:v>سرور ذخیره‌سازی مدیا VoIP</x:v>
      </x:c>
      <x:c r="R106" s="30" t="str">
        <x:v>dim_or_fact_call_center</x:v>
      </x:c>
      <x:c r="S106" s="30" t="str">
        <x:v>نیازمند تکمیل و تأیید مالک</x:v>
      </x:c>
      <x:c r="T106" s="30" t="str">
        <x:v>نیازمند تکمیل و تأیید مالک</x:v>
      </x:c>
      <x:c r="U106" s="30" t="str">
        <x:v>نیازمند تکمیل و تأیید مالک</x:v>
      </x:c>
      <x:c r="V106" s="30" t="str">
        <x:v>نیازمند تکمیل و تأیید مالک</x:v>
      </x:c>
      <x:c r="W106" s="30" t="str">
        <x:v>Data Engineer</x:v>
      </x:c>
      <x:c r="X106" s="30" t="str">
        <x:v>Proposed</x:v>
      </x:c>
    </x:row>
    <x:row r="107">
      <x:c r="A107" s="19" t="inlineStr">
        <x:is>
          <x:t xml:space="preserve">FLD-106</x:t>
        </x:is>
      </x:c>
      <x:c r="B107" s="6" t="inlineStr">
        <x:is>
          <x:t xml:space="preserve">CRM Activity</x:t>
        </x:is>
      </x:c>
      <x:c r="C107" s="6" t="inlineStr">
        <x:is>
          <x:t xml:space="preserve">crm_activity_id</x:t>
        </x:is>
      </x:c>
      <x:c r="D107" s="6" t="inlineStr">
        <x:is>
          <x:t xml:space="preserve">کد یکتای فعالیت ثبت‌شده برای یک مشتری در پایپ‌لاین</x:t>
        </x:is>
      </x:c>
      <x:c r="E107" s="6" t="inlineStr">
        <x:is>
          <x:t xml:space="preserve">String</x:t>
        </x:is>
      </x:c>
      <x:c r="F107" s="6" t="inlineStr">
        <x:is>
          <x:t xml:space="preserve">CRM Activity</x:t>
        </x:is>
      </x:c>
      <x:c r="G107" s="19" t="inlineStr">
        <x:is>
          <x:t xml:space="preserve">اجباری</x:t>
        </x:is>
      </x:c>
      <x:c r="H107" s="6" t="inlineStr">
        <x:is>
          <x:t xml:space="preserve">سیستم CRM دندان‌پزشکی</x:t>
        </x:is>
      </x:c>
      <x:c r="I107" s="6" t="inlineStr">
        <x:is>
          <x:t xml:space="preserve">لحظه‌ای</x:t>
        </x:is>
      </x:c>
      <x:c r="J107" s="6" t="inlineStr">
        <x:is>
          <x:t xml:space="preserve">Primary Key</x:t>
        </x:is>
      </x:c>
      <x:c r="K107" s="6" t="inlineStr">
        <x:is>
          <x:t xml:space="preserve">تحلیل تاچ‌پوینت‌های آفلاین در سفر خرید مشتری</x:t>
        </x:is>
      </x:c>
      <x:c r="L107" s="6" t="inlineStr">
        <x:is>
          <x:t xml:space="preserve">داخلی</x:t>
        </x:is>
      </x:c>
      <x:c r="M107" s="6" t="inlineStr">
        <x:is>
          <x:t xml:space="preserve">یکتایی شناسه فعالیت</x:t>
        </x:is>
      </x:c>
      <x:c r="N107" s="30" t="str">
        <x:v>FLD-106</x:v>
      </x:c>
      <x:c r="O107" s="30" t="str">
        <x:v>Needs validation</x:v>
      </x:c>
      <x:c r="P107" s="30" t="str">
        <x:v>Yes</x:v>
      </x:c>
      <x:c r="Q107" s="30" t="str">
        <x:v>سیستم CRM دندان‌پزشکی</x:v>
      </x:c>
      <x:c r="R107" s="30" t="str">
        <x:v>dim_or_fact_crm_activity</x:v>
      </x:c>
      <x:c r="S107" s="30" t="str">
        <x:v>نیازمند تکمیل و تأیید مالک</x:v>
      </x:c>
      <x:c r="T107" s="30" t="str">
        <x:v>نیازمند تکمیل و تأیید مالک</x:v>
      </x:c>
      <x:c r="U107" s="30" t="str">
        <x:v>نیازمند تکمیل و تأیید مالک</x:v>
      </x:c>
      <x:c r="V107" s="30" t="str">
        <x:v>نیازمند تکمیل و تأیید مالک</x:v>
      </x:c>
      <x:c r="W107" s="30" t="str">
        <x:v>Data Engineer</x:v>
      </x:c>
      <x:c r="X107" s="30" t="str">
        <x:v>Proposed</x:v>
      </x:c>
    </x:row>
    <x:row r="108">
      <x:c r="A108" s="17" t="inlineStr">
        <x:is>
          <x:t xml:space="preserve">FLD-107</x:t>
        </x:is>
      </x:c>
      <x:c r="B108" s="4" t="inlineStr">
        <x:is>
          <x:t xml:space="preserve">CRM Activity</x:t>
        </x:is>
      </x:c>
      <x:c r="C108" s="4" t="inlineStr">
        <x:is>
          <x:t xml:space="preserve">crm_activity_type</x:t>
        </x:is>
      </x:c>
      <x:c r="D108" s="4" t="inlineStr">
        <x:is>
          <x:t xml:space="preserve">نوع اقدام (ارسال پیش‌فاکتور، جلسه دمو یونیت، پیگیری)</x:t>
        </x:is>
      </x:c>
      <x:c r="E108" s="4" t="inlineStr">
        <x:is>
          <x:t xml:space="preserve">Enum</x:t>
        </x:is>
      </x:c>
      <x:c r="F108" s="4" t="inlineStr">
        <x:is>
          <x:t xml:space="preserve">CRM Activity</x:t>
        </x:is>
      </x:c>
      <x:c r="G108" s="17" t="inlineStr">
        <x:is>
          <x:t xml:space="preserve">اجباری</x:t>
        </x:is>
      </x:c>
      <x:c r="H108" s="4" t="inlineStr">
        <x:is>
          <x:t xml:space="preserve">فرم ثبت رویداد CRM</x:t>
        </x:is>
      </x:c>
      <x:c r="I108" s="4" t="inlineStr">
        <x:is>
          <x:t xml:space="preserve">لحظه‌ای</x:t>
        </x:is>
      </x:c>
      <x:c r="J108" s="4" t="inlineStr">
        <x:is>
          <x:t xml:space="preserve">Dimension</x:t>
        </x:is>
      </x:c>
      <x:c r="K108" s="4" t="inlineStr">
        <x:is>
          <x:t xml:space="preserve">تحلیل تعداد اقدامات لازم برای بستن یک معامله</x:t>
        </x:is>
      </x:c>
      <x:c r="L108" s="4" t="inlineStr">
        <x:is>
          <x:t xml:space="preserve">استاندارد مراحل فروش</x:t>
        </x:is>
      </x:c>
      <x:c r="M108" s="4" t="inlineStr">
        <x:is>
          <x:t xml:space="preserve">انتخاب از مقادیر مجاز از پیش‌تعریف‌شده</x:t>
        </x:is>
      </x:c>
      <x:c r="N108" s="30" t="str">
        <x:v>FLD-107</x:v>
      </x:c>
      <x:c r="O108" s="30" t="str">
        <x:v>No</x:v>
      </x:c>
      <x:c r="P108" s="30" t="str">
        <x:v>Yes</x:v>
      </x:c>
      <x:c r="Q108" s="30" t="str">
        <x:v>فرم ثبت رویداد CRM</x:v>
      </x:c>
      <x:c r="R108" s="30" t="str">
        <x:v>dim_or_fact_crm_activity</x:v>
      </x:c>
      <x:c r="S108" s="30" t="str">
        <x:v>نیازمند تکمیل و تأیید مالک</x:v>
      </x:c>
      <x:c r="T108" s="30" t="str">
        <x:v>نیازمند تکمیل و تأیید مالک</x:v>
      </x:c>
      <x:c r="U108" s="30" t="str">
        <x:v>نیازمند تکمیل و تأیید مالک</x:v>
      </x:c>
      <x:c r="V108" s="30" t="str">
        <x:v>نیازمند تکمیل و تأیید مالک</x:v>
      </x:c>
      <x:c r="W108" s="30" t="str">
        <x:v>Data Engineer</x:v>
      </x:c>
      <x:c r="X108" s="30" t="str">
        <x:v>Proposed</x:v>
      </x:c>
    </x:row>
    <x:row r="109">
      <x:c r="A109" s="19" t="inlineStr">
        <x:is>
          <x:t xml:space="preserve">FLD-108</x:t>
        </x:is>
      </x:c>
      <x:c r="B109" s="6" t="inlineStr">
        <x:is>
          <x:t xml:space="preserve">CRM Activity</x:t>
        </x:is>
      </x:c>
      <x:c r="C109" s="6" t="inlineStr">
        <x:is>
          <x:t xml:space="preserve">crm_deal_stage_outcome</x:t>
        </x:is>
      </x:c>
      <x:c r="D109" s="6" t="inlineStr">
        <x:is>
          <x:t xml:space="preserve">نتیجه تعامل با دندان‌پزشک (موافقت با آفر، تعویق، انصراف)</x:t>
        </x:is>
      </x:c>
      <x:c r="E109" s="6" t="inlineStr">
        <x:is>
          <x:t xml:space="preserve">Enum</x:t>
        </x:is>
      </x:c>
      <x:c r="F109" s="6" t="inlineStr">
        <x:is>
          <x:t xml:space="preserve">CRM Activity</x:t>
        </x:is>
      </x:c>
      <x:c r="G109" s="19" t="inlineStr">
        <x:is>
          <x:t xml:space="preserve">اجباری</x:t>
        </x:is>
      </x:c>
      <x:c r="H109" s="6" t="inlineStr">
        <x:is>
          <x:t xml:space="preserve">فیلد وضعیت معامله CRM</x:t>
        </x:is>
      </x:c>
      <x:c r="I109" s="6" t="inlineStr">
        <x:is>
          <x:t xml:space="preserve">لحظه‌ای</x:t>
        </x:is>
      </x:c>
      <x:c r="J109" s="6" t="inlineStr">
        <x:is>
          <x:t xml:space="preserve">Dimension</x:t>
        </x:is>
      </x:c>
      <x:c r="K109" s="6" t="inlineStr">
        <x:is>
          <x:t xml:space="preserve">عارضه‌یابی علل توقف مذاکرات فروش B2B</x:t>
        </x:is>
      </x:c>
      <x:c r="L109" s="6" t="inlineStr">
        <x:is>
          <x:t xml:space="preserve">داخلی</x:t>
        </x:is>
      </x:c>
      <x:c r="M109" s="6" t="inlineStr">
        <x:is>
          <x:t xml:space="preserve">ثبت اجباری توسط کارشناس در پایان روز</x:t>
        </x:is>
      </x:c>
      <x:c r="N109" s="30" t="str">
        <x:v>FLD-108</x:v>
      </x:c>
      <x:c r="O109" s="30" t="str">
        <x:v>No</x:v>
      </x:c>
      <x:c r="P109" s="30" t="str">
        <x:v>Yes</x:v>
      </x:c>
      <x:c r="Q109" s="30" t="str">
        <x:v>فیلد وضعیت معامله CRM</x:v>
      </x:c>
      <x:c r="R109" s="30" t="str">
        <x:v>dim_or_fact_crm_activity</x:v>
      </x:c>
      <x:c r="S109" s="30" t="str">
        <x:v>نیازمند تکمیل و تأیید مالک</x:v>
      </x:c>
      <x:c r="T109" s="30" t="str">
        <x:v>نیازمند تکمیل و تأیید مالک</x:v>
      </x:c>
      <x:c r="U109" s="30" t="str">
        <x:v>نیازمند تکمیل و تأیید مالک</x:v>
      </x:c>
      <x:c r="V109" s="30" t="str">
        <x:v>نیازمند تکمیل و تأیید مالک</x:v>
      </x:c>
      <x:c r="W109" s="30" t="str">
        <x:v>Data Engineer</x:v>
      </x:c>
      <x:c r="X109" s="30" t="str">
        <x:v>Proposed</x:v>
      </x:c>
    </x:row>
    <x:row r="110">
      <x:c r="A110" s="17" t="inlineStr">
        <x:is>
          <x:t xml:space="preserve">FLD-109</x:t>
        </x:is>
      </x:c>
      <x:c r="B110" s="4" t="inlineStr">
        <x:is>
          <x:t xml:space="preserve">Loyalty Activity</x:t>
        </x:is>
      </x:c>
      <x:c r="C110" s="4" t="inlineStr">
        <x:is>
          <x:t xml:space="preserve">loyalty_transaction_id</x:t>
        </x:is>
      </x:c>
      <x:c r="D110" s="4" t="inlineStr">
        <x:is>
          <x:t xml:space="preserve">شناسه یکتای تراکنش امتیازی در باشگاه مشتریان تیتانا</x:t>
        </x:is>
      </x:c>
      <x:c r="E110" s="4" t="inlineStr">
        <x:is>
          <x:t xml:space="preserve">String</x:t>
        </x:is>
      </x:c>
      <x:c r="F110" s="4" t="inlineStr">
        <x:is>
          <x:t xml:space="preserve">Loyalty Activity</x:t>
        </x:is>
      </x:c>
      <x:c r="G110" s="17" t="inlineStr">
        <x:is>
          <x:t xml:space="preserve">اجباری</x:t>
        </x:is>
      </x:c>
      <x:c r="H110" s="4" t="inlineStr">
        <x:is>
          <x:t xml:space="preserve">سامانه باشگاه مشتریان</x:t>
        </x:is>
      </x:c>
      <x:c r="I110" s="4" t="inlineStr">
        <x:is>
          <x:t xml:space="preserve">بلادرنگ</x:t>
        </x:is>
      </x:c>
      <x:c r="J110" s="4" t="inlineStr">
        <x:is>
          <x:t xml:space="preserve">Primary Key</x:t>
        </x:is>
      </x:c>
      <x:c r="K110" s="4" t="inlineStr">
        <x:is>
          <x:t xml:space="preserve">پایش پاداش‌ها و نرخ بازخرید امتیازات وفاداری</x:t>
        </x:is>
      </x:c>
      <x:c r="L110" s="4" t="inlineStr">
        <x:is>
          <x:t xml:space="preserve">سیستم امتیازدهی</x:t>
        </x:is>
      </x:c>
      <x:c r="M110" s="4" t="inlineStr">
        <x:is>
          <x:t xml:space="preserve">یکتایی در دفترکل امتیازات</x:t>
        </x:is>
      </x:c>
      <x:c r="N110" s="30" t="str">
        <x:v>FLD-109</x:v>
      </x:c>
      <x:c r="O110" s="30" t="str">
        <x:v>Needs validation</x:v>
      </x:c>
      <x:c r="P110" s="30" t="str">
        <x:v>Yes</x:v>
      </x:c>
      <x:c r="Q110" s="30" t="str">
        <x:v>سامانه باشگاه مشتریان</x:v>
      </x:c>
      <x:c r="R110" s="30" t="str">
        <x:v>dim_or_fact_loyalty_activity</x:v>
      </x:c>
      <x:c r="S110" s="30" t="str">
        <x:v>نیازمند تکمیل و تأیید مالک</x:v>
      </x:c>
      <x:c r="T110" s="30" t="str">
        <x:v>نیازمند تکمیل و تأیید مالک</x:v>
      </x:c>
      <x:c r="U110" s="30" t="str">
        <x:v>نیازمند تکمیل و تأیید مالک</x:v>
      </x:c>
      <x:c r="V110" s="30" t="str">
        <x:v>نیازمند تکمیل و تأیید مالک</x:v>
      </x:c>
      <x:c r="W110" s="30" t="str">
        <x:v>Data Engineer</x:v>
      </x:c>
      <x:c r="X110" s="30" t="str">
        <x:v>Proposed</x:v>
      </x:c>
    </x:row>
    <x:row r="111">
      <x:c r="A111" s="19" t="inlineStr">
        <x:is>
          <x:t xml:space="preserve">FLD-110</x:t>
        </x:is>
      </x:c>
      <x:c r="B111" s="6" t="inlineStr">
        <x:is>
          <x:t xml:space="preserve">Loyalty Activity</x:t>
        </x:is>
      </x:c>
      <x:c r="C111" s="6" t="inlineStr">
        <x:is>
          <x:t xml:space="preserve">loyalty_points_earned_burned</x:t>
        </x:is>
      </x:c>
      <x:c r="D111" s="6" t="inlineStr">
        <x:is>
          <x:t xml:space="preserve">تعداد امتیاز دریافتی مثبت یا خرج‌شده منفی دندان‌پزشک</x:t>
        </x:is>
      </x:c>
      <x:c r="E111" s="6" t="inlineStr">
        <x:is>
          <x:t xml:space="preserve">Integer (Signed)</x:t>
        </x:is>
      </x:c>
      <x:c r="F111" s="6" t="inlineStr">
        <x:is>
          <x:t xml:space="preserve">Loyalty Activity</x:t>
        </x:is>
      </x:c>
      <x:c r="G111" s="19" t="inlineStr">
        <x:is>
          <x:t xml:space="preserve">اجباری</x:t>
        </x:is>
      </x:c>
      <x:c r="H111" s="6" t="inlineStr">
        <x:is>
          <x:t xml:space="preserve">موتور قوانین وفاداری</x:t>
        </x:is>
      </x:c>
      <x:c r="I111" s="6" t="inlineStr">
        <x:is>
          <x:t xml:space="preserve">لحظه‌ای</x:t>
        </x:is>
      </x:c>
      <x:c r="J111" s="6" t="inlineStr">
        <x:is>
          <x:t xml:space="preserve">Metric</x:t>
        </x:is>
      </x:c>
      <x:c r="K111" s="6" t="inlineStr">
        <x:is>
          <x:t xml:space="preserve">تحلیل ترغیب به خریدهای مکرر از طریق کش‌بک</x:t>
        </x:is>
      </x:c>
      <x:c r="L111" s="6" t="inlineStr">
        <x:is>
          <x:t xml:space="preserve">عمومی سیستم</x:t>
        </x:is>
      </x:c>
      <x:c r="M111" s="6" t="inlineStr">
        <x:is>
          <x:t xml:space="preserve">تراز دقیق با مانده اعتبار مشتری</x:t>
        </x:is>
      </x:c>
      <x:c r="N111" s="30" t="str">
        <x:v>FLD-110</x:v>
      </x:c>
      <x:c r="O111" s="30" t="str">
        <x:v>No</x:v>
      </x:c>
      <x:c r="P111" s="30" t="str">
        <x:v>Yes</x:v>
      </x:c>
      <x:c r="Q111" s="30" t="str">
        <x:v>موتور قوانین وفاداری</x:v>
      </x:c>
      <x:c r="R111" s="30" t="str">
        <x:v>dim_or_fact_loyalty_activity</x:v>
      </x:c>
      <x:c r="S111" s="30" t="str">
        <x:v>نیازمند تکمیل و تأیید مالک</x:v>
      </x:c>
      <x:c r="T111" s="30" t="str">
        <x:v>نیازمند تکمیل و تأیید مالک</x:v>
      </x:c>
      <x:c r="U111" s="30" t="str">
        <x:v>نیازمند تکمیل و تأیید مالک</x:v>
      </x:c>
      <x:c r="V111" s="30" t="str">
        <x:v>نیازمند تکمیل و تأیید مالک</x:v>
      </x:c>
      <x:c r="W111" s="30" t="str">
        <x:v>Data Engineer</x:v>
      </x:c>
      <x:c r="X111" s="30" t="str">
        <x:v>Proposed</x:v>
      </x:c>
    </x:row>
    <x:row r="112">
      <x:c r="A112" s="17" t="inlineStr">
        <x:is>
          <x:t xml:space="preserve">FLD-111</x:t>
        </x:is>
      </x:c>
      <x:c r="B112" s="4" t="inlineStr">
        <x:is>
          <x:t xml:space="preserve">Loyalty Activity</x:t>
        </x:is>
      </x:c>
      <x:c r="C112" s="4" t="inlineStr">
        <x:is>
          <x:t xml:space="preserve">loyalty_current_tier_level</x:t>
        </x:is>
      </x:c>
      <x:c r="D112" s="4" t="inlineStr">
        <x:is>
          <x:t xml:space="preserve">سطح وفاداری کلینیک (برنزی، نقره‌ای، طلایی، VIP)</x:t>
        </x:is>
      </x:c>
      <x:c r="E112" s="4" t="inlineStr">
        <x:is>
          <x:t xml:space="preserve">Enum</x:t>
        </x:is>
      </x:c>
      <x:c r="F112" s="4" t="inlineStr">
        <x:is>
          <x:t xml:space="preserve">Loyalty Activity</x:t>
        </x:is>
      </x:c>
      <x:c r="G112" s="17" t="inlineStr">
        <x:is>
          <x:t xml:space="preserve">اجباری</x:t>
        </x:is>
      </x:c>
      <x:c r="H112" s="4" t="inlineStr">
        <x:is>
          <x:t xml:space="preserve">الگوریتم محاسباتی باشگاه</x:t>
        </x:is>
      </x:c>
      <x:c r="I112" s="4" t="inlineStr">
        <x:is>
          <x:t xml:space="preserve">ماهانه</x:t>
        </x:is>
      </x:c>
      <x:c r="J112" s="4" t="inlineStr">
        <x:is>
          <x:t xml:space="preserve">Dimension</x:t>
        </x:is>
      </x:c>
      <x:c r="K112" s="4" t="inlineStr">
        <x:is>
          <x:t xml:space="preserve">طراحی آفرها و پروموشن‌های هدفمند وفاداری</x:t>
        </x:is>
      </x:c>
      <x:c r="L112" s="4" t="inlineStr">
        <x:is>
          <x:t xml:space="preserve">عمومی کاربر</x:t>
        </x:is>
      </x:c>
      <x:c r="M112" s="4" t="inlineStr">
        <x:is>
          <x:t xml:space="preserve">اختصاص لول بر اساس سابقه خرید ۱۲ ماهه</x:t>
        </x:is>
      </x:c>
      <x:c r="N112" s="30" t="str">
        <x:v>FLD-111</x:v>
      </x:c>
      <x:c r="O112" s="30" t="str">
        <x:v>No</x:v>
      </x:c>
      <x:c r="P112" s="30" t="str">
        <x:v>Yes</x:v>
      </x:c>
      <x:c r="Q112" s="30" t="str">
        <x:v>الگوریتم محاسباتی باشگاه</x:v>
      </x:c>
      <x:c r="R112" s="30" t="str">
        <x:v>dim_or_fact_loyalty_activity</x:v>
      </x:c>
      <x:c r="S112" s="30" t="str">
        <x:v>نیازمند تکمیل و تأیید مالک</x:v>
      </x:c>
      <x:c r="T112" s="30" t="str">
        <x:v>نیازمند تکمیل و تأیید مالک</x:v>
      </x:c>
      <x:c r="U112" s="30" t="str">
        <x:v>نیازمند تکمیل و تأیید مالک</x:v>
      </x:c>
      <x:c r="V112" s="30" t="str">
        <x:v>نیازمند تکمیل و تأیید مالک</x:v>
      </x:c>
      <x:c r="W112" s="30" t="str">
        <x:v>Data Engineer</x:v>
      </x:c>
      <x:c r="X112" s="30" t="str">
        <x:v>Proposed</x:v>
      </x:c>
    </x:row>
    <x:row r="113">
      <x:c r="A113" s="19" t="inlineStr">
        <x:is>
          <x:t xml:space="preserve">FLD-112</x:t>
        </x:is>
      </x:c>
      <x:c r="B113" s="6" t="inlineStr">
        <x:is>
          <x:t xml:space="preserve">Email/SMS/Push</x:t>
        </x:is>
      </x:c>
      <x:c r="C113" s="6" t="inlineStr">
        <x:is>
          <x:t xml:space="preserve">comm_dispatch_id</x:t>
        </x:is>
      </x:c>
      <x:c r="D113" s="6" t="inlineStr">
        <x:is>
          <x:t xml:space="preserve">شناسه یکتای ارسال پیام (پیامک خدماتی، ایمیل، پوش)</x:t>
        </x:is>
      </x:c>
      <x:c r="E113" s="6" t="inlineStr">
        <x:is>
          <x:t xml:space="preserve">String</x:t>
        </x:is>
      </x:c>
      <x:c r="F113" s="6" t="inlineStr">
        <x:is>
          <x:t xml:space="preserve">Email/SMS/Push</x:t>
        </x:is>
      </x:c>
      <x:c r="G113" s="19" t="inlineStr">
        <x:is>
          <x:t xml:space="preserve">اجباری</x:t>
        </x:is>
      </x:c>
      <x:c r="H113" s="6" t="inlineStr">
        <x:is>
          <x:t xml:space="preserve">وب‌سرویس درگاه پیامک/ارسال</x:t>
        </x:is>
      </x:c>
      <x:c r="I113" s="6" t="inlineStr">
        <x:is>
          <x:t xml:space="preserve">لحظه‌ای</x:t>
        </x:is>
      </x:c>
      <x:c r="J113" s="6" t="inlineStr">
        <x:is>
          <x:t xml:space="preserve">Primary Key</x:t>
        </x:is>
      </x:c>
      <x:c r="K113" s="6" t="inlineStr">
        <x:is>
          <x:t xml:space="preserve">ممیزی هزینه‌های ارسال و محاسبه نرخ بازشدن و کلیک</x:t>
        </x:is>
      </x:c>
      <x:c r="L113" s="6" t="inlineStr">
        <x:is>
          <x:t xml:space="preserve">فنی پنل ارسال</x:t>
        </x:is>
      </x:c>
      <x:c r="M113" s="6" t="inlineStr">
        <x:is>
          <x:t xml:space="preserve">ثبت لاگ تمام پیام‌های ارسالی</x:t>
        </x:is>
      </x:c>
      <x:c r="N113" s="30" t="str">
        <x:v>FLD-112</x:v>
      </x:c>
      <x:c r="O113" s="30" t="str">
        <x:v>Needs validation</x:v>
      </x:c>
      <x:c r="P113" s="30" t="str">
        <x:v>Yes</x:v>
      </x:c>
      <x:c r="Q113" s="30" t="str">
        <x:v>وب‌سرویس درگاه پیامک/ارسال</x:v>
      </x:c>
      <x:c r="R113" s="30" t="str">
        <x:v>dim_or_fact_email/sms/push</x:v>
      </x:c>
      <x:c r="S113" s="30" t="str">
        <x:v>نیازمند تکمیل و تأیید مالک</x:v>
      </x:c>
      <x:c r="T113" s="30" t="str">
        <x:v>نیازمند تکمیل و تأیید مالک</x:v>
      </x:c>
      <x:c r="U113" s="30" t="str">
        <x:v>نیازمند تکمیل و تأیید مالک</x:v>
      </x:c>
      <x:c r="V113" s="30" t="str">
        <x:v>نیازمند تکمیل و تأیید مالک</x:v>
      </x:c>
      <x:c r="W113" s="30" t="str">
        <x:v>Data Engineer</x:v>
      </x:c>
      <x:c r="X113" s="30" t="str">
        <x:v>Proposed</x:v>
      </x:c>
    </x:row>
    <x:row r="114">
      <x:c r="A114" s="17" t="inlineStr">
        <x:is>
          <x:t xml:space="preserve">FLD-113</x:t>
        </x:is>
      </x:c>
      <x:c r="B114" s="4" t="inlineStr">
        <x:is>
          <x:t xml:space="preserve">Email/SMS/Push</x:t>
        </x:is>
      </x:c>
      <x:c r="C114" s="4" t="inlineStr">
        <x:is>
          <x:t xml:space="preserve">comm_channel_medium</x:t>
        </x:is>
      </x:c>
      <x:c r="D114" s="4" t="inlineStr">
        <x:is>
          <x:t xml:space="preserve">بستر ارتباطی ارسال پیام (SMS, Email, WebPush)</x:t>
        </x:is>
      </x:c>
      <x:c r="E114" s="4" t="inlineStr">
        <x:is>
          <x:t xml:space="preserve">Enum</x:t>
        </x:is>
      </x:c>
      <x:c r="F114" s="4" t="inlineStr">
        <x:is>
          <x:t xml:space="preserve">Email/SMS/Push</x:t>
        </x:is>
      </x:c>
      <x:c r="G114" s="17" t="inlineStr">
        <x:is>
          <x:t xml:space="preserve">اجباری</x:t>
        </x:is>
      </x:c>
      <x:c r="H114" s="4" t="inlineStr">
        <x:is>
          <x:t xml:space="preserve">سیستم اتوماسیون مارکتینگ</x:t>
        </x:is>
      </x:c>
      <x:c r="I114" s="4" t="inlineStr">
        <x:is>
          <x:t xml:space="preserve">لحظه‌ای</x:t>
        </x:is>
      </x:c>
      <x:c r="J114" s="4" t="inlineStr">
        <x:is>
          <x:t xml:space="preserve">Dimension</x:t>
        </x:is>
      </x:c>
      <x:c r="K114" s="4" t="inlineStr">
        <x:is>
          <x:t xml:space="preserve">مقایسه نرخ اثربخشی پیامک در برابر ایمیل تخصصی</x:t>
        </x:is>
      </x:c>
      <x:c r="L114" s="4" t="inlineStr">
        <x:is>
          <x:t xml:space="preserve">عمومی ارتباطات</x:t>
        </x:is>
      </x:c>
      <x:c r="M114" s="4" t="inlineStr">
        <x:is>
          <x:t xml:space="preserve">فقط کانال‌های معتبر تعریف‌شده</x:t>
        </x:is>
      </x:c>
      <x:c r="N114" s="30" t="str">
        <x:v>FLD-113</x:v>
      </x:c>
      <x:c r="O114" s="30" t="str">
        <x:v>No</x:v>
      </x:c>
      <x:c r="P114" s="30" t="str">
        <x:v>Yes</x:v>
      </x:c>
      <x:c r="Q114" s="30" t="str">
        <x:v>سیستم اتوماسیون مارکتینگ</x:v>
      </x:c>
      <x:c r="R114" s="30" t="str">
        <x:v>dim_or_fact_email/sms/push</x:v>
      </x:c>
      <x:c r="S114" s="30" t="str">
        <x:v>نیازمند تکمیل و تأیید مالک</x:v>
      </x:c>
      <x:c r="T114" s="30" t="str">
        <x:v>نیازمند تکمیل و تأیید مالک</x:v>
      </x:c>
      <x:c r="U114" s="30" t="str">
        <x:v>نیازمند تکمیل و تأیید مالک</x:v>
      </x:c>
      <x:c r="V114" s="30" t="str">
        <x:v>نیازمند تکمیل و تأیید مالک</x:v>
      </x:c>
      <x:c r="W114" s="30" t="str">
        <x:v>Data Engineer</x:v>
      </x:c>
      <x:c r="X114" s="30" t="str">
        <x:v>Proposed</x:v>
      </x:c>
    </x:row>
    <x:row r="115">
      <x:c r="A115" s="19" t="inlineStr">
        <x:is>
          <x:t xml:space="preserve">FLD-114</x:t>
        </x:is>
      </x:c>
      <x:c r="B115" s="6" t="inlineStr">
        <x:is>
          <x:t xml:space="preserve">Email/SMS/Push</x:t>
        </x:is>
      </x:c>
      <x:c r="C115" s="6" t="inlineStr">
        <x:is>
          <x:t xml:space="preserve">comm_delivery_status</x:t>
        </x:is>
      </x:c>
      <x:c r="D115" s="6" t="inlineStr">
        <x:is>
          <x:t xml:space="preserve">وضعیت رسیدن پیام به گوشی دندان‌پزشک (Delivered, Blacklist)</x:t>
        </x:is>
      </x:c>
      <x:c r="E115" s="6" t="inlineStr">
        <x:is>
          <x:t xml:space="preserve">Enum</x:t>
        </x:is>
      </x:c>
      <x:c r="F115" s="6" t="inlineStr">
        <x:is>
          <x:t xml:space="preserve">Email/SMS/Push</x:t>
        </x:is>
      </x:c>
      <x:c r="G115" s="19" t="inlineStr">
        <x:is>
          <x:t xml:space="preserve">اجباری</x:t>
        </x:is>
      </x:c>
      <x:c r="H115" s="6" t="inlineStr">
        <x:is>
          <x:t xml:space="preserve">گزارش بازگشتی مخابرات</x:t>
        </x:is>
      </x:c>
      <x:c r="I115" s="6" t="inlineStr">
        <x:is>
          <x:t xml:space="preserve">۱۰ دقیقه بعد ارسال</x:t>
        </x:is>
      </x:c>
      <x:c r="J115" s="6" t="inlineStr">
        <x:is>
          <x:t xml:space="preserve">Dimension</x:t>
        </x:is>
      </x:c>
      <x:c r="K115" s="6" t="inlineStr">
        <x:is>
          <x:t xml:space="preserve">ممیزی بلک‌لیست مخابراتی پزشکان و پاک‌سازی شماره‌ها</x:t>
        </x:is>
      </x:c>
      <x:c r="L115" s="6" t="inlineStr">
        <x:is>
          <x:t xml:space="preserve">داده مخابراتی</x:t>
        </x:is>
      </x:c>
      <x:c r="M115" s="6" t="inlineStr">
        <x:is>
          <x:t xml:space="preserve">ثبت دقیق کدهای خطای تحویل مخابرات</x:t>
        </x:is>
      </x:c>
      <x:c r="N115" s="30" t="str">
        <x:v>FLD-114</x:v>
      </x:c>
      <x:c r="O115" s="30" t="str">
        <x:v>No</x:v>
      </x:c>
      <x:c r="P115" s="30" t="str">
        <x:v>Yes</x:v>
      </x:c>
      <x:c r="Q115" s="30" t="str">
        <x:v>گزارش بازگشتی مخابرات</x:v>
      </x:c>
      <x:c r="R115" s="30" t="str">
        <x:v>dim_or_fact_email/sms/push</x:v>
      </x:c>
      <x:c r="S115" s="30" t="str">
        <x:v>نیازمند تکمیل و تأیید مالک</x:v>
      </x:c>
      <x:c r="T115" s="30" t="str">
        <x:v>نیازمند تکمیل و تأیید مالک</x:v>
      </x:c>
      <x:c r="U115" s="30" t="str">
        <x:v>نیازمند تکمیل و تأیید مالک</x:v>
      </x:c>
      <x:c r="V115" s="30" t="str">
        <x:v>نیازمند تکمیل و تأیید مالک</x:v>
      </x:c>
      <x:c r="W115" s="30" t="str">
        <x:v>Data Engineer</x:v>
      </x:c>
      <x:c r="X115" s="30" t="str">
        <x:v>Proposed</x:v>
      </x:c>
    </x:row>
    <x:row r="116">
      <x:c r="A116" s="17" t="inlineStr">
        <x:is>
          <x:t xml:space="preserve">FLD-115</x:t>
        </x:is>
      </x:c>
      <x:c r="B116" s="4" t="inlineStr">
        <x:is>
          <x:t xml:space="preserve">Email/SMS/Push</x:t>
        </x:is>
      </x:c>
      <x:c r="C116" s="4" t="inlineStr">
        <x:is>
          <x:t xml:space="preserve">comm_message_clicked_flag</x:t>
        </x:is>
      </x:c>
      <x:c r="D116" s="4" t="inlineStr">
        <x:is>
          <x:t xml:space="preserve">آیا لینک کوتاه اختصاصی پیام توسط مخاطب کلیک شد؟</x:t>
        </x:is>
      </x:c>
      <x:c r="E116" s="4" t="inlineStr">
        <x:is>
          <x:t xml:space="preserve">Boolean</x:t>
        </x:is>
      </x:c>
      <x:c r="F116" s="4" t="inlineStr">
        <x:is>
          <x:t xml:space="preserve">Email/SMS/Push</x:t>
        </x:is>
      </x:c>
      <x:c r="G116" s="17" t="inlineStr">
        <x:is>
          <x:t xml:space="preserve">اجباری</x:t>
        </x:is>
      </x:c>
      <x:c r="H116" s="4" t="inlineStr">
        <x:is>
          <x:t xml:space="preserve">سامانه کوتاه‌کننده لینک اختصاصی</x:t>
        </x:is>
      </x:c>
      <x:c r="I116" s="4" t="inlineStr">
        <x:is>
          <x:t xml:space="preserve">لحظه‌ای</x:t>
        </x:is>
      </x:c>
      <x:c r="J116" s="4" t="inlineStr">
        <x:is>
          <x:t xml:space="preserve">Metric / Flag</x:t>
        </x:is>
      </x:c>
      <x:c r="K116" s="4" t="inlineStr">
        <x:is>
          <x:t xml:space="preserve">اندازه‌گیری CTR پیامک‌های یادآوری شارژ مواد</x:t>
        </x:is>
      </x:c>
      <x:c r="L116" s="4" t="inlineStr">
        <x:is>
          <x:t xml:space="preserve">فنی</x:t>
        </x:is>
      </x:c>
      <x:c r="M116" s="4" t="inlineStr">
        <x:is>
          <x:t xml:space="preserve">مقدار باینری ۰ یا ۱</x:t>
        </x:is>
      </x:c>
      <x:c r="N116" s="30" t="str">
        <x:v>FLD-115</x:v>
      </x:c>
      <x:c r="O116" s="30" t="str">
        <x:v>No</x:v>
      </x:c>
      <x:c r="P116" s="30" t="str">
        <x:v>Yes</x:v>
      </x:c>
      <x:c r="Q116" s="30" t="str">
        <x:v>سامانه کوتاه‌کننده لینک اختصاصی</x:v>
      </x:c>
      <x:c r="R116" s="30" t="str">
        <x:v>dim_or_fact_email/sms/push</x:v>
      </x:c>
      <x:c r="S116" s="30" t="str">
        <x:v>نیازمند تکمیل و تأیید مالک</x:v>
      </x:c>
      <x:c r="T116" s="30" t="str">
        <x:v>نیازمند تکمیل و تأیید مالک</x:v>
      </x:c>
      <x:c r="U116" s="30" t="str">
        <x:v>نیازمند تکمیل و تأیید مالک</x:v>
      </x:c>
      <x:c r="V116" s="30" t="str">
        <x:v>نیازمند تکمیل و تأیید مالک</x:v>
      </x:c>
      <x:c r="W116" s="30" t="str">
        <x:v>Data Engineer</x:v>
      </x:c>
      <x:c r="X116" s="30" t="str">
        <x:v>Proposed</x:v>
      </x:c>
    </x:row>
    <x:row r="117">
      <x:c r="A117" s="19" t="inlineStr">
        <x:is>
          <x:t xml:space="preserve">FLD-116</x:t>
        </x:is>
      </x:c>
      <x:c r="B117" s="6" t="inlineStr">
        <x:is>
          <x:t xml:space="preserve">Influencer</x:t>
        </x:is>
      </x:c>
      <x:c r="C117" s="6" t="inlineStr">
        <x:is>
          <x:t xml:space="preserve">influencer_partner_id</x:t>
        </x:is>
      </x:c>
      <x:c r="D117" s="6" t="inlineStr">
        <x:is>
          <x:t xml:space="preserve">کد شناسایی دندان‌پزشک کی‌اوپل یا استاد همکار برند</x:t>
        </x:is>
      </x:c>
      <x:c r="E117" s="6" t="inlineStr">
        <x:is>
          <x:t xml:space="preserve">String</x:t>
        </x:is>
      </x:c>
      <x:c r="F117" s="6" t="inlineStr">
        <x:is>
          <x:t xml:space="preserve">Influencer</x:t>
        </x:is>
      </x:c>
      <x:c r="G117" s="19" t="inlineStr">
        <x:is>
          <x:t xml:space="preserve">اجباری</x:t>
        </x:is>
      </x:c>
      <x:c r="H117" s="6" t="inlineStr">
        <x:is>
          <x:t xml:space="preserve">قراردادهای اینفلوئنسر مارکتینگ</x:t>
        </x:is>
      </x:c>
      <x:c r="I117" s="6" t="inlineStr">
        <x:is>
          <x:t xml:space="preserve">ماهانه</x:t>
        </x:is>
      </x:c>
      <x:c r="J117" s="6" t="inlineStr">
        <x:is>
          <x:t xml:space="preserve">Primary Key</x:t>
        </x:is>
      </x:c>
      <x:c r="K117" s="6" t="inlineStr">
        <x:is>
          <x:t xml:space="preserve">سنجش اثربخشی و بازگشت سرمایه تبلیغات همکاران</x:t>
        </x:is>
      </x:c>
      <x:c r="L117" s="6" t="inlineStr">
        <x:is>
          <x:t xml:space="preserve">هویت حقوقی/مالی همکار</x:t>
        </x:is>
      </x:c>
      <x:c r="M117" s="6" t="inlineStr">
        <x:is>
          <x:t xml:space="preserve">یکتایی شناسه اینفلوئنسر</x:t>
        </x:is>
      </x:c>
      <x:c r="N117" s="30" t="str">
        <x:v>FLD-116</x:v>
      </x:c>
      <x:c r="O117" s="30" t="str">
        <x:v>Needs validation</x:v>
      </x:c>
      <x:c r="P117" s="30" t="str">
        <x:v>Yes</x:v>
      </x:c>
      <x:c r="Q117" s="30" t="str">
        <x:v>قراردادهای اینفلوئنسر مارکتینگ</x:v>
      </x:c>
      <x:c r="R117" s="30" t="str">
        <x:v>dim_or_fact_influencer</x:v>
      </x:c>
      <x:c r="S117" s="30" t="str">
        <x:v>نیازمند تکمیل و تأیید مالک</x:v>
      </x:c>
      <x:c r="T117" s="30" t="str">
        <x:v>نیازمند تکمیل و تأیید مالک</x:v>
      </x:c>
      <x:c r="U117" s="30" t="str">
        <x:v>نیازمند تکمیل و تأیید مالک</x:v>
      </x:c>
      <x:c r="V117" s="30" t="str">
        <x:v>نیازمند تکمیل و تأیید مالک</x:v>
      </x:c>
      <x:c r="W117" s="30" t="str">
        <x:v>Data Engineer</x:v>
      </x:c>
      <x:c r="X117" s="30" t="str">
        <x:v>Proposed</x:v>
      </x:c>
    </x:row>
    <x:row r="118">
      <x:c r="A118" s="17" t="inlineStr">
        <x:is>
          <x:t xml:space="preserve">FLD-117</x:t>
        </x:is>
      </x:c>
      <x:c r="B118" s="4" t="inlineStr">
        <x:is>
          <x:t xml:space="preserve">Influencer</x:t>
        </x:is>
      </x:c>
      <x:c r="C118" s="4" t="inlineStr">
        <x:is>
          <x:t xml:space="preserve">influencer_allocated_promo_code</x:t>
        </x:is>
      </x:c>
      <x:c r="D118" s="4" t="inlineStr">
        <x:is>
          <x:t xml:space="preserve">کد تخفیف انحصاری ارائه‌شده توسط چهره علمی در پیج</x:t>
        </x:is>
      </x:c>
      <x:c r="E118" s="4" t="inlineStr">
        <x:is>
          <x:t xml:space="preserve">String</x:t>
        </x:is>
      </x:c>
      <x:c r="F118" s="4" t="inlineStr">
        <x:is>
          <x:t xml:space="preserve">Influencer</x:t>
        </x:is>
      </x:c>
      <x:c r="G118" s="17" t="inlineStr">
        <x:is>
          <x:t xml:space="preserve">اجباری</x:t>
        </x:is>
      </x:c>
      <x:c r="H118" s="4" t="inlineStr">
        <x:is>
          <x:t xml:space="preserve">کمپین منیجر تیتانا</x:t>
        </x:is>
      </x:c>
      <x:c r="I118" s="4" t="inlineStr">
        <x:is>
          <x:t xml:space="preserve">در هر همکاری</x:t>
        </x:is>
      </x:c>
      <x:c r="J118" s="4" t="inlineStr">
        <x:is>
          <x:t xml:space="preserve">Unique Key</x:t>
        </x:is>
      </x:c>
      <x:c r="K118" s="4" t="inlineStr">
        <x:is>
          <x:t xml:space="preserve">انتساب ۱۰۰٪ سفارش‌های جذب‌شده به فرد معرف</x:t>
        </x:is>
      </x:c>
      <x:c r="L118" s="4" t="inlineStr">
        <x:is>
          <x:t xml:space="preserve">عمومی مارکت</x:t>
        </x:is>
      </x:c>
      <x:c r="M118" s="4" t="inlineStr">
        <x:is>
          <x:t xml:space="preserve">عدم تداخل با کدهای مناسبتی عمومی</x:t>
        </x:is>
      </x:c>
      <x:c r="N118" s="30" t="str">
        <x:v>FLD-117</x:v>
      </x:c>
      <x:c r="O118" s="30" t="str">
        <x:v>No</x:v>
      </x:c>
      <x:c r="P118" s="30" t="str">
        <x:v>Yes</x:v>
      </x:c>
      <x:c r="Q118" s="30" t="str">
        <x:v>کمپین منیجر تیتانا</x:v>
      </x:c>
      <x:c r="R118" s="30" t="str">
        <x:v>dim_or_fact_influencer</x:v>
      </x:c>
      <x:c r="S118" s="30" t="str">
        <x:v>نیازمند تکمیل و تأیید مالک</x:v>
      </x:c>
      <x:c r="T118" s="30" t="str">
        <x:v>نیازمند تکمیل و تأیید مالک</x:v>
      </x:c>
      <x:c r="U118" s="30" t="str">
        <x:v>نیازمند تکمیل و تأیید مالک</x:v>
      </x:c>
      <x:c r="V118" s="30" t="str">
        <x:v>نیازمند تکمیل و تأیید مالک</x:v>
      </x:c>
      <x:c r="W118" s="30" t="str">
        <x:v>Data Engineer</x:v>
      </x:c>
      <x:c r="X118" s="30" t="str">
        <x:v>Proposed</x:v>
      </x:c>
    </x:row>
    <x:row r="119">
      <x:c r="A119" s="19" t="inlineStr">
        <x:is>
          <x:t xml:space="preserve">FLD-118</x:t>
        </x:is>
      </x:c>
      <x:c r="B119" s="6" t="inlineStr">
        <x:is>
          <x:t xml:space="preserve">Influencer</x:t>
        </x:is>
      </x:c>
      <x:c r="C119" s="6" t="inlineStr">
        <x:is>
          <x:t xml:space="preserve">influencer_sponsorship_cost</x:t>
        </x:is>
      </x:c>
      <x:c r="D119" s="6" t="inlineStr">
        <x:is>
          <x:t xml:space="preserve">کل هزینه ریالی پرداختی بابت تولید و نشر ویدیو/استوری</x:t>
        </x:is>
      </x:c>
      <x:c r="E119" s="6" t="inlineStr">
        <x:is>
          <x:t xml:space="preserve">Decimal (IRR)</x:t>
        </x:is>
      </x:c>
      <x:c r="F119" s="6" t="inlineStr">
        <x:is>
          <x:t xml:space="preserve">Influencer</x:t>
        </x:is>
      </x:c>
      <x:c r="G119" s="19" t="inlineStr">
        <x:is>
          <x:t xml:space="preserve">اجباری</x:t>
        </x:is>
      </x:c>
      <x:c r="H119" s="6" t="inlineStr">
        <x:is>
          <x:t xml:space="preserve">اسناد امور مالی مارکتینگ</x:t>
        </x:is>
      </x:c>
      <x:c r="I119" s="6" t="inlineStr">
        <x:is>
          <x:t xml:space="preserve">در هر قرارداد</x:t>
        </x:is>
      </x:c>
      <x:c r="J119" s="6" t="inlineStr">
        <x:is>
          <x:t xml:space="preserve">Metric (Cost)</x:t>
        </x:is>
      </x:c>
      <x:c r="K119" s="6" t="inlineStr">
        <x:is>
          <x:t xml:space="preserve">محاسبه CAC و ROAS دقیق کمپین‌های اینفلوئنسری</x:t>
        </x:is>
      </x:c>
      <x:c r="L119" s="6" t="inlineStr">
        <x:is>
          <x:t xml:space="preserve">محرمانه قراردادهای تجاری</x:t>
        </x:is>
      </x:c>
      <x:c r="M119" s="6" t="inlineStr">
        <x:is>
          <x:t xml:space="preserve">ثبت هزینه ناخالص با احتساب هدایا</x:t>
        </x:is>
      </x:c>
      <x:c r="N119" s="30" t="str">
        <x:v>FLD-118</x:v>
      </x:c>
      <x:c r="O119" s="30" t="str">
        <x:v>No</x:v>
      </x:c>
      <x:c r="P119" s="30" t="str">
        <x:v>Yes</x:v>
      </x:c>
      <x:c r="Q119" s="30" t="str">
        <x:v>اسناد امور مالی مارکتینگ</x:v>
      </x:c>
      <x:c r="R119" s="30" t="str">
        <x:v>dim_or_fact_influencer</x:v>
      </x:c>
      <x:c r="S119" s="30" t="str">
        <x:v>نیازمند تکمیل و تأیید مالک</x:v>
      </x:c>
      <x:c r="T119" s="30" t="str">
        <x:v>نیازمند تکمیل و تأیید مالک</x:v>
      </x:c>
      <x:c r="U119" s="30" t="str">
        <x:v>نیازمند تکمیل و تأیید مالک</x:v>
      </x:c>
      <x:c r="V119" s="30" t="str">
        <x:v>نیازمند تکمیل و تأیید مالک</x:v>
      </x:c>
      <x:c r="W119" s="30" t="str">
        <x:v>Data Engineer</x:v>
      </x:c>
      <x:c r="X119" s="30" t="str">
        <x:v>Proposed</x:v>
      </x:c>
    </x:row>
    <x:row r="120">
      <x:c r="A120" s="17" t="inlineStr">
        <x:is>
          <x:t xml:space="preserve">FLD-119</x:t>
        </x:is>
      </x:c>
      <x:c r="B120" s="4" t="inlineStr">
        <x:is>
          <x:t xml:space="preserve">Affiliate</x:t>
        </x:is>
      </x:c>
      <x:c r="C120" s="4" t="inlineStr">
        <x:is>
          <x:t xml:space="preserve">affiliate_partner_id</x:t>
        </x:is>
      </x:c>
      <x:c r="D120" s="4" t="inlineStr">
        <x:is>
          <x:t xml:space="preserve">شناسه یکتای همکار فروش یا معرفی‌کننده کلینیکی</x:t>
        </x:is>
      </x:c>
      <x:c r="E120" s="4" t="inlineStr">
        <x:is>
          <x:t xml:space="preserve">String</x:t>
        </x:is>
      </x:c>
      <x:c r="F120" s="4" t="inlineStr">
        <x:is>
          <x:t xml:space="preserve">Affiliate</x:t>
        </x:is>
      </x:c>
      <x:c r="G120" s="17" t="inlineStr">
        <x:is>
          <x:t xml:space="preserve">اجباری</x:t>
        </x:is>
      </x:c>
      <x:c r="H120" s="4" t="inlineStr">
        <x:is>
          <x:t xml:space="preserve">ماژول افیلیت مارکتینگ</x:t>
        </x:is>
      </x:c>
      <x:c r="I120" s="4" t="inlineStr">
        <x:is>
          <x:t xml:space="preserve">ماهانه</x:t>
        </x:is>
      </x:c>
      <x:c r="J120" s="4" t="inlineStr">
        <x:is>
          <x:t xml:space="preserve">Primary Key</x:t>
        </x:is>
      </x:c>
      <x:c r="K120" s="4" t="inlineStr">
        <x:is>
          <x:t xml:space="preserve">ردیابی شبکه فروشندگان واسطه و کلینیک‌های معرف</x:t>
        </x:is>
      </x:c>
      <x:c r="L120" s="4" t="inlineStr">
        <x:is>
          <x:t xml:space="preserve">داده شرکای تجاری</x:t>
        </x:is>
      </x:c>
      <x:c r="M120" s="4" t="inlineStr">
        <x:is>
          <x:t xml:space="preserve">کدهای معتبر فعال سامانه افیلیت</x:t>
        </x:is>
      </x:c>
      <x:c r="N120" s="30" t="str">
        <x:v>FLD-119</x:v>
      </x:c>
      <x:c r="O120" s="30" t="str">
        <x:v>Needs validation</x:v>
      </x:c>
      <x:c r="P120" s="30" t="str">
        <x:v>Yes</x:v>
      </x:c>
      <x:c r="Q120" s="30" t="str">
        <x:v>ماژول افیلیت مارکتینگ</x:v>
      </x:c>
      <x:c r="R120" s="30" t="str">
        <x:v>dim_or_fact_affiliate</x:v>
      </x:c>
      <x:c r="S120" s="30" t="str">
        <x:v>نیازمند تکمیل و تأیید مالک</x:v>
      </x:c>
      <x:c r="T120" s="30" t="str">
        <x:v>نیازمند تکمیل و تأیید مالک</x:v>
      </x:c>
      <x:c r="U120" s="30" t="str">
        <x:v>نیازمند تکمیل و تأیید مالک</x:v>
      </x:c>
      <x:c r="V120" s="30" t="str">
        <x:v>نیازمند تکمیل و تأیید مالک</x:v>
      </x:c>
      <x:c r="W120" s="30" t="str">
        <x:v>Data Engineer</x:v>
      </x:c>
      <x:c r="X120" s="30" t="str">
        <x:v>Proposed</x:v>
      </x:c>
    </x:row>
    <x:row r="121">
      <x:c r="A121" s="19" t="inlineStr">
        <x:is>
          <x:t xml:space="preserve">FLD-120</x:t>
        </x:is>
      </x:c>
      <x:c r="B121" s="6" t="inlineStr">
        <x:is>
          <x:t xml:space="preserve">Affiliate</x:t>
        </x:is>
      </x:c>
      <x:c r="C121" s="6" t="inlineStr">
        <x:is>
          <x:t xml:space="preserve">affiliate_commission_rate</x:t>
        </x:is>
      </x:c>
      <x:c r="D121" s="6" t="inlineStr">
        <x:is>
          <x:t xml:space="preserve">درصد یا مبلغ پورسانت ثابت به ازای هر خرید معرفی‌شده</x:t>
        </x:is>
      </x:c>
      <x:c r="E121" s="6" t="inlineStr">
        <x:is>
          <x:t xml:space="preserve">Decimal</x:t>
        </x:is>
      </x:c>
      <x:c r="F121" s="6" t="inlineStr">
        <x:is>
          <x:t xml:space="preserve">Affiliate</x:t>
        </x:is>
      </x:c>
      <x:c r="G121" s="19" t="inlineStr">
        <x:is>
          <x:t xml:space="preserve">اجباری</x:t>
        </x:is>
      </x:c>
      <x:c r="H121" s="6" t="inlineStr">
        <x:is>
          <x:t xml:space="preserve">قرارداد همکاری بازاریابی</x:t>
        </x:is>
      </x:c>
      <x:c r="I121" s="6" t="inlineStr">
        <x:is>
          <x:t xml:space="preserve">فصلی</x:t>
        </x:is>
      </x:c>
      <x:c r="J121" s="6" t="inlineStr">
        <x:is>
          <x:t xml:space="preserve">Dimension</x:t>
        </x:is>
      </x:c>
      <x:c r="K121" s="6" t="inlineStr">
        <x:is>
          <x:t xml:space="preserve">محاسبه هزینه‌های وابسته به فروش در Contribution Margin</x:t>
        </x:is>
      </x:c>
      <x:c r="L121" s="6" t="inlineStr">
        <x:is>
          <x:t xml:space="preserve">محرمانه توافق تجاری</x:t>
        </x:is>
      </x:c>
      <x:c r="M121" s="6" t="inlineStr">
        <x:is>
          <x:t xml:space="preserve">درصدهای استاندارد بین ۲ تا ۸ درصد</x:t>
        </x:is>
      </x:c>
      <x:c r="N121" s="30" t="str">
        <x:v>FLD-120</x:v>
      </x:c>
      <x:c r="O121" s="30" t="str">
        <x:v>No</x:v>
      </x:c>
      <x:c r="P121" s="30" t="str">
        <x:v>Yes</x:v>
      </x:c>
      <x:c r="Q121" s="30" t="str">
        <x:v>قرارداد همکاری بازاریابی</x:v>
      </x:c>
      <x:c r="R121" s="30" t="str">
        <x:v>dim_or_fact_affiliate</x:v>
      </x:c>
      <x:c r="S121" s="30" t="str">
        <x:v>نیازمند تکمیل و تأیید مالک</x:v>
      </x:c>
      <x:c r="T121" s="30" t="str">
        <x:v>نیازمند تکمیل و تأیید مالک</x:v>
      </x:c>
      <x:c r="U121" s="30" t="str">
        <x:v>نیازمند تکمیل و تأیید مالک</x:v>
      </x:c>
      <x:c r="V121" s="30" t="str">
        <x:v>نیازمند تکمیل و تأیید مالک</x:v>
      </x:c>
      <x:c r="W121" s="30" t="str">
        <x:v>Data Engineer</x:v>
      </x:c>
      <x:c r="X121" s="30" t="str">
        <x:v>Proposed</x:v>
      </x:c>
    </x:row>
    <x:row r="122">
      <x:c r="A122" s="17" t="inlineStr">
        <x:is>
          <x:t xml:space="preserve">FLD-121</x:t>
        </x:is>
      </x:c>
      <x:c r="B122" s="4" t="inlineStr">
        <x:is>
          <x:t xml:space="preserve">Experiment</x:t>
        </x:is>
      </x:c>
      <x:c r="C122" s="4" t="inlineStr">
        <x:is>
          <x:t xml:space="preserve">experiment_test_id</x:t>
        </x:is>
      </x:c>
      <x:c r="D122" s="4" t="inlineStr">
        <x:is>
          <x:t xml:space="preserve">شناسه راندمان اجرای تست آزمایشگاهی یا بهینه‌سازی (A/B)</x:t>
        </x:is>
      </x:c>
      <x:c r="E122" s="4" t="inlineStr">
        <x:is>
          <x:t xml:space="preserve">String</x:t>
        </x:is>
      </x:c>
      <x:c r="F122" s="4" t="inlineStr">
        <x:is>
          <x:t xml:space="preserve">Experiment</x:t>
        </x:is>
      </x:c>
      <x:c r="G122" s="17" t="inlineStr">
        <x:is>
          <x:t xml:space="preserve">اجباری</x:t>
        </x:is>
      </x:c>
      <x:c r="H122" s="4" t="inlineStr">
        <x:is>
          <x:t xml:space="preserve">پلتفرم تست / PostHog</x:t>
        </x:is>
      </x:c>
      <x:c r="I122" s="4" t="inlineStr">
        <x:is>
          <x:t xml:space="preserve">در هر تست</x:t>
        </x:is>
      </x:c>
      <x:c r="J122" s="4" t="inlineStr">
        <x:is>
          <x:t xml:space="preserve">Primary Key</x:t>
        </x:is>
      </x:c>
      <x:c r="K122" s="4" t="inlineStr">
        <x:is>
          <x:t xml:space="preserve">پایش تغییرات ساختاری فرانت، لندینگ‌ها یا مزایده‌ها</x:t>
        </x:is>
      </x:c>
      <x:c r="L122" s="4" t="inlineStr">
        <x:is>
          <x:t xml:space="preserve">فنی تست</x:t>
        </x:is>
      </x:c>
      <x:c r="M122" s="4" t="inlineStr">
        <x:is>
          <x:t xml:space="preserve">تفکیک آزمایش‌های موازی</x:t>
        </x:is>
      </x:c>
      <x:c r="N122" s="30" t="str">
        <x:v>FLD-121</x:v>
      </x:c>
      <x:c r="O122" s="30" t="str">
        <x:v>Needs validation</x:v>
      </x:c>
      <x:c r="P122" s="30" t="str">
        <x:v>Yes</x:v>
      </x:c>
      <x:c r="Q122" s="30" t="str">
        <x:v>پلتفرم تست / PostHog</x:v>
      </x:c>
      <x:c r="R122" s="30" t="str">
        <x:v>dim_or_fact_experiment</x:v>
      </x:c>
      <x:c r="S122" s="30" t="str">
        <x:v>نیازمند تکمیل و تأیید مالک</x:v>
      </x:c>
      <x:c r="T122" s="30" t="str">
        <x:v>نیازمند تکمیل و تأیید مالک</x:v>
      </x:c>
      <x:c r="U122" s="30" t="str">
        <x:v>نیازمند تکمیل و تأیید مالک</x:v>
      </x:c>
      <x:c r="V122" s="30" t="str">
        <x:v>نیازمند تکمیل و تأیید مالک</x:v>
      </x:c>
      <x:c r="W122" s="30" t="str">
        <x:v>Data Engineer</x:v>
      </x:c>
      <x:c r="X122" s="30" t="str">
        <x:v>Proposed</x:v>
      </x:c>
    </x:row>
    <x:row r="123">
      <x:c r="A123" s="19" t="inlineStr">
        <x:is>
          <x:t xml:space="preserve">FLD-122</x:t>
        </x:is>
      </x:c>
      <x:c r="B123" s="6" t="inlineStr">
        <x:is>
          <x:t xml:space="preserve">Experiment</x:t>
        </x:is>
      </x:c>
      <x:c r="C123" s="6" t="inlineStr">
        <x:is>
          <x:t xml:space="preserve">experiment_variant_bucket</x:t>
        </x:is>
      </x:c>
      <x:c r="D123" s="6" t="inlineStr">
        <x:is>
          <x:t xml:space="preserve">گروه کاربر در تست (Control, Variant_A, Variant_B)</x:t>
        </x:is>
      </x:c>
      <x:c r="E123" s="6" t="inlineStr">
        <x:is>
          <x:t xml:space="preserve">Enum</x:t>
        </x:is>
      </x:c>
      <x:c r="F123" s="6" t="inlineStr">
        <x:is>
          <x:t xml:space="preserve">Experiment</x:t>
        </x:is>
      </x:c>
      <x:c r="G123" s="19" t="inlineStr">
        <x:is>
          <x:t xml:space="preserve">اجباری</x:t>
        </x:is>
      </x:c>
      <x:c r="H123" s="6" t="inlineStr">
        <x:is>
          <x:t xml:space="preserve">کوکی توزیع ترافیک آزمایش</x:t>
        </x:is>
      </x:c>
      <x:c r="I123" s="6" t="inlineStr">
        <x:is>
          <x:t xml:space="preserve">لحظه‌ای</x:t>
        </x:is>
      </x:c>
      <x:c r="J123" s="6" t="inlineStr">
        <x:is>
          <x:t xml:space="preserve">Dimension</x:t>
        </x:is>
      </x:c>
      <x:c r="K123" s="6" t="inlineStr">
        <x:is>
          <x:t xml:space="preserve">مقایسه نرخ تبدیل گروه‌ها و استخراج معناداری آماری</x:t>
        </x:is>
      </x:c>
      <x:c r="L123" s="6" t="inlineStr">
        <x:is>
          <x:t xml:space="preserve">فنی</x:t>
        </x:is>
      </x:c>
      <x:c r="M123" s="6" t="inlineStr">
        <x:is>
          <x:t xml:space="preserve">تخصیص رندوم هش ۵۰/۵۰ پایدار</x:t>
        </x:is>
      </x:c>
      <x:c r="N123" s="30" t="str">
        <x:v>FLD-122</x:v>
      </x:c>
      <x:c r="O123" s="30" t="str">
        <x:v>No</x:v>
      </x:c>
      <x:c r="P123" s="30" t="str">
        <x:v>Yes</x:v>
      </x:c>
      <x:c r="Q123" s="30" t="str">
        <x:v>کوکی توزیع ترافیک آزمایش</x:v>
      </x:c>
      <x:c r="R123" s="30" t="str">
        <x:v>dim_or_fact_experiment</x:v>
      </x:c>
      <x:c r="S123" s="30" t="str">
        <x:v>نیازمند تکمیل و تأیید مالک</x:v>
      </x:c>
      <x:c r="T123" s="30" t="str">
        <x:v>نیازمند تکمیل و تأیید مالک</x:v>
      </x:c>
      <x:c r="U123" s="30" t="str">
        <x:v>نیازمند تکمیل و تأیید مالک</x:v>
      </x:c>
      <x:c r="V123" s="30" t="str">
        <x:v>نیازمند تکمیل و تأیید مالک</x:v>
      </x:c>
      <x:c r="W123" s="30" t="str">
        <x:v>Data Engineer</x:v>
      </x:c>
      <x:c r="X123" s="30" t="str">
        <x:v>Proposed</x:v>
      </x:c>
    </x:row>
    <x:row r="124">
      <x:c r="A124" s="17" t="inlineStr">
        <x:is>
          <x:t xml:space="preserve">FLD-123</x:t>
        </x:is>
      </x:c>
      <x:c r="B124" s="4" t="inlineStr">
        <x:is>
          <x:t xml:space="preserve">Experiment</x:t>
        </x:is>
      </x:c>
      <x:c r="C124" s="4" t="inlineStr">
        <x:is>
          <x:t xml:space="preserve">experiment_sample_size_target</x:t>
        </x:is>
      </x:c>
      <x:c r="D124" s="4" t="inlineStr">
        <x:is>
          <x:t xml:space="preserve">حداقل حجم ترافیک لازم در هر واریانت برای قطعیت آماری A/B</x:t>
        </x:is>
      </x:c>
      <x:c r="E124" s="4" t="inlineStr">
        <x:is>
          <x:t xml:space="preserve">Integer</x:t>
        </x:is>
      </x:c>
      <x:c r="F124" s="4" t="inlineStr">
        <x:is>
          <x:t xml:space="preserve">Experiment</x:t>
        </x:is>
      </x:c>
      <x:c r="G124" s="17" t="inlineStr">
        <x:is>
          <x:t xml:space="preserve">اجباری</x:t>
        </x:is>
      </x:c>
      <x:c r="H124" s="4" t="inlineStr">
        <x:is>
          <x:t xml:space="preserve">ماشین حساب توان آماری تست</x:t>
        </x:is>
      </x:c>
      <x:c r="I124" s="4" t="inlineStr">
        <x:is>
          <x:t xml:space="preserve">در زمان طراحی تست</x:t>
        </x:is>
      </x:c>
      <x:c r="J124" s="4" t="inlineStr">
        <x:is>
          <x:t xml:space="preserve">Parameter Metric</x:t>
        </x:is>
      </x:c>
      <x:c r="K124" s="4" t="inlineStr">
        <x:is>
          <x:t xml:space="preserve">جلوگیری از تصمیم‌گیری شتاب‌زده قبل از اتمام تست</x:t>
        </x:is>
      </x:c>
      <x:c r="L124" s="4" t="inlineStr">
        <x:is>
          <x:t xml:space="preserve">فنی تحقیق و توسعه</x:t>
        </x:is>
      </x:c>
      <x:c r="M124" s="4" t="inlineStr">
        <x:is>
          <x:t xml:space="preserve">توان آماری بالای ۸۰٪ با الفا = ۰.۰۵</x:t>
        </x:is>
      </x:c>
      <x:c r="N124" s="30" t="str">
        <x:v>FLD-123</x:v>
      </x:c>
      <x:c r="O124" s="30" t="str">
        <x:v>No</x:v>
      </x:c>
      <x:c r="P124" s="30" t="str">
        <x:v>Yes</x:v>
      </x:c>
      <x:c r="Q124" s="30" t="str">
        <x:v>ماشین حساب توان آماری تست</x:v>
      </x:c>
      <x:c r="R124" s="30" t="str">
        <x:v>dim_or_fact_experiment</x:v>
      </x:c>
      <x:c r="S124" s="30" t="str">
        <x:v>نیازمند تکمیل و تأیید مالک</x:v>
      </x:c>
      <x:c r="T124" s="30" t="str">
        <x:v>نیازمند تکمیل و تأیید مالک</x:v>
      </x:c>
      <x:c r="U124" s="30" t="str">
        <x:v>نیازمند تکمیل و تأیید مالک</x:v>
      </x:c>
      <x:c r="V124" s="30" t="str">
        <x:v>نیازمند تکمیل و تأیید مالک</x:v>
      </x:c>
      <x:c r="W124" s="30" t="str">
        <x:v>Data Engineer</x:v>
      </x:c>
      <x:c r="X124" s="30" t="str">
        <x:v>Proposed</x:v>
      </x:c>
    </x:row>
    <x:row r="125">
      <x:c r="A125" s="19" t="inlineStr">
        <x:is>
          <x:t xml:space="preserve">FLD-124</x:t>
        </x:is>
      </x:c>
      <x:c r="B125" s="6" t="inlineStr">
        <x:is>
          <x:t xml:space="preserve">Experiment</x:t>
        </x:is>
      </x:c>
      <x:c r="C125" s="6" t="inlineStr">
        <x:is>
          <x:t xml:space="preserve">experiment_statistical_significance</x:t>
        </x:is>
      </x:c>
      <x:c r="D125" s="6" t="inlineStr">
        <x:is>
          <x:t xml:space="preserve">مقدار اطمینان آماری حاصل از آزمون (P-value / Z-score)</x:t>
        </x:is>
      </x:c>
      <x:c r="E125" s="6" t="inlineStr">
        <x:is>
          <x:t xml:space="preserve">Decimal</x:t>
        </x:is>
      </x:c>
      <x:c r="F125" s="6" t="inlineStr">
        <x:is>
          <x:t xml:space="preserve">Experiment</x:t>
        </x:is>
      </x:c>
      <x:c r="G125" s="19" t="inlineStr">
        <x:is>
          <x:t xml:space="preserve">شرطی</x:t>
        </x:is>
      </x:c>
      <x:c r="H125" s="6" t="inlineStr">
        <x:is>
          <x:t xml:space="preserve">اسکریپت تحلیل آماری پایتون</x:t>
        </x:is>
      </x:c>
      <x:c r="I125" s="6" t="inlineStr">
        <x:is>
          <x:t xml:space="preserve">روزانه در تست</x:t>
        </x:is>
      </x:c>
      <x:c r="J125" s="6" t="inlineStr">
        <x:is>
          <x:t xml:space="preserve">Metric</x:t>
        </x:is>
      </x:c>
      <x:c r="K125" s="6" t="inlineStr">
        <x:is>
          <x:t xml:space="preserve">تصمیم‌گیری درباره اعمال دائمی تغییر بر روی وب‌سایت</x:t>
        </x:is>
      </x:c>
      <x:c r="L125" s="6" t="inlineStr">
        <x:is>
          <x:t xml:space="preserve">تحلیلی</x:t>
        </x:is>
      </x:c>
      <x:c r="M125" s="6" t="inlineStr">
        <x:is>
          <x:t xml:space="preserve">مقادیر اعشاری استاندارد بین ۰ تا ۱</x:t>
        </x:is>
      </x:c>
      <x:c r="N125" s="30" t="str">
        <x:v>FLD-124</x:v>
      </x:c>
      <x:c r="O125" s="30" t="str">
        <x:v>No</x:v>
      </x:c>
      <x:c r="P125" s="30" t="str">
        <x:v>Yes</x:v>
      </x:c>
      <x:c r="Q125" s="30" t="str">
        <x:v>اسکریپت تحلیل آماری پایتون</x:v>
      </x:c>
      <x:c r="R125" s="30" t="str">
        <x:v>dim_or_fact_experiment</x:v>
      </x:c>
      <x:c r="S125" s="30" t="str">
        <x:v>نیازمند تکمیل و تأیید مالک</x:v>
      </x:c>
      <x:c r="T125" s="30" t="str">
        <x:v>نیازمند تکمیل و تأیید مالک</x:v>
      </x:c>
      <x:c r="U125" s="30" t="str">
        <x:v>نیازمند تکمیل و تأیید مالک</x:v>
      </x:c>
      <x:c r="V125" s="30" t="str">
        <x:v>نیازمند تکمیل و تأیید مالک</x:v>
      </x:c>
      <x:c r="W125" s="30" t="str">
        <x:v>Data Engineer</x:v>
      </x:c>
      <x:c r="X125" s="30" t="str">
        <x:v>Proposed</x:v>
      </x:c>
    </x:row>
    <x:row r="126">
      <x:c r="A126" s="17" t="inlineStr">
        <x:is>
          <x:t xml:space="preserve">FLD-125</x:t>
        </x:is>
      </x:c>
      <x:c r="B126" s="4" t="inlineStr">
        <x:is>
          <x:t xml:space="preserve">Attribution Touchpoint</x:t>
        </x:is>
      </x:c>
      <x:c r="C126" s="4" t="inlineStr">
        <x:is>
          <x:t xml:space="preserve">touchpoint_record_id</x:t>
        </x:is>
      </x:c>
      <x:c r="D126" s="4" t="inlineStr">
        <x:is>
          <x:t xml:space="preserve">کد یکتای هر نقطه تماس کاربر با رسانه‌های تیتانا در سفر خرید</x:t>
        </x:is>
      </x:c>
      <x:c r="E126" s="4" t="inlineStr">
        <x:is>
          <x:t xml:space="preserve">String (UUID)</x:t>
        </x:is>
      </x:c>
      <x:c r="F126" s="4" t="inlineStr">
        <x:is>
          <x:t xml:space="preserve">Attribution Touchpoint</x:t>
        </x:is>
      </x:c>
      <x:c r="G126" s="17" t="inlineStr">
        <x:is>
          <x:t xml:space="preserve">اجباری</x:t>
        </x:is>
      </x:c>
      <x:c r="H126" s="4" t="inlineStr">
        <x:is>
          <x:t xml:space="preserve">موتور ساخت جدول تاچ‌پوینت‌ها</x:t>
        </x:is>
      </x:c>
      <x:c r="I126" s="4" t="inlineStr">
        <x:is>
          <x:t xml:space="preserve">لحظه‌ای</x:t>
        </x:is>
      </x:c>
      <x:c r="J126" s="4" t="inlineStr">
        <x:is>
          <x:t xml:space="preserve">Primary Key</x:t>
        </x:is>
      </x:c>
      <x:c r="K126" s="4" t="inlineStr">
        <x:is>
          <x:t xml:space="preserve">ایجاد ماتریس‌های زنجیره مارکوف و مدل‌های اتریبیوشن</x:t>
        </x:is>
      </x:c>
      <x:c r="L126" s="4" t="inlineStr">
        <x:is>
          <x:t xml:space="preserve">فنی مهندسی دیتا</x:t>
        </x:is>
      </x:c>
      <x:c r="M126" s="4" t="inlineStr">
        <x:is>
          <x:t xml:space="preserve">ثبت ترتیب دقیق توالی تاچ‌پوینت‌ها</x:t>
        </x:is>
      </x:c>
      <x:c r="N126" s="30" t="str">
        <x:v>FLD-125</x:v>
      </x:c>
      <x:c r="O126" s="30" t="str">
        <x:v>Needs validation</x:v>
      </x:c>
      <x:c r="P126" s="30" t="str">
        <x:v>Yes</x:v>
      </x:c>
      <x:c r="Q126" s="30" t="str">
        <x:v>موتور ساخت جدول تاچ‌پوینت‌ها</x:v>
      </x:c>
      <x:c r="R126" s="30" t="str">
        <x:v>dim_or_fact_attribution_touchpoint</x:v>
      </x:c>
      <x:c r="S126" s="30" t="str">
        <x:v>نیازمند تکمیل و تأیید مالک</x:v>
      </x:c>
      <x:c r="T126" s="30" t="str">
        <x:v>نیازمند تکمیل و تأیید مالک</x:v>
      </x:c>
      <x:c r="U126" s="30" t="str">
        <x:v>نیازمند تکمیل و تأیید مالک</x:v>
      </x:c>
      <x:c r="V126" s="30" t="str">
        <x:v>نیازمند تکمیل و تأیید مالک</x:v>
      </x:c>
      <x:c r="W126" s="30" t="str">
        <x:v>Data Engineer</x:v>
      </x:c>
      <x:c r="X126" s="30" t="str">
        <x:v>Proposed</x:v>
      </x:c>
    </x:row>
    <x:row r="127">
      <x:c r="A127" s="19" t="inlineStr">
        <x:is>
          <x:t xml:space="preserve">FLD-126</x:t>
        </x:is>
      </x:c>
      <x:c r="B127" s="6" t="inlineStr">
        <x:is>
          <x:t xml:space="preserve">Attribution Touchpoint</x:t>
        </x:is>
      </x:c>
      <x:c r="C127" s="6" t="inlineStr">
        <x:is>
          <x:t xml:space="preserve">touchpoint_position_in_path</x:t>
        </x:is>
      </x:c>
      <x:c r="D127" s="6" t="inlineStr">
        <x:is>
          <x:t xml:space="preserve">جایگاه ترتیبی تعامل در مسیر خرید (First, Middle, Last)</x:t>
        </x:is>
      </x:c>
      <x:c r="E127" s="6" t="inlineStr">
        <x:is>
          <x:t xml:space="preserve">Enum</x:t>
        </x:is>
      </x:c>
      <x:c r="F127" s="6" t="inlineStr">
        <x:is>
          <x:t xml:space="preserve">Attribution Touchpoint</x:t>
        </x:is>
      </x:c>
      <x:c r="G127" s="19" t="inlineStr">
        <x:is>
          <x:t xml:space="preserve">اجباری</x:t>
        </x:is>
      </x:c>
      <x:c r="H127" s="6" t="inlineStr">
        <x:is>
          <x:t xml:space="preserve">مدل‌ساز توالی تاچ‌پوینت‌ها</x:t>
        </x:is>
      </x:c>
      <x:c r="I127" s="6" t="inlineStr">
        <x:is>
          <x:t xml:space="preserve">پس از نهایی شدن خرید</x:t>
        </x:is>
      </x:c>
      <x:c r="J127" s="6" t="inlineStr">
        <x:is>
          <x:t xml:space="preserve">Dimension</x:t>
        </x:is>
      </x:c>
      <x:c r="K127" s="6" t="inlineStr">
        <x:is>
          <x:t xml:space="preserve">ارزیابی سهم هر رسانه در آغازگری، تغذیه یا بستن فروش</x:t>
        </x:is>
      </x:c>
      <x:c r="L127" s="6" t="inlineStr">
        <x:is>
          <x:t xml:space="preserve">تحلیلی</x:t>
        </x:is>
      </x:c>
      <x:c r="M127" s="6" t="inlineStr">
        <x:is>
          <x:t xml:space="preserve">بدون گپ در توالی ترتیب گام‌ها</x:t>
        </x:is>
      </x:c>
      <x:c r="N127" s="30" t="str">
        <x:v>FLD-126</x:v>
      </x:c>
      <x:c r="O127" s="30" t="str">
        <x:v>No</x:v>
      </x:c>
      <x:c r="P127" s="30" t="str">
        <x:v>Yes</x:v>
      </x:c>
      <x:c r="Q127" s="30" t="str">
        <x:v>مدل‌ساز توالی تاچ‌پوینت‌ها</x:v>
      </x:c>
      <x:c r="R127" s="30" t="str">
        <x:v>dim_or_fact_attribution_touchpoint</x:v>
      </x:c>
      <x:c r="S127" s="30" t="str">
        <x:v>نیازمند تکمیل و تأیید مالک</x:v>
      </x:c>
      <x:c r="T127" s="30" t="str">
        <x:v>نیازمند تکمیل و تأیید مالک</x:v>
      </x:c>
      <x:c r="U127" s="30" t="str">
        <x:v>نیازمند تکمیل و تأیید مالک</x:v>
      </x:c>
      <x:c r="V127" s="30" t="str">
        <x:v>نیازمند تکمیل و تأیید مالک</x:v>
      </x:c>
      <x:c r="W127" s="30" t="str">
        <x:v>Data Engineer</x:v>
      </x:c>
      <x:c r="X127" s="30" t="str">
        <x:v>Proposed</x:v>
      </x:c>
    </x:row>
    <x:row r="128">
      <x:c r="A128" s="17" t="inlineStr">
        <x:is>
          <x:t xml:space="preserve">FLD-127</x:t>
        </x:is>
      </x:c>
      <x:c r="B128" s="4" t="inlineStr">
        <x:is>
          <x:t xml:space="preserve">Attribution Touchpoint</x:t>
        </x:is>
      </x:c>
      <x:c r="C128" s="4" t="inlineStr">
        <x:is>
          <x:t xml:space="preserve">touchpoint_weight_data_driven</x:t>
        </x:is>
      </x:c>
      <x:c r="D128" s="4" t="inlineStr">
        <x:is>
          <x:t xml:space="preserve">وزن کسری اختصاص‌یافته به این تاچ‌پوینت بر اساس مدل Shapley</x:t>
        </x:is>
      </x:c>
      <x:c r="E128" s="4" t="inlineStr">
        <x:is>
          <x:t xml:space="preserve">Decimal (0 to 1.0)</x:t>
        </x:is>
      </x:c>
      <x:c r="F128" s="4" t="inlineStr">
        <x:is>
          <x:t xml:space="preserve">Attribution Touchpoint</x:t>
        </x:is>
      </x:c>
      <x:c r="G128" s="17" t="inlineStr">
        <x:is>
          <x:t xml:space="preserve">اجباری</x:t>
        </x:is>
      </x:c>
      <x:c r="H128" s="4" t="inlineStr">
        <x:is>
          <x:t xml:space="preserve">الگوریتم محاسباتی DDA</x:t>
        </x:is>
      </x:c>
      <x:c r="I128" s="4" t="inlineStr">
        <x:is>
          <x:t xml:space="preserve">روزانه در پایپ‌لاین</x:t>
        </x:is>
      </x:c>
      <x:c r="J128" s="4" t="inlineStr">
        <x:is>
          <x:t xml:space="preserve">Metric</x:t>
        </x:is>
      </x:c>
      <x:c r="K128" s="4" t="inlineStr">
        <x:is>
          <x:t xml:space="preserve">محاسبه درآمد واقعی منسوب به هر کانال در گزارش‌های پیشرفته</x:t>
        </x:is>
      </x:c>
      <x:c r="L128" s="4" t="inlineStr">
        <x:is>
          <x:t xml:space="preserve">تحلیلی</x:t>
        </x:is>
      </x:c>
      <x:c r="M128" s="4" t="inlineStr">
        <x:is>
          <x:t xml:space="preserve">جمع اوزان هر سفارش دقیقاً مساوی ۱.۰۰</x:t>
        </x:is>
      </x:c>
      <x:c r="N128" s="30" t="str">
        <x:v>FLD-127</x:v>
      </x:c>
      <x:c r="O128" s="30" t="str">
        <x:v>No</x:v>
      </x:c>
      <x:c r="P128" s="30" t="str">
        <x:v>Yes</x:v>
      </x:c>
      <x:c r="Q128" s="30" t="str">
        <x:v>الگوریتم محاسباتی DDA</x:v>
      </x:c>
      <x:c r="R128" s="30" t="str">
        <x:v>dim_or_fact_attribution_touchpoint</x:v>
      </x:c>
      <x:c r="S128" s="30" t="str">
        <x:v>نیازمند تکمیل و تأیید مالک</x:v>
      </x:c>
      <x:c r="T128" s="30" t="str">
        <x:v>نیازمند تکمیل و تأیید مالک</x:v>
      </x:c>
      <x:c r="U128" s="30" t="str">
        <x:v>نیازمند تکمیل و تأیید مالک</x:v>
      </x:c>
      <x:c r="V128" s="30" t="str">
        <x:v>نیازمند تکمیل و تأیید مالک</x:v>
      </x:c>
      <x:c r="W128" s="30" t="str">
        <x:v>Data Engineer</x:v>
      </x:c>
      <x:c r="X128" s="30" t="str">
        <x:v>Proposed</x:v>
      </x:c>
    </x:row>
  </x:sheetData>
  <x:dataValidations count="2">
    <x:dataValidation type="list" allowBlank="1" showDropDown="0" showInputMessage="0" showErrorMessage="1" errorTitle="مقدار نامعتبر" error="مقدار از لیست مجاز انتخاب شود" promptTitle="فهرست" prompt="از فهرست کشویی انتخاب کنید" sqref="B2:B128">
      <x:formula1>=_LISTS!$K$2:$K$30</x:formula1>
    </x:dataValidation>
    <x:dataValidation type="list" sqref="X2:X128">
      <x:formula1>"Proposed,Ready,In Progress,Implemented,Tested,Blocked"</x:formula1>
    </x:dataValidation>
  </x:dataValidations>
  <x:pageMargins left="0.7" right="0.7" top="0.75" bottom="0.75" header="0.3" footer="0.3"/>
  <x:tableParts count="2">
    <x:tablePart xmlns:r="http://schemas.openxmlformats.org/officeDocument/2006/relationships" r:id="R14d9226d578e4080"/>
    <x:tablePart xmlns:r="http://schemas.openxmlformats.org/officeDocument/2006/relationships" r:id="Rc2ef9fbfd5d34163"/>
  </x:tableParts>
</x:worksheet>
</file>

<file path=xl/worksheets/sheet10.xml><?xml version="1.0" encoding="utf-8"?>
<x:worksheet xmlns:x="http://schemas.openxmlformats.org/spreadsheetml/2006/main">
  <x:sheetPr>
    <x:tabColor rgb="FF1F4E78"/>
  </x:sheetPr>
  <x:sheetViews>
    <x:sheetView workbookViewId="0">
      <x:pane xSplit="2" ySplit="1" topLeftCell="C2" activePane="bottomRight" state="frozen"/>
    </x:sheetView>
  </x:sheetViews>
  <x:sheetFormatPr baseColWidth="8" defaultRowHeight="15"/>
  <x:cols>
    <x:col min="1" max="1" width="9" customWidth="1"/>
    <x:col min="2" max="2" width="22" customWidth="1"/>
    <x:col min="3" max="3" width="20" customWidth="1"/>
    <x:col min="4" max="4" width="34" customWidth="1"/>
    <x:col min="5" max="5" width="40" customWidth="1"/>
    <x:col min="6" max="6" width="30" customWidth="1"/>
    <x:col min="7" max="7" width="26" customWidth="1"/>
    <x:col min="8" max="8" width="30" customWidth="1"/>
    <x:col min="9" max="9" width="7" customWidth="1"/>
    <x:col min="10" max="10" width="10" customWidth="1"/>
    <x:col min="11" max="11" width="2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s>
  <x:sheetData>
    <x:row r="1" ht="30" customHeight="1">
      <x:c r="A1" s="5" t="inlineStr">
        <x:is>
          <x:t xml:space="preserve">Source_ID</x:t>
        </x:is>
      </x:c>
      <x:c r="B1" s="5" t="inlineStr">
        <x:is>
          <x:t xml:space="preserve">Name_EN</x:t>
        </x:is>
      </x:c>
      <x:c r="C1" s="5" t="inlineStr">
        <x:is>
          <x:t xml:space="preserve">Name_FA</x:t>
        </x:is>
      </x:c>
      <x:c r="D1" s="5" t="inlineStr">
        <x:is>
          <x:t xml:space="preserve">Description_FA</x:t>
        </x:is>
      </x:c>
      <x:c r="E1" s="5" t="inlineStr">
        <x:is>
          <x:t xml:space="preserve">Data_Provided</x:t>
        </x:is>
      </x:c>
      <x:c r="F1" s="5" t="inlineStr">
        <x:is>
          <x:t xml:space="preserve">Integration_Method</x:t>
        </x:is>
      </x:c>
      <x:c r="G1" s="5" t="inlineStr">
        <x:is>
          <x:t xml:space="preserve">Access_Status</x:t>
        </x:is>
      </x:c>
      <x:c r="H1" s="5" t="inlineStr">
        <x:is>
          <x:t xml:space="preserve">Credentials_Needed</x:t>
        </x:is>
      </x:c>
      <x:c r="I1" s="5" t="inlineStr">
        <x:is>
          <x:t xml:space="preserve">Wave</x:t>
        </x:is>
      </x:c>
      <x:c r="J1" s="5" t="inlineStr">
        <x:is>
          <x:t xml:space="preserve">Priority</x:t>
        </x:is>
      </x:c>
      <x:c r="K1" s="5" t="inlineStr">
        <x:is>
          <x:t xml:space="preserve">Owner_Role</x:t>
        </x:is>
      </x:c>
      <x:c r="L1" s="27" t="str">
        <x:v>Source_ID_Link</x:v>
      </x:c>
      <x:c r="M1" s="27" t="str">
        <x:v>Authentication_Method</x:v>
      </x:c>
      <x:c r="N1" s="27" t="str">
        <x:v>Expected_Tables</x:v>
      </x:c>
      <x:c r="O1" s="27" t="str">
        <x:v>Refresh_Frequency</x:v>
      </x:c>
      <x:c r="P1" s="27" t="str">
        <x:v>Historical_Data_Available</x:v>
      </x:c>
      <x:c r="Q1" s="27" t="str">
        <x:v>Backfill_Required</x:v>
      </x:c>
      <x:c r="R1" s="27" t="str">
        <x:v>PII_Present</x:v>
      </x:c>
      <x:c r="S1" s="27" t="str">
        <x:v>Source_of_Truth_For</x:v>
      </x:c>
      <x:c r="T1" s="27" t="str">
        <x:v>Status</x:v>
      </x:c>
    </x:row>
    <x:row r="2">
      <x:c r="A2" s="17" t="inlineStr">
        <x:is>
          <x:t xml:space="preserve">SRC-01</x:t>
        </x:is>
      </x:c>
      <x:c r="B2" s="4" t="inlineStr">
        <x:is>
          <x:t xml:space="preserve">Google Ads</x:t>
        </x:is>
      </x:c>
      <x:c r="C2" s="4" t="inlineStr">
        <x:is>
          <x:t xml:space="preserve">گوگل ادز</x:t>
        </x:is>
      </x:c>
      <x:c r="D2" s="4" t="inlineStr">
        <x:is>
          <x:t xml:space="preserve">پلتفرم تبلیغات جستجو، شاپینگ، نمایشی و ویدیویی</x:t>
        </x:is>
      </x:c>
      <x:c r="E2" s="4" t="inlineStr">
        <x:is>
          <x:t xml:space="preserve">هزینه، کلیک، ایمپرشن، کلمه کلیدی، Search Term، Quality Score، Impression Share</x:t>
        </x:is>
      </x:c>
      <x:c r="F2" s="4" t="inlineStr">
        <x:is>
          <x:t xml:space="preserve">REST API (Ads API) + Export CSV به DWH</x:t>
        </x:is>
      </x:c>
      <x:c r="G2" s="4" t="inlineStr">
        <x:is>
          <x:t xml:space="preserve">مجهول — نیازمند اعتبارسنجی دسترسی</x:t>
        </x:is>
      </x:c>
      <x:c r="H2" s="4" t="inlineStr">
        <x:is>
          <x:t xml:space="preserve">اکانت Ads + API Client + تأیید مالکیت اکانت</x:t>
        </x:is>
      </x:c>
      <x:c r="I2" s="17" t="inlineStr">
        <x:is>
          <x:t xml:space="preserve">W3</x:t>
        </x:is>
      </x:c>
      <x:c r="J2" s="17" t="inlineStr">
        <x:is>
          <x:t xml:space="preserve">Critical</x:t>
        </x:is>
      </x:c>
      <x:c r="K2" s="4" t="inlineStr">
        <x:is>
          <x:t xml:space="preserve">Senior Data Engineer</x:t>
        </x:is>
      </x:c>
      <x:c r="L2" s="30" t="str">
        <x:v>SRC-01</x:v>
      </x:c>
      <x:c r="M2" s="30" t="str">
        <x:v>نیازمند تکمیل و تأیید مالک</x:v>
      </x:c>
      <x:c r="N2" s="30" t="str">
        <x:v>نیازمند تکمیل و تأیید مالک</x:v>
      </x:c>
      <x:c r="O2" s="30" t="str">
        <x:v>نیازمند تکمیل و تأیید مالک</x:v>
      </x:c>
      <x:c r="P2" s="30" t="str">
        <x:v>Unknown</x:v>
      </x:c>
      <x:c r="Q2" s="30" t="str">
        <x:v>Required</x:v>
      </x:c>
      <x:c r="R2" s="30" t="str">
        <x:v>Yes</x:v>
      </x:c>
      <x:c r="S2" s="30" t="str">
        <x:v>نیازمند تکمیل و تأیید مالک</x:v>
      </x:c>
      <x:c r="T2" s="30" t="str">
        <x:v>Proposed</x:v>
      </x:c>
    </x:row>
    <x:row r="3">
      <x:c r="A3" s="19" t="inlineStr">
        <x:is>
          <x:t xml:space="preserve">SRC-02</x:t>
        </x:is>
      </x:c>
      <x:c r="B3" s="6" t="inlineStr">
        <x:is>
          <x:t xml:space="preserve">Meta Ads (Facebook/Instagram)</x:t>
        </x:is>
      </x:c>
      <x:c r="C3" s="6" t="inlineStr">
        <x:is>
          <x:t xml:space="preserve">متا / اینستاگرام</x:t>
        </x:is>
      </x:c>
      <x:c r="D3" s="6" t="inlineStr">
        <x:is>
          <x:t xml:space="preserve">پلتفرم تبلیغات بصری، ریلز، کاتالوگ و فرم لید</x:t>
        </x:is>
      </x:c>
      <x:c r="E3" s="6" t="inlineStr">
        <x:is>
          <x:t xml:space="preserve">هزینه، کلیک، ویو، فرم لید، Audiences، Creative Performance</x:t>
        </x:is>
      </x:c>
      <x:c r="F3" s="6" t="inlineStr">
        <x:is>
          <x:t xml:space="preserve">Marketing API + Conversions API (Server-Side)</x:t>
        </x:is>
      </x:c>
      <x:c r="G3" s="6" t="inlineStr">
        <x:is>
          <x:t xml:space="preserve">مجهول — نیازمند اعتبارسنجی دسترسی</x:t>
        </x:is>
      </x:c>
      <x:c r="H3" s="6" t="inlineStr">
        <x:is>
          <x:t xml:space="preserve">Graph API Token + آیدی Business Manager + تأیید آیدی کاتالوگ</x:t>
        </x:is>
      </x:c>
      <x:c r="I3" s="19" t="inlineStr">
        <x:is>
          <x:t xml:space="preserve">W3</x:t>
        </x:is>
      </x:c>
      <x:c r="J3" s="19" t="inlineStr">
        <x:is>
          <x:t xml:space="preserve">Critical</x:t>
        </x:is>
      </x:c>
      <x:c r="K3" s="6" t="inlineStr">
        <x:is>
          <x:t xml:space="preserve">Senior Data Engineer</x:t>
        </x:is>
      </x:c>
      <x:c r="L3" s="30" t="str">
        <x:v>SRC-02</x:v>
      </x:c>
      <x:c r="M3" s="30" t="str">
        <x:v>نیازمند تکمیل و تأیید مالک</x:v>
      </x:c>
      <x:c r="N3" s="30" t="str">
        <x:v>نیازمند تکمیل و تأیید مالک</x:v>
      </x:c>
      <x:c r="O3" s="30" t="str">
        <x:v>نیازمند تکمیل و تأیید مالک</x:v>
      </x:c>
      <x:c r="P3" s="30" t="str">
        <x:v>Unknown</x:v>
      </x:c>
      <x:c r="Q3" s="30" t="str">
        <x:v>Required</x:v>
      </x:c>
      <x:c r="R3" s="30" t="str">
        <x:v>Yes</x:v>
      </x:c>
      <x:c r="S3" s="30" t="str">
        <x:v>نیازمند تکمیل و تأیید مالک</x:v>
      </x:c>
      <x:c r="T3" s="30" t="str">
        <x:v>Proposed</x:v>
      </x:c>
    </x:row>
    <x:row r="4">
      <x:c r="A4" s="17" t="inlineStr">
        <x:is>
          <x:t xml:space="preserve">SRC-03</x:t>
        </x:is>
      </x:c>
      <x:c r="B4" s="4" t="inlineStr">
        <x:is>
          <x:t xml:space="preserve">GA4 / GTM / BigQuery</x:t>
        </x:is>
      </x:c>
      <x:c r="C4" s="4" t="inlineStr">
        <x:is>
          <x:t xml:space="preserve">گوگل آنالیتیکس ۴ / گوگل تگ مدیر</x:t>
        </x:is>
      </x:c>
      <x:c r="D4" s="4" t="inlineStr">
        <x:is>
          <x:t xml:space="preserve">ردیابی رفتار وب‌سایت، سشن‌ها و اکسپورت رویدادها</x:t>
        </x:is>
      </x:c>
      <x:c r="E4" s="4" t="inlineStr">
        <x:is>
          <x:t xml:space="preserve">سشن، کاربر، صفحه، قیف، UTM، رفتار ویدیو و اسکرول</x:t>
        </x:is>
      </x:c>
      <x:c r="F4" s="4" t="inlineStr">
        <x:is>
          <x:t xml:space="preserve">Measurement Protocol (سرور) + BigQuery Export</x:t>
        </x:is>
      </x:c>
      <x:c r="G4" s="4" t="inlineStr">
        <x:is>
          <x:t xml:space="preserve">فعال — کیفیت داده تأیید نشده (یافته F)</x:t>
        </x:is>
      </x:c>
      <x:c r="H4" s="4" t="inlineStr">
        <x:is>
          <x:t xml:space="preserve">اکانت GA4 + Project BigQuery + IAM Role</x:t>
        </x:is>
      </x:c>
      <x:c r="I4" s="17" t="inlineStr">
        <x:is>
          <x:t xml:space="preserve">W3</x:t>
        </x:is>
      </x:c>
      <x:c r="J4" s="17" t="inlineStr">
        <x:is>
          <x:t xml:space="preserve">Critical</x:t>
        </x:is>
      </x:c>
      <x:c r="K4" s="4" t="inlineStr">
        <x:is>
          <x:t xml:space="preserve">Senior Data Engineer</x:t>
        </x:is>
      </x:c>
      <x:c r="L4" s="30" t="str">
        <x:v>SRC-03</x:v>
      </x:c>
      <x:c r="M4" s="30" t="str">
        <x:v>نیازمند تکمیل و تأیید مالک</x:v>
      </x:c>
      <x:c r="N4" s="30" t="str">
        <x:v>نیازمند تکمیل و تأیید مالک</x:v>
      </x:c>
      <x:c r="O4" s="30" t="str">
        <x:v>نیازمند تکمیل و تأیید مالک</x:v>
      </x:c>
      <x:c r="P4" s="30" t="str">
        <x:v>Unknown</x:v>
      </x:c>
      <x:c r="Q4" s="30" t="str">
        <x:v>Required</x:v>
      </x:c>
      <x:c r="R4" s="30" t="str">
        <x:v>Yes</x:v>
      </x:c>
      <x:c r="S4" s="30" t="str">
        <x:v>نیازمند تکمیل و تأیید مالک</x:v>
      </x:c>
      <x:c r="T4" s="30" t="str">
        <x:v>Proposed</x:v>
      </x:c>
    </x:row>
    <x:row r="5">
      <x:c r="A5" s="19" t="inlineStr">
        <x:is>
          <x:t xml:space="preserve">SRC-04</x:t>
        </x:is>
      </x:c>
      <x:c r="B5" s="6" t="inlineStr">
        <x:is>
          <x:t xml:space="preserve">E-commerce Backend</x:t>
        </x:is>
      </x:c>
      <x:c r="C5" s="6" t="inlineStr">
        <x:is>
          <x:t xml:space="preserve">بک‌اند فروشگاه آنلاین</x:t>
        </x:is>
      </x:c>
      <x:c r="D5" s="6" t="inlineStr">
        <x:is>
          <x:t xml:space="preserve">سیستم سفارش، محصول، سبد و کاربر (پلتفرم میزبانی Webbit)</x:t>
        </x:is>
      </x:c>
      <x:c r="E5" s="6" t="inlineStr">
        <x:is>
          <x:t xml:space="preserve">سفارش، آیتم سفارش، پرداخت، مرجوعی، موجودی لحظه‌ای، محصول/برند/دسته</x:t>
        </x:is>
      </x:c>
      <x:c r="F5" s="6" t="inlineStr">
        <x:is>
          <x:t xml:space="preserve">Direct DB (Replica) + Webhook رویدادهای سفارش</x:t>
        </x:is>
      </x:c>
      <x:c r="G5" s="6" t="inlineStr">
        <x:is>
          <x:t xml:space="preserve">مجهول — نیازمند اعتبارسنجی دسترسی</x:t>
        </x:is>
      </x:c>
      <x:c r="H5" s="6" t="inlineStr">
        <x:is>
          <x:t xml:space="preserve">دسترسی Read-only به DB + Webhook Endpoint</x:t>
        </x:is>
      </x:c>
      <x:c r="I5" s="19" t="inlineStr">
        <x:is>
          <x:t xml:space="preserve">W3</x:t>
        </x:is>
      </x:c>
      <x:c r="J5" s="19" t="inlineStr">
        <x:is>
          <x:t xml:space="preserve">Critical</x:t>
        </x:is>
      </x:c>
      <x:c r="K5" s="6" t="inlineStr">
        <x:is>
          <x:t xml:space="preserve">Senior Data Engineer</x:t>
        </x:is>
      </x:c>
      <x:c r="L5" s="30" t="str">
        <x:v>SRC-04</x:v>
      </x:c>
      <x:c r="M5" s="30" t="str">
        <x:v>نیازمند تکمیل و تأیید مالک</x:v>
      </x:c>
      <x:c r="N5" s="30" t="str">
        <x:v>نیازمند تکمیل و تأیید مالک</x:v>
      </x:c>
      <x:c r="O5" s="30" t="str">
        <x:v>نیازمند تکمیل و تأیید مالک</x:v>
      </x:c>
      <x:c r="P5" s="30" t="str">
        <x:v>Unknown</x:v>
      </x:c>
      <x:c r="Q5" s="30" t="str">
        <x:v>Required</x:v>
      </x:c>
      <x:c r="R5" s="30" t="str">
        <x:v>Yes</x:v>
      </x:c>
      <x:c r="S5" s="30" t="str">
        <x:v>نیازمند تکمیل و تأیید مالک</x:v>
      </x:c>
      <x:c r="T5" s="30" t="str">
        <x:v>Proposed</x:v>
      </x:c>
    </x:row>
    <x:row r="6">
      <x:c r="A6" s="17" t="inlineStr">
        <x:is>
          <x:t xml:space="preserve">SRC-05</x:t>
        </x:is>
      </x:c>
      <x:c r="B6" s="4" t="inlineStr">
        <x:is>
          <x:t xml:space="preserve">CRM (Sales Pipeline)</x:t>
        </x:is>
      </x:c>
      <x:c r="C6" s="4" t="inlineStr">
        <x:is>
          <x:t xml:space="preserve">سیستم مدیریت ارتباط با مشتری</x:t>
        </x:is>
      </x:c>
      <x:c r="D6" s="4" t="inlineStr">
        <x:is>
          <x:t xml:space="preserve">پایپ‌لاین فروش B2B، لیدها، فرصت‌ها و فعالیت‌ها</x:t>
        </x:is>
      </x:c>
      <x:c r="E6" s="4" t="inlineStr">
        <x:is>
          <x:t xml:space="preserve">لید، MQL/SQL، فرصت، فعالیت تماس، مالک حساب</x:t>
        </x:is>
      </x:c>
      <x:c r="F6" s="4" t="inlineStr">
        <x:is>
          <x:t xml:space="preserve">API/Webhook + Export دوره‌ای</x:t>
        </x:is>
      </x:c>
      <x:c r="G6" s="4" t="inlineStr">
        <x:is>
          <x:t xml:space="preserve">مجهول — نیازمند اعتبارسنجی دسترسی</x:t>
        </x:is>
      </x:c>
      <x:c r="H6" s="4" t="inlineStr">
        <x:is>
          <x:t xml:space="preserve">اکانت CRM + API Token</x:t>
        </x:is>
      </x:c>
      <x:c r="I6" s="17" t="inlineStr">
        <x:is>
          <x:t xml:space="preserve">W3</x:t>
        </x:is>
      </x:c>
      <x:c r="J6" s="17" t="inlineStr">
        <x:is>
          <x:t xml:space="preserve">Critical</x:t>
        </x:is>
      </x:c>
      <x:c r="K6" s="4" t="inlineStr">
        <x:is>
          <x:t xml:space="preserve">CRM Manager</x:t>
        </x:is>
      </x:c>
      <x:c r="L6" s="30" t="str">
        <x:v>SRC-05</x:v>
      </x:c>
      <x:c r="M6" s="30" t="str">
        <x:v>نیازمند تکمیل و تأیید مالک</x:v>
      </x:c>
      <x:c r="N6" s="30" t="str">
        <x:v>نیازمند تکمیل و تأیید مالک</x:v>
      </x:c>
      <x:c r="O6" s="30" t="str">
        <x:v>نیازمند تکمیل و تأیید مالک</x:v>
      </x:c>
      <x:c r="P6" s="30" t="str">
        <x:v>Unknown</x:v>
      </x:c>
      <x:c r="Q6" s="30" t="str">
        <x:v>Required</x:v>
      </x:c>
      <x:c r="R6" s="30" t="str">
        <x:v>Yes</x:v>
      </x:c>
      <x:c r="S6" s="30" t="str">
        <x:v>نیازمند تکمیل و تأیید مالک</x:v>
      </x:c>
      <x:c r="T6" s="30" t="str">
        <x:v>Proposed</x:v>
      </x:c>
    </x:row>
    <x:row r="7">
      <x:c r="A7" s="19" t="inlineStr">
        <x:is>
          <x:t xml:space="preserve">SRC-06</x:t>
        </x:is>
      </x:c>
      <x:c r="B7" s="6" t="inlineStr">
        <x:is>
          <x:t xml:space="preserve">Finance / ERP (سپیدار/راهکاران)</x:t>
        </x:is>
      </x:c>
      <x:c r="C7" s="6" t="inlineStr">
        <x:is>
          <x:t xml:space="preserve">حسابداری مالی</x:t>
        </x:is>
      </x:c>
      <x:c r="D7" s="6" t="inlineStr">
        <x:is>
          <x:t xml:space="preserve">دفاتر قانونی، فاکتورهای قطعی، COGS و سود ناخالص</x:t>
        </x:is>
      </x:c>
      <x:c r="E7" s="6" t="inlineStr">
        <x:is>
          <x:t xml:space="preserve">درآمد خالص، تخفیف، کرایه، COGS، سود ناخالص، تسویه درگاه</x:t>
        </x:is>
      </x:c>
      <x:c r="F7" s="6" t="inlineStr">
        <x:is>
          <x:t xml:space="preserve">Sync هفتگی COGS (قرارداده داده) + Export ماهانه فاکتور</x:t>
        </x:is>
      </x:c>
      <x:c r="G7" s="6" t="inlineStr">
        <x:is>
          <x:t xml:space="preserve">مجهول — نیازمند اعتبارسنجی دسترسی</x:t>
        </x:is>
      </x:c>
      <x:c r="H7" s="6" t="inlineStr">
        <x:is>
          <x:t xml:space="preserve">اکانت مالی + دسترسی Read گزارش‌ها</x:t>
        </x:is>
      </x:c>
      <x:c r="I7" s="19" t="inlineStr">
        <x:is>
          <x:t xml:space="preserve">W3</x:t>
        </x:is>
      </x:c>
      <x:c r="J7" s="19" t="inlineStr">
        <x:is>
          <x:t xml:space="preserve">High</x:t>
        </x:is>
      </x:c>
      <x:c r="K7" s="6" t="inlineStr">
        <x:is>
          <x:t xml:space="preserve">Finance Manager</x:t>
        </x:is>
      </x:c>
      <x:c r="L7" s="30" t="str">
        <x:v>SRC-06</x:v>
      </x:c>
      <x:c r="M7" s="30" t="str">
        <x:v>نیازمند تکمیل و تأیید مالک</x:v>
      </x:c>
      <x:c r="N7" s="30" t="str">
        <x:v>نیازمند تکمیل و تأیید مالک</x:v>
      </x:c>
      <x:c r="O7" s="30" t="str">
        <x:v>نیازمند تکمیل و تأیید مالک</x:v>
      </x:c>
      <x:c r="P7" s="30" t="str">
        <x:v>Unknown</x:v>
      </x:c>
      <x:c r="Q7" s="30" t="str">
        <x:v>Required</x:v>
      </x:c>
      <x:c r="R7" s="30" t="str">
        <x:v>Yes</x:v>
      </x:c>
      <x:c r="S7" s="30" t="str">
        <x:v>نیازمند تکمیل و تأیید مالک</x:v>
      </x:c>
      <x:c r="T7" s="30" t="str">
        <x:v>Proposed</x:v>
      </x:c>
    </x:row>
    <x:row r="8">
      <x:c r="A8" s="17" t="inlineStr">
        <x:is>
          <x:t xml:space="preserve">SRC-07</x:t>
        </x:is>
      </x:c>
      <x:c r="B8" s="4" t="inlineStr">
        <x:is>
          <x:t xml:space="preserve">WMS (انبار مرکزی)</x:t>
        </x:is>
      </x:c>
      <x:c r="C8" s="4" t="inlineStr">
        <x:is>
          <x:t xml:space="preserve">سامانه مدیریت انبار</x:t>
        </x:is>
      </x:c>
      <x:c r="D8" s="4" t="inlineStr">
        <x:is>
          <x:t xml:space="preserve">موجودی زنده، تاریخ انقضا، اسناد مرجوعی و بارگیری</x:t>
        </x:is>
      </x:c>
      <x:c r="E8" s="4" t="inlineStr">
        <x:is>
          <x:t xml:space="preserve">موجودی لحظه‌ای SKU، انقضا، مرجوعی، سرعت گردش</x:t>
        </x:is>
      </x:c>
      <x:c r="F8" s="4" t="inlineStr">
        <x:is>
          <x:t xml:space="preserve">Webhook بلادرنگ موجودی + API</x:t>
        </x:is>
      </x:c>
      <x:c r="G8" s="4" t="inlineStr">
        <x:is>
          <x:t xml:space="preserve">مجهول — نیازمند اعتبارسنجی دسترسی</x:t>
        </x:is>
      </x:c>
      <x:c r="H8" s="4" t="inlineStr">
        <x:is>
          <x:t xml:space="preserve">دسترسی WMS API + تنظیم Webhook</x:t>
        </x:is>
      </x:c>
      <x:c r="I8" s="17" t="inlineStr">
        <x:is>
          <x:t xml:space="preserve">W3</x:t>
        </x:is>
      </x:c>
      <x:c r="J8" s="17" t="inlineStr">
        <x:is>
          <x:t xml:space="preserve">High</x:t>
        </x:is>
      </x:c>
      <x:c r="K8" s="4" t="inlineStr">
        <x:is>
          <x:t xml:space="preserve">Warehouse/Materials Manager</x:t>
        </x:is>
      </x:c>
      <x:c r="L8" s="30" t="str">
        <x:v>SRC-07</x:v>
      </x:c>
      <x:c r="M8" s="30" t="str">
        <x:v>نیازمند تکمیل و تأیید مالک</x:v>
      </x:c>
      <x:c r="N8" s="30" t="str">
        <x:v>نیازمند تکمیل و تأیید مالک</x:v>
      </x:c>
      <x:c r="O8" s="30" t="str">
        <x:v>نیازمند تکمیل و تأیید مالک</x:v>
      </x:c>
      <x:c r="P8" s="30" t="str">
        <x:v>Unknown</x:v>
      </x:c>
      <x:c r="Q8" s="30" t="str">
        <x:v>Required</x:v>
      </x:c>
      <x:c r="R8" s="30" t="str">
        <x:v>Yes</x:v>
      </x:c>
      <x:c r="S8" s="30" t="str">
        <x:v>نیازمند تکمیل و تأیید مالک</x:v>
      </x:c>
      <x:c r="T8" s="30" t="str">
        <x:v>Proposed</x:v>
      </x:c>
    </x:row>
    <x:row r="9">
      <x:c r="A9" s="19" t="inlineStr">
        <x:is>
          <x:t xml:space="preserve">SRC-08</x:t>
        </x:is>
      </x:c>
      <x:c r="B9" s="6" t="inlineStr">
        <x:is>
          <x:t xml:space="preserve">Payment Gateway (Shaparak)</x:t>
        </x:is>
      </x:c>
      <x:c r="C9" s="6" t="inlineStr">
        <x:is>
          <x:t xml:space="preserve">درگاه پرداخت شاپرک</x:t>
        </x:is>
      </x:c>
      <x:c r="D9" s="6" t="inlineStr">
        <x:is>
          <x:t xml:space="preserve">وضعیت تراکنش‌های پرداخت بانکی</x:t>
        </x:is>
      </x:c>
      <x:c r="E9" s="6" t="inlineStr">
        <x:is>
          <x:t xml:space="preserve">وضعیت پرداخت، مبلغ، ردیف حساب، خطای درگاه</x:t>
        </x:is>
      </x:c>
      <x:c r="F9" s="6" t="inlineStr">
        <x:is>
          <x:t xml:space="preserve">Callback/Webhook درگاه + استعلام استاتوس</x:t>
        </x:is>
      </x:c>
      <x:c r="G9" s="6" t="inlineStr">
        <x:is>
          <x:t xml:space="preserve">مجهول — نیازمند اعتبارسنجی دسترسی</x:t>
        </x:is>
      </x:c>
      <x:c r="H9" s="6" t="inlineStr">
        <x:is>
          <x:t xml:space="preserve">Merchant ID + API Key درگاه</x:t>
        </x:is>
      </x:c>
      <x:c r="I9" s="19" t="inlineStr">
        <x:is>
          <x:t xml:space="preserve">W3</x:t>
        </x:is>
      </x:c>
      <x:c r="J9" s="19" t="inlineStr">
        <x:is>
          <x:t xml:space="preserve">High</x:t>
        </x:is>
      </x:c>
      <x:c r="K9" s="6" t="inlineStr">
        <x:is>
          <x:t xml:space="preserve">DevOps/Web Engineer</x:t>
        </x:is>
      </x:c>
      <x:c r="L9" s="30" t="str">
        <x:v>SRC-08</x:v>
      </x:c>
      <x:c r="M9" s="30" t="str">
        <x:v>نیازمند تکمیل و تأیید مالک</x:v>
      </x:c>
      <x:c r="N9" s="30" t="str">
        <x:v>نیازمند تکمیل و تأیید مالک</x:v>
      </x:c>
      <x:c r="O9" s="30" t="str">
        <x:v>نیازمند تکمیل و تأیید مالک</x:v>
      </x:c>
      <x:c r="P9" s="30" t="str">
        <x:v>Unknown</x:v>
      </x:c>
      <x:c r="Q9" s="30" t="str">
        <x:v>Required</x:v>
      </x:c>
      <x:c r="R9" s="30" t="str">
        <x:v>Yes</x:v>
      </x:c>
      <x:c r="S9" s="30" t="str">
        <x:v>نیازمند تکمیل و تأیید مالک</x:v>
      </x:c>
      <x:c r="T9" s="30" t="str">
        <x:v>Proposed</x:v>
      </x:c>
    </x:row>
    <x:row r="10">
      <x:c r="A10" s="17" t="inlineStr">
        <x:is>
          <x:t xml:space="preserve">SRC-09</x:t>
        </x:is>
      </x:c>
      <x:c r="B10" s="4" t="inlineStr">
        <x:is>
          <x:t xml:space="preserve">VoIP / Asterisk</x:t>
        </x:is>
      </x:c>
      <x:c r="C10" s="4" t="inlineStr">
        <x:is>
          <x:t xml:space="preserve">سانترال تلفنی (استریسک/ایزابل)</x:t>
        </x:is>
      </x:c>
      <x:c r="D10" s="4" t="inlineStr">
        <x:is>
          <x:t xml:space="preserve">تماس‌های تلفنی از وب‌سایت و مشاوره فنی</x:t>
        </x:is>
      </x:c>
      <x:c r="E10" s="4" t="inlineStr">
        <x:is>
          <x:t xml:space="preserve">Call Log، DNI، مدت تماس، نتیجه تماس</x:t>
        </x:is>
      </x:c>
      <x:c r="F10" s="4" t="inlineStr">
        <x:is>
          <x:t xml:space="preserve">Export Call Log + Webhook رویداد تماس</x:t>
        </x:is>
      </x:c>
      <x:c r="G10" s="4" t="inlineStr">
        <x:is>
          <x:t xml:space="preserve">مجهول — نیازمند اعتبارسنجی دسترسی</x:t>
        </x:is>
      </x:c>
      <x:c r="H10" s="4" t="inlineStr">
        <x:is>
          <x:t xml:space="preserve">دسترسی API سانترال + تنظیم DNI</x:t>
        </x:is>
      </x:c>
      <x:c r="I10" s="17" t="inlineStr">
        <x:is>
          <x:t xml:space="preserve">W3</x:t>
        </x:is>
      </x:c>
      <x:c r="J10" s="17" t="inlineStr">
        <x:is>
          <x:t xml:space="preserve">Medium</x:t>
        </x:is>
      </x:c>
      <x:c r="K10" s="4" t="inlineStr">
        <x:is>
          <x:t xml:space="preserve">DevOps/Web Engineer</x:t>
        </x:is>
      </x:c>
      <x:c r="L10" s="30" t="str">
        <x:v>SRC-09</x:v>
      </x:c>
      <x:c r="M10" s="30" t="str">
        <x:v>نیازمند تکمیل و تأیید مالک</x:v>
      </x:c>
      <x:c r="N10" s="30" t="str">
        <x:v>نیازمند تکمیل و تأیید مالک</x:v>
      </x:c>
      <x:c r="O10" s="30" t="str">
        <x:v>نیازمند تکمیل و تأیید مالک</x:v>
      </x:c>
      <x:c r="P10" s="30" t="str">
        <x:v>Unknown</x:v>
      </x:c>
      <x:c r="Q10" s="30" t="str">
        <x:v>Required</x:v>
      </x:c>
      <x:c r="R10" s="30" t="str">
        <x:v>Yes</x:v>
      </x:c>
      <x:c r="S10" s="30" t="str">
        <x:v>نیازمند تکمیل و تأیید مالک</x:v>
      </x:c>
      <x:c r="T10" s="30" t="str">
        <x:v>Proposed</x:v>
      </x:c>
    </x:row>
    <x:row r="11">
      <x:c r="A11" s="19" t="inlineStr">
        <x:is>
          <x:t xml:space="preserve">SRC-10</x:t>
        </x:is>
      </x:c>
      <x:c r="B11" s="6" t="inlineStr">
        <x:is>
          <x:t xml:space="preserve">SMS / Email / Push</x:t>
        </x:is>
      </x:c>
      <x:c r="C11" s="6" t="inlineStr">
        <x:is>
          <x:t xml:space="preserve">سامانه پیامک (کاوه‌نگار/دینا)، ایمیل و پوش</x:t>
        </x:is>
      </x:c>
      <x:c r="D11" s="6" t="inlineStr">
        <x:is>
          <x:t xml:space="preserve">کمپین‌های پیامکی، خبرنامه و یادآوری</x:t>
        </x:is>
      </x:c>
      <x:c r="E11" s="6" t="inlineStr">
        <x:is>
          <x:t xml:space="preserve">ارسال، تحویل، کلیک، لغو اشتراک، بازگشت</x:t>
        </x:is>
      </x:c>
      <x:c r="F11" s="6" t="inlineStr">
        <x:is>
          <x:t xml:space="preserve">API پنل پیامک/ایمیل + Webhook</x:t>
        </x:is>
      </x:c>
      <x:c r="G11" s="6" t="inlineStr">
        <x:is>
          <x:t xml:space="preserve">مجهول — نیازمند اعتبارسنجی دسترسی</x:t>
        </x:is>
      </x:c>
      <x:c r="H11" s="6" t="inlineStr">
        <x:is>
          <x:t xml:space="preserve">اکانت پنل پیامک/ایمیل + API Key</x:t>
        </x:is>
      </x:c>
      <x:c r="I11" s="19" t="inlineStr">
        <x:is>
          <x:t xml:space="preserve">W3</x:t>
        </x:is>
      </x:c>
      <x:c r="J11" s="19" t="inlineStr">
        <x:is>
          <x:t xml:space="preserve">Medium</x:t>
        </x:is>
      </x:c>
      <x:c r="K11" s="6" t="inlineStr">
        <x:is>
          <x:t xml:space="preserve">CRM Manager</x:t>
        </x:is>
      </x:c>
      <x:c r="L11" s="30" t="str">
        <x:v>SRC-10</x:v>
      </x:c>
      <x:c r="M11" s="30" t="str">
        <x:v>نیازمند تکمیل و تأیید مالک</x:v>
      </x:c>
      <x:c r="N11" s="30" t="str">
        <x:v>نیازمند تکمیل و تأیید مالک</x:v>
      </x:c>
      <x:c r="O11" s="30" t="str">
        <x:v>نیازمند تکمیل و تأیید مالک</x:v>
      </x:c>
      <x:c r="P11" s="30" t="str">
        <x:v>Unknown</x:v>
      </x:c>
      <x:c r="Q11" s="30" t="str">
        <x:v>Required</x:v>
      </x:c>
      <x:c r="R11" s="30" t="str">
        <x:v>Yes</x:v>
      </x:c>
      <x:c r="S11" s="30" t="str">
        <x:v>نیازمند تکمیل و تأیید مالک</x:v>
      </x:c>
      <x:c r="T11" s="30" t="str">
        <x:v>Proposed</x:v>
      </x:c>
    </x:row>
    <x:row r="12">
      <x:c r="A12" s="17" t="inlineStr">
        <x:is>
          <x:t xml:space="preserve">SRC-11</x:t>
        </x:is>
      </x:c>
      <x:c r="B12" s="4" t="inlineStr">
        <x:is>
          <x:t xml:space="preserve">Loyalty Module</x:t>
        </x:is>
      </x:c>
      <x:c r="C12" s="4" t="inlineStr">
        <x:is>
          <x:t xml:space="preserve">ماژول باشگاه مشتریان و امتیازات</x:t>
        </x:is>
      </x:c>
      <x:c r="D12" s="4" t="inlineStr">
        <x:is>
          <x:t xml:space="preserve">امتیازات، بازخرید امتیازها و Breakage</x:t>
        </x:is>
      </x:c>
      <x:c r="E12" s="4" t="inlineStr">
        <x:is>
          <x:t xml:space="preserve">امتیاز کسب‌شده/سوزانده، Breakage Rate</x:t>
        </x:is>
      </x:c>
      <x:c r="F12" s="4" t="inlineStr">
        <x:is>
          <x:t xml:space="preserve">Export ماژول وفاداری CRM</x:t>
        </x:is>
      </x:c>
      <x:c r="G12" s="4" t="inlineStr">
        <x:is>
          <x:t xml:space="preserve">مجهول — نیازمند اعتبارسنجی دسترسی</x:t>
        </x:is>
      </x:c>
      <x:c r="H12" s="4" t="inlineStr">
        <x:is>
          <x:t xml:space="preserve">دسترسی ماژول وفاداری</x:t>
        </x:is>
      </x:c>
      <x:c r="I12" s="17" t="inlineStr">
        <x:is>
          <x:t xml:space="preserve">W3</x:t>
        </x:is>
      </x:c>
      <x:c r="J12" s="17" t="inlineStr">
        <x:is>
          <x:t xml:space="preserve">Medium</x:t>
        </x:is>
      </x:c>
      <x:c r="K12" s="4" t="inlineStr">
        <x:is>
          <x:t xml:space="preserve">CRM Manager</x:t>
        </x:is>
      </x:c>
      <x:c r="L12" s="30" t="str">
        <x:v>SRC-11</x:v>
      </x:c>
      <x:c r="M12" s="30" t="str">
        <x:v>نیازمند تکمیل و تأیید مالک</x:v>
      </x:c>
      <x:c r="N12" s="30" t="str">
        <x:v>نیازمند تکمیل و تأیید مالک</x:v>
      </x:c>
      <x:c r="O12" s="30" t="str">
        <x:v>نیازمند تکمیل و تأیید مالک</x:v>
      </x:c>
      <x:c r="P12" s="30" t="str">
        <x:v>Unknown</x:v>
      </x:c>
      <x:c r="Q12" s="30" t="str">
        <x:v>Required</x:v>
      </x:c>
      <x:c r="R12" s="30" t="str">
        <x:v>Yes</x:v>
      </x:c>
      <x:c r="S12" s="30" t="str">
        <x:v>نیازمند تکمیل و تأیید مالک</x:v>
      </x:c>
      <x:c r="T12" s="30" t="str">
        <x:v>Proposed</x:v>
      </x:c>
    </x:row>
    <x:row r="13">
      <x:c r="A13" s="19" t="inlineStr">
        <x:is>
          <x:t xml:space="preserve">SRC-12</x:t>
        </x:is>
      </x:c>
      <x:c r="B13" s="6" t="inlineStr">
        <x:is>
          <x:t xml:space="preserve">Affiliate / Influencer</x:t>
        </x:is>
      </x:c>
      <x:c r="C13" s="6" t="inlineStr">
        <x:is>
          <x:t xml:space="preserve">شبکه همکاران فروش و اینفلوئنسرها</x:t>
        </x:is>
      </x:c>
      <x:c r="D13" s="6" t="inlineStr">
        <x:is>
          <x:t xml:space="preserve">معرفی کلینیکی و همکاری با اساتید</x:t>
        </x:is>
      </x:c>
      <x:c r="E13" s="6" t="inlineStr">
        <x:is>
          <x:t xml:space="preserve">لید معرف‌شده، کد معرفی، هزینه همکاری</x:t>
        </x:is>
      </x:c>
      <x:c r="F13" s="6" t="inlineStr">
        <x:is>
          <x:t xml:space="preserve">فرم ثبت دستی + Export ماهانه</x:t>
        </x:is>
      </x:c>
      <x:c r="G13" s="6" t="inlineStr">
        <x:is>
          <x:t xml:space="preserve">مجهول — نیازمند اعتبارسنجی دسترسی</x:t>
        </x:is>
      </x:c>
      <x:c r="H13" s="6" t="inlineStr">
        <x:is>
          <x:t xml:space="preserve">پنل مدیریت همکاران</x:t>
        </x:is>
      </x:c>
      <x:c r="I13" s="19" t="inlineStr">
        <x:is>
          <x:t xml:space="preserve">W3</x:t>
        </x:is>
      </x:c>
      <x:c r="J13" s="19" t="inlineStr">
        <x:is>
          <x:t xml:space="preserve">Low</x:t>
        </x:is>
      </x:c>
      <x:c r="K13" s="6" t="inlineStr">
        <x:is>
          <x:t xml:space="preserve">CMO</x:t>
        </x:is>
      </x:c>
      <x:c r="L13" s="30" t="str">
        <x:v>SRC-12</x:v>
      </x:c>
      <x:c r="M13" s="30" t="str">
        <x:v>نیازمند تکمیل و تأیید مالک</x:v>
      </x:c>
      <x:c r="N13" s="30" t="str">
        <x:v>نیازمند تکمیل و تأیید مالک</x:v>
      </x:c>
      <x:c r="O13" s="30" t="str">
        <x:v>نیازمند تکمیل و تأیید مالک</x:v>
      </x:c>
      <x:c r="P13" s="30" t="str">
        <x:v>Unknown</x:v>
      </x:c>
      <x:c r="Q13" s="30" t="str">
        <x:v>Required</x:v>
      </x:c>
      <x:c r="R13" s="30" t="str">
        <x:v>Yes</x:v>
      </x:c>
      <x:c r="S13" s="30" t="str">
        <x:v>نیازمند تکمیل و تأیید مالک</x:v>
      </x:c>
      <x:c r="T13" s="30" t="str">
        <x:v>Proposed</x:v>
      </x:c>
    </x:row>
    <x:row r="14">
      <x:c r="A14" s="17" t="inlineStr">
        <x:is>
          <x:t xml:space="preserve">SRC-13</x:t>
        </x:is>
      </x:c>
      <x:c r="B14" s="4" t="inlineStr">
        <x:is>
          <x:t xml:space="preserve">Medical Council Web Service</x:t>
        </x:is>
      </x:c>
      <x:c r="C14" s="4" t="inlineStr">
        <x:is>
          <x:t xml:space="preserve">وب‌سرویس سازمان نظام پزشکی</x:t>
        </x:is>
      </x:c>
      <x:c r="D14" s="4" t="inlineStr">
        <x:is>
          <x:t xml:space="preserve">اعتبارسنجی شماره نظام پزشکی و تخصص دندان‌پزشک</x:t>
        </x:is>
      </x:c>
      <x:c r="E14" s="4" t="inlineStr">
        <x:is>
          <x:t xml:space="preserve">اعتبار شماره نظام، بورد تخصصی، وضعیت فعالیت</x:t>
        </x:is>
      </x:c>
      <x:c r="F14" s="4" t="inlineStr">
        <x:is>
          <x:t xml:space="preserve">Web Service استعلام رسمی</x:t>
        </x:is>
      </x:c>
      <x:c r="G14" s="4" t="inlineStr">
        <x:is>
          <x:t xml:space="preserve">مجهول — نیازمند اعتبارسنجی دسترسی (احتمالاً نیاز به قرارداد رسمی)</x:t>
        </x:is>
      </x:c>
      <x:c r="H14" s="4" t="inlineStr">
        <x:is>
          <x:t xml:space="preserve">تأیید/قرارداد استعلام + کلید سرویس</x:t>
        </x:is>
      </x:c>
      <x:c r="I14" s="17" t="inlineStr">
        <x:is>
          <x:t xml:space="preserve">W1</x:t>
        </x:is>
      </x:c>
      <x:c r="J14" s="17" t="inlineStr">
        <x:is>
          <x:t xml:space="preserve">Critical</x:t>
        </x:is>
      </x:c>
      <x:c r="K14" s="4" t="inlineStr">
        <x:is>
          <x:t xml:space="preserve">Security &amp; Governance</x:t>
        </x:is>
      </x:c>
      <x:c r="L14" s="30" t="str">
        <x:v>SRC-13</x:v>
      </x:c>
      <x:c r="M14" s="30" t="str">
        <x:v>نیازمند تکمیل و تأیید مالک</x:v>
      </x:c>
      <x:c r="N14" s="30" t="str">
        <x:v>نیازمند تکمیل و تأیید مالک</x:v>
      </x:c>
      <x:c r="O14" s="30" t="str">
        <x:v>نیازمند تکمیل و تأیید مالک</x:v>
      </x:c>
      <x:c r="P14" s="30" t="str">
        <x:v>Unknown</x:v>
      </x:c>
      <x:c r="Q14" s="30" t="str">
        <x:v>Required</x:v>
      </x:c>
      <x:c r="R14" s="30" t="str">
        <x:v>Yes</x:v>
      </x:c>
      <x:c r="S14" s="30" t="str">
        <x:v>نیازمند تکمیل و تأیید مالک</x:v>
      </x:c>
      <x:c r="T14" s="30" t="str">
        <x:v>Proposed</x:v>
      </x:c>
    </x:row>
  </x:sheetData>
  <x:conditionalFormatting sqref="J2:J14">
    <x:cfRule type="cellIs" dxfId="0" priority="1" operator="equal">
      <x:formula>"Critical"</x:formula>
    </x:cfRule>
    <x:cfRule type="cellIs" dxfId="1" priority="2" operator="equal">
      <x:formula>"High"</x:formula>
    </x:cfRule>
    <x:cfRule type="cellIs" dxfId="2" priority="3" operator="equal">
      <x:formula>"Medium"</x:formula>
    </x:cfRule>
    <x:cfRule type="cellIs" dxfId="3" priority="4" operator="equal">
      <x:formula>"Low"</x:formula>
    </x:cfRule>
  </x:conditionalFormatting>
  <x:conditionalFormatting sqref="G2:G14">
    <x:cfRule type="expression" dxfId="7" priority="5">
      <x:formula>ISNUMBER(SEARCH("فرض",G2))</x:formula>
    </x:cfRule>
  </x:conditionalFormatting>
  <x:dataValidations count="4">
    <x:dataValidation type="list" allowBlank="1" showDropDown="0" showInputMessage="0" showErrorMessage="1" errorTitle="مقدار نامعتبر" error="مقدار از لیست مجاز انتخاب شود" promptTitle="فهرست" prompt="از فهرست کشویی انتخاب کنید" sqref="I2:I14">
      <x:formula1>=_LISTS!$A$2:$A$8</x:formula1>
    </x:dataValidation>
    <x:dataValidation type="list" allowBlank="1" showDropDown="0" showInputMessage="0" showErrorMessage="1" errorTitle="مقدار نامعتبر" error="مقدار از لیست مجاز انتخاب شود" promptTitle="فهرست" prompt="از فهرست کشویی انتخاب کنید" sqref="J2:J14">
      <x:formula1>=_LISTS!$B$2:$B$5</x:formula1>
    </x:dataValidation>
    <x:dataValidation type="list" allowBlank="1" showDropDown="0" showInputMessage="0" showErrorMessage="1" errorTitle="مقدار نامعتبر" error="مقدار از لیست مجاز انتخاب شود" promptTitle="فهرست" prompt="از فهرست کشویی انتخاب کنید" sqref="K2:K14">
      <x:formula1>=_LISTS!$D$2:$D$16</x:formula1>
    </x:dataValidation>
    <x:dataValidation type="list" sqref="T2:T14">
      <x:formula1>"Proposed,Ready,In Progress,Implemented,Tested,Blocked"</x:formula1>
    </x:dataValidation>
  </x:dataValidations>
  <x:pageMargins left="0.7" right="0.7" top="0.75" bottom="0.75" header="0.3" footer="0.3"/>
  <x:tableParts count="2">
    <x:tablePart xmlns:r="http://schemas.openxmlformats.org/officeDocument/2006/relationships" r:id="Rb9bcd33db2104c78"/>
    <x:tablePart xmlns:r="http://schemas.openxmlformats.org/officeDocument/2006/relationships" r:id="R6656c03905ea41f8"/>
  </x:tableParts>
</x:worksheet>
</file>

<file path=xl/worksheets/sheet11.xml><?xml version="1.0" encoding="utf-8"?>
<x:worksheet xmlns:x="http://schemas.openxmlformats.org/spreadsheetml/2006/main">
  <x:sheetPr>
    <x:tabColor rgb="FF1F4E78"/>
  </x:sheetPr>
  <x:sheetViews>
    <x:sheetView workbookViewId="0">
      <x:pane xSplit="2" ySplit="1" topLeftCell="C2" activePane="bottomRight" state="frozen"/>
    </x:sheetView>
  </x:sheetViews>
  <x:sheetFormatPr baseColWidth="8" defaultRowHeight="15"/>
  <x:cols>
    <x:col min="1" max="1" width="9" customWidth="1"/>
    <x:col min="2" max="2" width="20" customWidth="1"/>
    <x:col min="3" max="3" width="36" customWidth="1"/>
    <x:col min="4" max="4" width="30" customWidth="1"/>
    <x:col min="5" max="5" width="36" customWidth="1"/>
    <x:col min="6" max="6" width="36" customWidth="1"/>
    <x:col min="7" max="7" width="26" customWidth="1"/>
    <x:col min="8" max="8" width="30" customWidth="1"/>
    <x:col min="9" max="9" width="30" customWidth="1"/>
    <x:col min="10" max="10" width="28" customWidth="1"/>
    <x:col min="11" max="11" width="32" customWidth="1"/>
    <x:col min="12" max="12" width="26" customWidth="1"/>
    <x:col min="13" max="13" width="20" customWidth="1"/>
    <x:col min="14" max="14" width="22" customWidth="1"/>
    <x:col min="15" max="15" width="28" customWidth="1"/>
    <x:col min="16" max="16" width="22" customWidth="1"/>
    <x:col min="17" max="17" width="14" customWidth="1"/>
    <x:col min="18" max="18" width="40" customWidth="1"/>
    <x:col min="19" max="19" width="18" hidden="0" customWidth="1"/>
    <x:col min="20" max="20" width="18" hidden="0" customWidth="1"/>
    <x:col min="21" max="21" width="26" hidden="0" customWidth="1"/>
    <x:col min="22" max="22" width="18" hidden="0" customWidth="1"/>
    <x:col min="23" max="23" width="18" hidden="0" customWidth="1"/>
    <x:col min="24" max="24" width="32" hidden="0" customWidth="1"/>
  </x:cols>
  <x:sheetData>
    <x:row r="1" ht="30" customHeight="1">
      <x:c r="A1" s="5" t="inlineStr">
        <x:is>
          <x:t xml:space="preserve">Report_ID</x:t>
        </x:is>
      </x:c>
      <x:c r="B1" s="5" t="inlineStr">
        <x:is>
          <x:t xml:space="preserve">Category</x:t>
        </x:is>
      </x:c>
      <x:c r="C1" s="5" t="inlineStr">
        <x:is>
          <x:t xml:space="preserve">Name_FA</x:t>
        </x:is>
      </x:c>
      <x:c r="D1" s="5" t="inlineStr">
        <x:is>
          <x:t xml:space="preserve">Name_EN</x:t>
        </x:is>
      </x:c>
      <x:c r="E1" s="5" t="inlineStr">
        <x:is>
          <x:t xml:space="preserve">Objective_FA</x:t>
        </x:is>
      </x:c>
      <x:c r="F1" s="5" t="inlineStr">
        <x:is>
          <x:t xml:space="preserve">Decision_FA</x:t>
        </x:is>
      </x:c>
      <x:c r="G1" s="5" t="inlineStr">
        <x:is>
          <x:t xml:space="preserve">Users</x:t>
        </x:is>
      </x:c>
      <x:c r="H1" s="5" t="inlineStr">
        <x:is>
          <x:t xml:space="preserve">Main_KPIs</x:t>
        </x:is>
      </x:c>
      <x:c r="I1" s="5" t="inlineStr">
        <x:is>
          <x:t xml:space="preserve">Diagnostic_KPIs</x:t>
        </x:is>
      </x:c>
      <x:c r="J1" s="5" t="inlineStr">
        <x:is>
          <x:t xml:space="preserve">Dimensions</x:t>
        </x:is>
      </x:c>
      <x:c r="K1" s="5" t="inlineStr">
        <x:is>
          <x:t xml:space="preserve">Data_Required</x:t>
        </x:is>
      </x:c>
      <x:c r="L1" s="5" t="inlineStr">
        <x:is>
          <x:t xml:space="preserve">Data_Sources</x:t>
        </x:is>
      </x:c>
      <x:c r="M1" s="5" t="inlineStr">
        <x:is>
          <x:t xml:space="preserve">Granularity</x:t>
        </x:is>
      </x:c>
      <x:c r="N1" s="5" t="inlineStr">
        <x:is>
          <x:t xml:space="preserve">Comparison_Window</x:t>
        </x:is>
      </x:c>
      <x:c r="O1" s="5" t="inlineStr">
        <x:is>
          <x:t xml:space="preserve">Visualization</x:t>
        </x:is>
      </x:c>
      <x:c r="P1" s="5" t="inlineStr">
        <x:is>
          <x:t xml:space="preserve">Refresh</x:t>
        </x:is>
      </x:c>
      <x:c r="Q1" s="5" t="inlineStr">
        <x:is>
          <x:t xml:space="preserve">Importance</x:t>
        </x:is>
      </x:c>
      <x:c r="R1" s="5" t="inlineStr">
        <x:is>
          <x:t xml:space="preserve">Recommended_Action</x:t>
        </x:is>
      </x:c>
      <x:c r="S1" s="27" t="str">
        <x:v>Report_ID_Link</x:v>
      </x:c>
      <x:c r="T1" s="27" t="str">
        <x:v>Implementation_Wave</x:v>
      </x:c>
      <x:c r="U1" s="27" t="str">
        <x:v>Dependencies</x:v>
      </x:c>
      <x:c r="V1" s="27" t="str">
        <x:v>Owner</x:v>
      </x:c>
      <x:c r="W1" s="27" t="str">
        <x:v>Status</x:v>
      </x:c>
      <x:c r="X1" s="27" t="str">
        <x:v>Acceptance_Criteria</x:v>
      </x:c>
    </x:row>
    <x:row r="2">
      <x:c r="A2" s="17" t="inlineStr">
        <x:is>
          <x:t xml:space="preserve">REP-01</x:t>
        </x:is>
      </x:c>
      <x:c r="B2" s="4" t="inlineStr">
        <x:is>
          <x:t xml:space="preserve">Executive Marketing Overview</x:t>
        </x:is>
      </x:c>
      <x:c r="C2" s="4" t="inlineStr">
        <x:is>
          <x:t xml:space="preserve">گزارش دیده‌بانی استراتژیک رشد، درآمد و اقتصاد واحد مدیرعامل</x:t>
        </x:is>
      </x:c>
      <x:c r="D2" s="4" t="inlineStr">
        <x:is>
          <x:t xml:space="preserve">C-Suite Growth &amp; Unit Economics Dashboard</x:t>
        </x:is>
      </x:c>
      <x:c r="E2" s="4" t="inlineStr">
        <x:is>
          <x:t xml:space="preserve">وضعیت کلان رشد سازمان، سلامت مالی مارکتینگ، سودآوری و بازگشت سرمایه در کجاست؟</x:t>
        </x:is>
      </x:c>
      <x:c r="F2" s="4" t="inlineStr">
        <x:is>
          <x:t xml:space="preserve">تنظیم کلان بودجه ماهانه، بازنگری در سهم کانال‌ها، اصلاح استراتژی تخفیف یا قیمت‌گذاری کلان.</x:t>
        </x:is>
      </x:c>
      <x:c r="G2" s="4" t="inlineStr">
        <x:is>
          <x:t xml:space="preserve">مدیرعامل، هیئت‌مدیره، CMO، CFO</x:t>
        </x:is>
      </x:c>
      <x:c r="H2" s="4" t="inlineStr">
        <x:is>
          <x:t xml:space="preserve">Net Revenue, Gross Profit, Blended CAC, LTV, Contribution Margin %, POAS, LTV/CAC Ratio</x:t>
        </x:is>
      </x:c>
      <x:c r="I2" s="4" t="inlineStr">
        <x:is>
          <x:t xml:space="preserve">Blended ROAS, CAC Payback Months, Total Paid Spend, Organic Revenue Share</x:t>
        </x:is>
      </x:c>
      <x:c r="J2" s="4" t="inlineStr">
        <x:is>
          <x:t xml:space="preserve">کانال اصلی، ماه/فصل، رده محصول (تجهیزات در برابر مواد مصرفی)، استان‌های کلیدی</x:t>
        </x:is>
      </x:c>
      <x:c r="K2" s="4" t="inlineStr">
        <x:is>
          <x:t xml:space="preserve">فاکتورهای قطعی حسابداری، هزینه‌های تجمیعی پلتفرم‌ها، داده‌های خروجی CRM</x:t>
        </x:is>
      </x:c>
      <x:c r="L2" s="4" t="inlineStr">
        <x:is>
          <x:t xml:space="preserve">انبار داده متمرکز (DWH)، نرم‌افزار مالی (سپیدار/راهکاران)، Google Ads, Meta Ads</x:t>
        </x:is>
      </x:c>
      <x:c r="M2" s="4" t="inlineStr">
        <x:is>
          <x:t xml:space="preserve">سطح شرکت و کانال (Company / Channel Level)</x:t>
        </x:is>
      </x:c>
      <x:c r="N2" s="4" t="inlineStr">
        <x:is>
          <x:t xml:space="preserve">ماهانه، فصلی، سالانه، MoM, YoY و مقایسه نسبت به تارگت بودجه مصوب</x:t>
        </x:is>
      </x:c>
      <x:c r="O2" s="4" t="inlineStr">
        <x:is>
          <x:t xml:space="preserve">Scorecard کارتی، نمودار ترند خطی دو محوره، نمودار پله‌ای سود آبشاری (Waterfall)</x:t>
        </x:is>
      </x:c>
      <x:c r="P2" s="4" t="inlineStr">
        <x:is>
          <x:t xml:space="preserve">روزانه (تلفیق نهایی تا ساعت ۹ صبح هر روز)</x:t>
        </x:is>
      </x:c>
      <x:c r="Q2" s="4" t="inlineStr">
        <x:is>
          <x:t xml:space="preserve">حیاتی (Critical)</x:t>
        </x:is>
      </x:c>
      <x:c r="R2" s="4" t="inlineStr">
        <x:is>
          <x:t xml:space="preserve">در صورت افت نسبت LTV به CAC به کمتر از ۲.۵ یا افت حاشیه سهم به زیر ۱۰٪، برگزاری نشست فوری استراتژی و بازنگری سقف بودجه پولی.</x:t>
        </x:is>
      </x:c>
      <x:c r="S2" s="30" t="str">
        <x:v>REP-01</x:v>
      </x:c>
      <x:c r="T2" s="30" t="str">
        <x:v>W4</x:v>
      </x:c>
      <x:c r="U2" s="30" t="str">
        <x:v>نیازمند تکمیل و تأیید مالک</x:v>
      </x:c>
      <x:c r="V2" s="30" t="str">
        <x:v>BI Lead</x:v>
      </x:c>
      <x:c r="W2" s="30" t="str">
        <x:v>Proposed</x:v>
      </x:c>
      <x:c r="X2" s="30" t="str">
        <x:v>نیازمند تکمیل و تأیید مالک</x:v>
      </x:c>
    </x:row>
    <x:row r="3">
      <x:c r="A3" s="19" t="inlineStr">
        <x:is>
          <x:t xml:space="preserve">REP-02</x:t>
        </x:is>
      </x:c>
      <x:c r="B3" s="6" t="inlineStr">
        <x:is>
          <x:t xml:space="preserve">Acquisition &amp; Traffic</x:t>
        </x:is>
      </x:c>
      <x:c r="C3" s="6" t="inlineStr">
        <x:is>
          <x:t xml:space="preserve">گزارش جامع ترافیک و کانال‌های جذب ورودی</x:t>
        </x:is>
      </x:c>
      <x:c r="D3" s="6" t="inlineStr">
        <x:is>
          <x:t xml:space="preserve">Inbound Traffic &amp; Acquisition Channel Mix Report</x:t>
        </x:is>
      </x:c>
      <x:c r="E3" s="6" t="inlineStr">
        <x:is>
          <x:t xml:space="preserve">ترافیک ورودی وب‌سایت از چه کانال‌هایی تامین می‌شود و کدام کانال بالاترین کیفیت جذب را دارد؟</x:t>
        </x:is>
      </x:c>
      <x:c r="F3" s="6" t="inlineStr">
        <x:is>
          <x:t xml:space="preserve">تخصیص سهم ترافیک به کانال‌های ارگانیک، ادز، پیامک و ریفرال؛ اصلاح استراتژی سئو و توزیع بودجه.</x:t>
        </x:is>
      </x:c>
      <x:c r="G3" s="6" t="inlineStr">
        <x:is>
          <x:t xml:space="preserve">CMO، Performance Marketing Lead، SEO Lead</x:t>
        </x:is>
      </x:c>
      <x:c r="H3" s="6" t="inlineStr">
        <x:is>
          <x:t xml:space="preserve">Total Sessions, Engaged Sessions, Engagement Rate, Landing Page Views, New Users</x:t>
        </x:is>
      </x:c>
      <x:c r="I3" s="6" t="inlineStr">
        <x:is>
          <x:t xml:space="preserve">Bounce Rate, Average Session Duration, Pages per Session, Cost per Landing Page View</x:t>
        </x:is>
      </x:c>
      <x:c r="J3" s="6" t="inlineStr">
        <x:is>
          <x:t xml:space="preserve">کانال (Default Channel Grouping)، منبع/مدیوم (Source/Medium)، صفحه فرود، نوع دستگاه</x:t>
        </x:is>
      </x:c>
      <x:c r="K3" s="6" t="inlineStr">
        <x:is>
          <x:t xml:space="preserve">لاگ نشست‌ها و تعاملات وب‌سایت، پارامترهای UTM، داده‌های هزینه ورودی</x:t>
        </x:is>
      </x:c>
      <x:c r="L3" s="6" t="inlineStr">
        <x:is>
          <x:t xml:space="preserve">Google Analytics 4, Google Search Console, PostHog</x:t>
        </x:is>
      </x:c>
      <x:c r="M3" s="6" t="inlineStr">
        <x:is>
          <x:t xml:space="preserve">سطح نشست (Session Level)</x:t>
        </x:is>
      </x:c>
      <x:c r="N3" s="6" t="inlineStr">
        <x:is>
          <x:t xml:space="preserve">روزانه، هفتگی، ماهانه، WoW, MoM</x:t>
        </x:is>
      </x:c>
      <x:c r="O3" s="6" t="inlineStr">
        <x:is>
          <x:t xml:space="preserve">Area Chart انباشته سهم کانال‌ها، Table تفکیکی، Bar Chart نرخ تعامل</x:t>
        </x:is>
      </x:c>
      <x:c r="P3" s="6" t="inlineStr">
        <x:is>
          <x:t xml:space="preserve">روزانه</x:t>
        </x:is>
      </x:c>
      <x:c r="Q3" s="6" t="inlineStr">
        <x:is>
          <x:t xml:space="preserve">بسیار مهم (High)</x:t>
        </x:is>
      </x:c>
      <x:c r="R3" s="6" t="inlineStr">
        <x:is>
          <x:t xml:space="preserve">اگر یک کانال دچار افت بیش از ۲۰٪ در ترافیک باکیفیت شود، بررسی وضعیت تگ‌ها، رتبه سئو یا سقف بیدینگ ادز.</x:t>
        </x:is>
      </x:c>
      <x:c r="S3" s="30" t="str">
        <x:v>REP-02</x:v>
      </x:c>
      <x:c r="T3" s="30" t="str">
        <x:v>W5</x:v>
      </x:c>
      <x:c r="U3" s="30" t="str">
        <x:v>نیازمند تکمیل و تأیید مالک</x:v>
      </x:c>
      <x:c r="V3" s="30" t="str">
        <x:v>BI Lead</x:v>
      </x:c>
      <x:c r="W3" s="30" t="str">
        <x:v>Proposed</x:v>
      </x:c>
      <x:c r="X3" s="30" t="str">
        <x:v>نیازمند تکمیل و تأیید مالک</x:v>
      </x:c>
    </x:row>
    <x:row r="4">
      <x:c r="A4" s="17" t="inlineStr">
        <x:is>
          <x:t xml:space="preserve">REP-03</x:t>
        </x:is>
      </x:c>
      <x:c r="B4" s="4" t="inlineStr">
        <x:is>
          <x:t xml:space="preserve">Paid Media</x:t>
        </x:is>
      </x:c>
      <x:c r="C4" s="4" t="inlineStr">
        <x:is>
          <x:t xml:space="preserve">گزارش عملکرد تجمیعی رسانه‌های پولی و تبلیغات کلیکی</x:t>
        </x:is>
      </x:c>
      <x:c r="D4" s="4" t="inlineStr">
        <x:is>
          <x:t xml:space="preserve">Blended Paid Media &amp; Acquisition Efficiency Report</x:t>
        </x:is>
      </x:c>
      <x:c r="E4" s="4" t="inlineStr">
        <x:is>
          <x:t xml:space="preserve">بودجه تبلیغات پرداختی با چه کارایی و چه هزینه‌ای به سرنخ و مشتری نهایی تبدیل می‌شود؟</x:t>
        </x:is>
      </x:c>
      <x:c r="F4" s="4" t="inlineStr">
        <x:is>
          <x:t xml:space="preserve">تعدیل بودجه هفتگی بین گوگل، متا، تبلیغات بنری و پیامکی؛ توقف کانال‌های با CAC فراتر از حد مجاز.</x:t>
        </x:is>
      </x:c>
      <x:c r="G4" s="4" t="inlineStr">
        <x:is>
          <x:t xml:space="preserve">Performance Marketing Lead، Paid Ads Specialist، CMO</x:t>
        </x:is>
      </x:c>
      <x:c r="H4" s="4" t="inlineStr">
        <x:is>
          <x:t xml:space="preserve">Total Paid Spend, Paid Clicks, Blended Paid CAC, Paid Net Revenue, Blended ROAS, POAS</x:t>
        </x:is>
      </x:c>
      <x:c r="I4" s="4" t="inlineStr">
        <x:is>
          <x:t xml:space="preserve">Blended CPC, CPM, Landing Page View Rate, Lead-to-Customer CVR</x:t>
        </x:is>
      </x:c>
      <x:c r="J4" s="4" t="inlineStr">
        <x:is>
          <x:t xml:space="preserve">پلتفرم تبلیغاتی (Google, Meta, SMS, Display)، کمپین، نوع هدف‌گیری، استان</x:t>
        </x:is>
      </x:c>
      <x:c r="K4" s="4" t="inlineStr">
        <x:is>
          <x:t xml:space="preserve">داده‌های هزینه و کلیک APIهای ادز، سفارش‌های منسوب به کمپین در دیتابیس فروش</x:t>
        </x:is>
      </x:c>
      <x:c r="L4" s="4" t="inlineStr">
        <x:is>
          <x:t xml:space="preserve">Google Ads API, Meta Marketing API, پیامک کاوه‌نگار، دیتابیس سفارشات</x:t>
        </x:is>
      </x:c>
      <x:c r="M4" s="4" t="inlineStr">
        <x:is>
          <x:t xml:space="preserve">سطح پلتفرم و کمپین (Campaign Level)</x:t>
        </x:is>
      </x:c>
      <x:c r="N4" s="4" t="inlineStr">
        <x:is>
          <x:t xml:space="preserve">روزانه، هفتگی، WoW, MoM</x:t>
        </x:is>
      </x:c>
      <x:c r="O4" s="4" t="inlineStr">
        <x:is>
          <x:t xml:space="preserve">Combo Chart (هزینه در برابر درآمد)، Scorecard، Heatmap عملکرد روزهای هفته</x:t>
        </x:is>
      </x:c>
      <x:c r="P4" s="4" t="inlineStr">
        <x:is>
          <x:t xml:space="preserve">روزانه</x:t>
        </x:is>
      </x:c>
      <x:c r="Q4" s="4" t="inlineStr">
        <x:is>
          <x:t xml:space="preserve">حیاتی (Critical)</x:t>
        </x:is>
      </x:c>
      <x:c r="R4" s="4" t="inlineStr">
        <x:is>
          <x:t xml:space="preserve">اگر POAS ترکیبی رسانه‌های پولی به زیر ۱.۳ افت کند، کاهش ۲۰ درصدی بودجه عمومی و تمرکز صرف بر کمپین‌های با حاشیه سود بالا.</x:t>
        </x:is>
      </x:c>
      <x:c r="S4" s="30" t="str">
        <x:v>REP-03</x:v>
      </x:c>
      <x:c r="T4" s="30" t="str">
        <x:v>W4</x:v>
      </x:c>
      <x:c r="U4" s="30" t="str">
        <x:v>نیازمند تکمیل و تأیید مالک</x:v>
      </x:c>
      <x:c r="V4" s="30" t="str">
        <x:v>BI Lead</x:v>
      </x:c>
      <x:c r="W4" s="30" t="str">
        <x:v>Proposed</x:v>
      </x:c>
      <x:c r="X4" s="30" t="str">
        <x:v>نیازمند تکمیل و تأیید مالک</x:v>
      </x:c>
    </x:row>
    <x:row r="5">
      <x:c r="A5" s="19" t="inlineStr">
        <x:is>
          <x:t xml:space="preserve">REP-04</x:t>
        </x:is>
      </x:c>
      <x:c r="B5" s="6" t="inlineStr">
        <x:is>
          <x:t xml:space="preserve">Google Ads</x:t>
        </x:is>
      </x:c>
      <x:c r="C5" s="6" t="inlineStr">
        <x:is>
          <x:t xml:space="preserve">گزارش تخصصی کمپین‌های جستجو، شاپینگ و کلمات کلیدی گوگل</x:t>
        </x:is>
      </x:c>
      <x:c r="D5" s="6" t="inlineStr">
        <x:is>
          <x:t xml:space="preserve">Google Ads Search, Shopping &amp; Intent Keyword Report</x:t>
        </x:is>
      </x:c>
      <x:c r="E5" s="6" t="inlineStr">
        <x:is>
          <x:t xml:space="preserve">کلمات کلیدی تجهیزات و مواد دندان‌پزشکی در مزایده گوگل چه بازدهی مالی و سهم نمایشی دارند؟</x:t>
        </x:is>
      </x:c>
      <x:c r="F5" s="6" t="inlineStr">
        <x:is>
          <x:t xml:space="preserve">افزایش/کاهش بید کلمات کلیدی، اضافه کردن نگاتیو کیوردها، بازطراحی گروه‌های آگهی بر اساس قصد خرید.</x:t>
        </x:is>
      </x:c>
      <x:c r="G5" s="6" t="inlineStr">
        <x:is>
          <x:t xml:space="preserve">SEM Specialist، Performance Marketer</x:t>
        </x:is>
      </x:c>
      <x:c r="H5" s="6" t="inlineStr">
        <x:is>
          <x:t xml:space="preserve">Search Impressions, Clicks, CTR, Search Impression Share, CPC, Cost, Conversions, ROAS</x:t>
        </x:is>
      </x:c>
      <x:c r="I5" s="6" t="inlineStr">
        <x:is>
          <x:t xml:space="preserve">Lost IS (Budget), Lost IS (Rank), Quality Score, Absolute Top Impression %, CVR</x:t>
        </x:is>
      </x:c>
      <x:c r="J5" s="6" t="inlineStr">
        <x:is>
          <x:t xml:space="preserve">کمپین، Ad Group، کلمه کلیدی (Keyword)، عبارت جستجوشده (Search Term)، نوع انطباق (Match Type)</x:t>
        </x:is>
      </x:c>
      <x:c r="K5" s="6" t="inlineStr">
        <x:is>
          <x:t xml:space="preserve">داده‌های گزارش Google Ads Search &amp; Auction Insights</x:t>
        </x:is>
      </x:c>
      <x:c r="L5" s="6" t="inlineStr">
        <x:is>
          <x:t xml:space="preserve">Google Ads API متصل به انبار داده</x:t>
        </x:is>
      </x:c>
      <x:c r="M5" s="6" t="inlineStr">
        <x:is>
          <x:t xml:space="preserve">سطح کلمه کلیدی و کوئری (Keyword / Search Term Level)</x:t>
        </x:is>
      </x:c>
      <x:c r="N5" s="6" t="inlineStr">
        <x:is>
          <x:t xml:space="preserve">روزانه، هفتگی، ماهانه</x:t>
        </x:is>
      </x:c>
      <x:c r="O5" s="6" t="inlineStr">
        <x:is>
          <x:t xml:space="preserve">Table تعاملی فیلتردار، Scatter Plot (هزینه در برابر ROAS)، Bar Chart سهم نمایش</x:t>
        </x:is>
      </x:c>
      <x:c r="P5" s="6" t="inlineStr">
        <x:is>
          <x:t xml:space="preserve">روزانه</x:t>
        </x:is>
      </x:c>
      <x:c r="Q5" s="6" t="inlineStr">
        <x:is>
          <x:t xml:space="preserve">حیاتی (Critical)</x:t>
        </x:is>
      </x:c>
      <x:c r="R5" s="6" t="inlineStr">
        <x:is>
          <x:t xml:space="preserve">اگر Search Lost IS (Budget) بیش از ۳۰٪ باشد در حالی که ROAS کلمه بالاتر از ۵ است، افزایش بودجه اختصاصی همان کمپین.</x:t>
        </x:is>
      </x:c>
      <x:c r="S5" s="30" t="str">
        <x:v>REP-04</x:v>
      </x:c>
      <x:c r="T5" s="30" t="str">
        <x:v>W4</x:v>
      </x:c>
      <x:c r="U5" s="30" t="str">
        <x:v>نیازمند تکمیل و تأیید مالک</x:v>
      </x:c>
      <x:c r="V5" s="30" t="str">
        <x:v>BI Lead</x:v>
      </x:c>
      <x:c r="W5" s="30" t="str">
        <x:v>Proposed</x:v>
      </x:c>
      <x:c r="X5" s="30" t="str">
        <x:v>نیازمند تکمیل و تأیید مالک</x:v>
      </x:c>
    </x:row>
    <x:row r="6">
      <x:c r="A6" s="17" t="inlineStr">
        <x:is>
          <x:t xml:space="preserve">REP-05</x:t>
        </x:is>
      </x:c>
      <x:c r="B6" s="4" t="inlineStr">
        <x:is>
          <x:t xml:space="preserve">Meta Ads &amp; Social Media</x:t>
        </x:is>
      </x:c>
      <x:c r="C6" s="4" t="inlineStr">
        <x:is>
          <x:t xml:space="preserve">گزارش عملکرد بصری و کمپین‌های شبکه‌های اجتماعی متا و اینستاگرام</x:t>
        </x:is>
      </x:c>
      <x:c r="D6" s="4" t="inlineStr">
        <x:is>
          <x:t xml:space="preserve">Meta Ads Creative, Catalog &amp; Social Media Report</x:t>
        </x:is>
      </x:c>
      <x:c r="E6" s="4" t="inlineStr">
        <x:is>
          <x:t xml:space="preserve">کمپین‌های ریلز، استوری و کاتالوگ فروش اینستاگرام چقدر در جذب دندان‌پزشکان و فروش مواد موفق هستند؟</x:t>
        </x:is>
      </x:c>
      <x:c r="F6" s="4" t="inlineStr">
        <x:is>
          <x:t xml:space="preserve">به‌روزرسانی محتوای خلاقه، تنظیم بودجه ادست‌ها، خاموش کردن واریانت‌های ضعیف، اصلاح مخاطبان هدف.</x:t>
        </x:is>
      </x:c>
      <x:c r="G6" s="4" t="inlineStr">
        <x:is>
          <x:t xml:space="preserve">Paid Social Specialist، Creative Lead، Performance Marketer</x:t>
        </x:is>
      </x:c>
      <x:c r="H6" s="4" t="inlineStr">
        <x:is>
          <x:t xml:space="preserve">Spend, Reach, Frequency, Impressions, Link Clicks, Outbound CTR, Purchases, ROAS</x:t>
        </x:is>
      </x:c>
      <x:c r="I6" s="4" t="inlineStr">
        <x:is>
          <x:t xml:space="preserve">Hook Rate, Hold Rate, Cost per Video View, CPM, Add-to-Cart from Social, EMQ Score</x:t>
        </x:is>
      </x:c>
      <x:c r="J6" s="4" t="inlineStr">
        <x:is>
          <x:t xml:space="preserve">کمپین، ادست، خلاقه (Creative Asset)، فرمت (Video, Carousel, Image)، جایگاه (Reels, Story, Feed)</x:t>
        </x:is>
      </x:c>
      <x:c r="K6" s="4" t="inlineStr">
        <x:is>
          <x:t xml:space="preserve">داده‌های Meta Marketing API و لاگ‌های Meta Pixel / CAPI</x:t>
        </x:is>
      </x:c>
      <x:c r="L6" s="4" t="inlineStr">
        <x:is>
          <x:t xml:space="preserve">Meta Ads Manager, BigQuery Event Stream</x:t>
        </x:is>
      </x:c>
      <x:c r="M6" s="4" t="inlineStr">
        <x:is>
          <x:t xml:space="preserve">سطح آگهی و فایل خلاقه (Ad &amp; Creative Level)</x:t>
        </x:is>
      </x:c>
      <x:c r="N6" s="4" t="inlineStr">
        <x:is>
          <x:t xml:space="preserve">روزانه، هفتگی</x:t>
        </x:is>
      </x:c>
      <x:c r="O6" s="4" t="inlineStr">
        <x:is>
          <x:t xml:space="preserve">گالری تصویری پیش‌نمایش به همراه متریک‌ها، Donut Chart سهم فرمت‌ها، Line Chart روند هزینه</x:t>
        </x:is>
      </x:c>
      <x:c r="P6" s="4" t="inlineStr">
        <x:is>
          <x:t xml:space="preserve">روزانه</x:t>
        </x:is>
      </x:c>
      <x:c r="Q6" s="4" t="inlineStr">
        <x:is>
          <x:t xml:space="preserve">حیاتی (Critical)</x:t>
        </x:is>
      </x:c>
      <x:c r="R6" s="4" t="inlineStr">
        <x:is>
          <x:t xml:space="preserve">در صورت ثبت فرکانس بالاتر از ۳.۵ همراه با افت ۳۰٪ در Outbound CTR در بازه ۷ روزه، جایگزینی فوری طرح بنر یا ویدیو.</x:t>
        </x:is>
      </x:c>
      <x:c r="S6" s="30" t="str">
        <x:v>REP-05</x:v>
      </x:c>
      <x:c r="T6" s="30" t="str">
        <x:v>W4</x:v>
      </x:c>
      <x:c r="U6" s="30" t="str">
        <x:v>نیازمند تکمیل و تأیید مالک</x:v>
      </x:c>
      <x:c r="V6" s="30" t="str">
        <x:v>BI Lead</x:v>
      </x:c>
      <x:c r="W6" s="30" t="str">
        <x:v>Proposed</x:v>
      </x:c>
      <x:c r="X6" s="30" t="str">
        <x:v>نیازمند تکمیل و تأیید مالک</x:v>
      </x:c>
    </x:row>
    <x:row r="7">
      <x:c r="A7" s="19" t="inlineStr">
        <x:is>
          <x:t xml:space="preserve">REP-06</x:t>
        </x:is>
      </x:c>
      <x:c r="B7" s="6" t="inlineStr">
        <x:is>
          <x:t xml:space="preserve">Campaign Performance</x:t>
        </x:is>
      </x:c>
      <x:c r="C7" s="6" t="inlineStr">
        <x:is>
          <x:t xml:space="preserve">گزارش عمیق عملکرد و بازدهی کمپین‌ها</x:t>
        </x:is>
      </x:c>
      <x:c r="D7" s="6" t="inlineStr">
        <x:is>
          <x:t xml:space="preserve">Deep-Dive Multi-Channel Campaign Performance Report</x:t>
        </x:is>
      </x:c>
      <x:c r="E7" s="6" t="inlineStr">
        <x:is>
          <x:t xml:space="preserve">کدام کمپین‌ها به تفکیک ساختار و هدف بازاریابی توانسته‌اند تارگت‌های فروش و لید را محقق کنند؟</x:t>
        </x:is>
      </x:c>
      <x:c r="F7" s="6" t="inlineStr">
        <x:is>
          <x:t xml:space="preserve">تغییر فاز کمپین‌ها، بازتوزیع اعتبار میان کمپین‌های جذب در برابر ریتارگتینگ، بازنویسی کپی‌ها.</x:t>
        </x:is>
      </x:c>
      <x:c r="G7" s="6" t="inlineStr">
        <x:is>
          <x:t xml:space="preserve">Performance Marketer، Campaign Manager</x:t>
        </x:is>
      </x:c>
      <x:c r="H7" s="6" t="inlineStr">
        <x:is>
          <x:t xml:space="preserve">Spend, Impressions, Clicks, Conversions, CPA, Revenue, ROAS, POAS</x:t>
        </x:is>
      </x:c>
      <x:c r="I7" s="6" t="inlineStr">
        <x:is>
          <x:t xml:space="preserve">CVR, CPC, Conversion Lag Days, Frequency, Margin generated</x:t>
        </x:is>
      </x:c>
      <x:c r="J7" s="6" t="inlineStr">
        <x:is>
          <x:t xml:space="preserve">کمپین، کانال، هدف بازاریابی (TOFU, MOFU, BOFU)، فصل/دوره کمپین</x:t>
        </x:is>
      </x:c>
      <x:c r="K7" s="6" t="inlineStr">
        <x:is>
          <x:t xml:space="preserve">دیتای تجمیعی کمپین‌ها از تمامی کانال‌ها و پایگاه داده سفارشات</x:t>
        </x:is>
      </x:c>
      <x:c r="L7" s="6" t="inlineStr">
        <x:is>
          <x:t xml:space="preserve">Google Ads, Meta Ads, پنل‌های SMS و ایمیل، CRM</x:t>
        </x:is>
      </x:c>
      <x:c r="M7" s="6" t="inlineStr">
        <x:is>
          <x:t xml:space="preserve">سطح کمپین (Campaign Level)</x:t>
        </x:is>
      </x:c>
      <x:c r="N7" s="6" t="inlineStr">
        <x:is>
          <x:t xml:space="preserve">هفتگی، ماهانه، در طول دوره اجرای کمپین</x:t>
        </x:is>
      </x:c>
      <x:c r="O7" s="6" t="inlineStr">
        <x:is>
          <x:t xml:space="preserve">Pivot Table چندبعدی، Bubble Chart (حجم لید در برابر هزینه و کیفیت)</x:t>
        </x:is>
      </x:c>
      <x:c r="P7" s="6" t="inlineStr">
        <x:is>
          <x:t xml:space="preserve">روزانه</x:t>
        </x:is>
      </x:c>
      <x:c r="Q7" s="6" t="inlineStr">
        <x:is>
          <x:t xml:space="preserve">بسیار مهم (High)</x:t>
        </x:is>
      </x:c>
      <x:c r="R7" s="6" t="inlineStr">
        <x:is>
          <x:t xml:space="preserve">متوقف کردن کمپین‌هایی که به ۲ برابر آستانه CPA مجاز رسیده‌اند بدون اینکه لید SQL تولید کنند.</x:t>
        </x:is>
      </x:c>
      <x:c r="S7" s="30" t="str">
        <x:v>REP-06</x:v>
      </x:c>
      <x:c r="T7" s="30" t="str">
        <x:v>W5</x:v>
      </x:c>
      <x:c r="U7" s="30" t="str">
        <x:v>نیازمند تکمیل و تأیید مالک</x:v>
      </x:c>
      <x:c r="V7" s="30" t="str">
        <x:v>BI Lead</x:v>
      </x:c>
      <x:c r="W7" s="30" t="str">
        <x:v>Proposed</x:v>
      </x:c>
      <x:c r="X7" s="30" t="str">
        <x:v>نیازمند تکمیل و تأیید مالک</x:v>
      </x:c>
    </x:row>
    <x:row r="8">
      <x:c r="A8" s="17" t="inlineStr">
        <x:is>
          <x:t xml:space="preserve">REP-07</x:t>
        </x:is>
      </x:c>
      <x:c r="B8" s="4" t="inlineStr">
        <x:is>
          <x:t xml:space="preserve">Creative Performance</x:t>
        </x:is>
      </x:c>
      <x:c r="C8" s="4" t="inlineStr">
        <x:is>
          <x:t xml:space="preserve">گزارش تحلیل محتواهای خلاقه و دارایی‌های تبلیغاتی</x:t>
        </x:is>
      </x:c>
      <x:c r="D8" s="4" t="inlineStr">
        <x:is>
          <x:t xml:space="preserve">Creative Asset &amp; Ad Copy Performance Report</x:t>
        </x:is>
      </x:c>
      <x:c r="E8" s="4" t="inlineStr">
        <x:is>
          <x:t xml:space="preserve">کدام زوایای پیام، تصاویر و فرمت‌های تبلیغاتی بالاترین جذابیت و تبدیل را برای کلینیک‌ها دارند؟</x:t>
        </x:is>
      </x:c>
      <x:c r="F8" s="4" t="inlineStr">
        <x:is>
          <x:t xml:space="preserve">تولید محتواهای مشابه برندگان (Winners)، حذف سبک‌های گرافیکی شکست‌خورده، سفارش تیزرهای جدید به تیم تولید.</x:t>
        </x:is>
      </x:c>
      <x:c r="G8" s="4" t="inlineStr">
        <x:is>
          <x:t xml:space="preserve">Creative Lead، Copywriter، Performance Marketer</x:t>
        </x:is>
      </x:c>
      <x:c r="H8" s="4" t="inlineStr">
        <x:is>
          <x:t xml:space="preserve">Impressions, Creative CTR, Creative CVR, Conversions, CPA, ROAS</x:t>
        </x:is>
      </x:c>
      <x:c r="I8" s="4" t="inlineStr">
        <x:is>
          <x:t xml:space="preserve">Hook Rate (3s View %), Hold Rate (ThruPlay %), Engagement Rate, Average Watch Time</x:t>
        </x:is>
      </x:c>
      <x:c r="J8" s="4" t="inlineStr">
        <x:is>
          <x:t xml:space="preserve">فایل خلاقه (Asset ID)، زاویه پیام (گارانتی، قیمت، کیفیت)، فرمت، گوینده/پرزنتور</x:t>
        </x:is>
      </x:c>
      <x:c r="K8" s="4" t="inlineStr">
        <x:is>
          <x:t xml:space="preserve">داده‌های بصری پلتفرم‌ها متصل به کدگذاری یکتای فایل‌های چندرسانه‌ای</x:t>
        </x:is>
      </x:c>
      <x:c r="L8" s="4" t="inlineStr">
        <x:is>
          <x:t xml:space="preserve">Meta Ads, Google YouTube Ads, دیتابیس DAM داخلی</x:t>
        </x:is>
      </x:c>
      <x:c r="M8" s="4" t="inlineStr">
        <x:is>
          <x:t xml:space="preserve">سطح فایل خلاقه (Creative Asset Level)</x:t>
        </x:is>
      </x:c>
      <x:c r="N8" s="4" t="inlineStr">
        <x:is>
          <x:t xml:space="preserve">هفتگی، دو هفته یک‌بار</x:t>
        </x:is>
      </x:c>
      <x:c r="O8" s="4" t="inlineStr">
        <x:is>
          <x:t xml:space="preserve">Creative Leaderboard Table، نمودار Retention ویدیوها ثانیه به ثانیه</x:t>
        </x:is>
      </x:c>
      <x:c r="P8" s="4" t="inlineStr">
        <x:is>
          <x:t xml:space="preserve">هفتگی</x:t>
        </x:is>
      </x:c>
      <x:c r="Q8" s="4" t="inlineStr">
        <x:is>
          <x:t xml:space="preserve">بسیار مهم (High)</x:t>
        </x:is>
      </x:c>
      <x:c r="R8" s="4" t="inlineStr">
        <x:is>
          <x:t xml:space="preserve">تکثیر و ساخت حداقل ۳ نسخه جدید از ویدیوهایی که Hook Rate بالای ۳۵٪ و CPA زیر تارگت ثبت کرده‌اند.</x:t>
        </x:is>
      </x:c>
      <x:c r="S8" s="30" t="str">
        <x:v>REP-07</x:v>
      </x:c>
      <x:c r="T8" s="30" t="str">
        <x:v>W5</x:v>
      </x:c>
      <x:c r="U8" s="30" t="str">
        <x:v>نیازمند تکمیل و تأیید مالک</x:v>
      </x:c>
      <x:c r="V8" s="30" t="str">
        <x:v>BI Lead</x:v>
      </x:c>
      <x:c r="W8" s="30" t="str">
        <x:v>Proposed</x:v>
      </x:c>
      <x:c r="X8" s="30" t="str">
        <x:v>نیازمند تکمیل و تأیید مالک</x:v>
      </x:c>
    </x:row>
    <x:row r="9">
      <x:c r="A9" s="19" t="inlineStr">
        <x:is>
          <x:t xml:space="preserve">REP-08</x:t>
        </x:is>
      </x:c>
      <x:c r="B9" s="6" t="inlineStr">
        <x:is>
          <x:t xml:space="preserve">Creative Saturation</x:t>
        </x:is>
      </x:c>
      <x:c r="C9" s="6" t="inlineStr">
        <x:is>
          <x:t xml:space="preserve">گزارش فرسایش، خستگی و اشباع خلاقه‌ها</x:t>
        </x:is>
      </x:c>
      <x:c r="D9" s="6" t="inlineStr">
        <x:is>
          <x:t xml:space="preserve">Creative Fatigue, Saturation &amp; Decay Report</x:t>
        </x:is>
      </x:c>
      <x:c r="E9" s="6" t="inlineStr">
        <x:is>
          <x:t xml:space="preserve">کدام‌یک از طرح‌های تبلیغاتی به پایان چرخه عمر مفید خود رسیده‌اند و در حال سوزاندن بودجه هستند؟</x:t>
        </x:is>
      </x:c>
      <x:c r="F9" s="6" t="inlineStr">
        <x:is>
          <x:t xml:space="preserve">خاموش کردن و بازنشستگی طرح‌های فرسوده؛ تزریق کریتیوهای رزرو به ادست‌های فعال.</x:t>
        </x:is>
      </x:c>
      <x:c r="G9" s="6" t="inlineStr">
        <x:is>
          <x:t xml:space="preserve">Performance Marketer، Creative Lead</x:t>
        </x:is>
      </x:c>
      <x:c r="H9" s="6" t="inlineStr">
        <x:is>
          <x:t xml:space="preserve">Creative Lifespan Days, Frequency (7-day), CTR Decay %, CPA Inflation %</x:t>
        </x:is>
      </x:c>
      <x:c r="I9" s="6" t="inlineStr">
        <x:is>
          <x:t xml:space="preserve">First-Time Impression Ratio, Hook Decay Rate, Cumulative Spend per Asset</x:t>
        </x:is>
      </x:c>
      <x:c r="J9" s="6" t="inlineStr">
        <x:is>
          <x:t xml:space="preserve">Asset ID, نوع آگهی، جامعه مخاطب درگیر، تاریخ شروع انتشار</x:t>
        </x:is>
      </x:c>
      <x:c r="K9" s="6" t="inlineStr">
        <x:is>
          <x:t xml:space="preserve">سری زمانی عملکرد روزانه هر کریتیو از روز اول لانچ تا لحظه جاری</x:t>
        </x:is>
      </x:c>
      <x:c r="L9" s="6" t="inlineStr">
        <x:is>
          <x:t xml:space="preserve">APIهای تبلیغاتی و اسکریپت مانیتورینگ فرسایش در Looker Studio</x:t>
        </x:is>
      </x:c>
      <x:c r="M9" s="6" t="inlineStr">
        <x:is>
          <x:t xml:space="preserve">سطح فایل آگهی (Asset Level)</x:t>
        </x:is>
      </x:c>
      <x:c r="N9" s="6" t="inlineStr">
        <x:is>
          <x:t xml:space="preserve">روزانه (پایش ترند ۷ روزه)</x:t>
        </x:is>
      </x:c>
      <x:c r="O9" s="6" t="inlineStr">
        <x:is>
          <x:t xml:space="preserve">Line Chart روند معکوس CTR و Frequency، ماتریس وضعیت کریتیوها (سبز/زرد/قرمز)</x:t>
        </x:is>
      </x:c>
      <x:c r="P9" s="6" t="inlineStr">
        <x:is>
          <x:t xml:space="preserve">روزانه</x:t>
        </x:is>
      </x:c>
      <x:c r="Q9" s="6" t="inlineStr">
        <x:is>
          <x:t xml:space="preserve">حیاتی (Critical)</x:t>
        </x:is>
      </x:c>
      <x:c r="R9" s="6" t="inlineStr">
        <x:is>
          <x:t xml:space="preserve">به محض ثبت افت بیش از ۳۰ درصدی CTR همزمان با رشد ۳۵ درصدی CPA نسبت به هفته اول، خاموشی فوری طرح.</x:t>
        </x:is>
      </x:c>
      <x:c r="S9" s="30" t="str">
        <x:v>REP-08</x:v>
      </x:c>
      <x:c r="T9" s="30" t="str">
        <x:v>W4</x:v>
      </x:c>
      <x:c r="U9" s="30" t="str">
        <x:v>نیازمند تکمیل و تأیید مالک</x:v>
      </x:c>
      <x:c r="V9" s="30" t="str">
        <x:v>BI Lead</x:v>
      </x:c>
      <x:c r="W9" s="30" t="str">
        <x:v>Proposed</x:v>
      </x:c>
      <x:c r="X9" s="30" t="str">
        <x:v>نیازمند تکمیل و تأیید مالک</x:v>
      </x:c>
    </x:row>
    <x:row r="10">
      <x:c r="A10" s="17" t="inlineStr">
        <x:is>
          <x:t xml:space="preserve">REP-09</x:t>
        </x:is>
      </x:c>
      <x:c r="B10" s="4" t="inlineStr">
        <x:is>
          <x:t xml:space="preserve">Audience Performance</x:t>
        </x:is>
      </x:c>
      <x:c r="C10" s="4" t="inlineStr">
        <x:is>
          <x:t xml:space="preserve">گزارش عملکرد مخاطبان و سگمنت‌های هدف‌گیری</x:t>
        </x:is>
      </x:c>
      <x:c r="D10" s="4" t="inlineStr">
        <x:is>
          <x:t xml:space="preserve">Audience Segment &amp; Targeting Efficiency Report</x:t>
        </x:is>
      </x:c>
      <x:c r="E10" s="4" t="inlineStr">
        <x:is>
          <x:t xml:space="preserve">کدام سگمنت‌های مخاطب (دندان‌پزشکان عمومی، متخصصان جراحی/ارتو، لوک‌الایک‌ها) بیشترین بازدهی را دارند؟</x:t>
        </x:is>
      </x:c>
      <x:c r="F10" s="4" t="inlineStr">
        <x:is>
          <x:t xml:space="preserve">حذف سگمنت‌های کم‌بازده، باریک‌تر کردن تارگتینگ یا گسترش به مخاطبان Broad بر اساس داده‌های هوش مصنوعی.</x:t>
        </x:is>
      </x:c>
      <x:c r="G10" s="4" t="inlineStr">
        <x:is>
          <x:t xml:space="preserve">Performance Marketer، CRM Specialist</x:t>
        </x:is>
      </x:c>
      <x:c r="H10" s="4" t="inlineStr">
        <x:is>
          <x:t xml:space="preserve">Reach, Impressions, Clicks, Spend, Conversions, CAC, ROAS</x:t>
        </x:is>
      </x:c>
      <x:c r="I10" s="4" t="inlineStr">
        <x:is>
          <x:t xml:space="preserve">Audience Saturation Rate, Overlap %, CPC by Audience, CVR</x:t>
        </x:is>
      </x:c>
      <x:c r="J10" s="4" t="inlineStr">
        <x:is>
          <x:t xml:space="preserve">نوع سگمنت (Lookalike 1%, Retargeting, Interest-based, Custom List)، تخصص پزشکی</x:t>
        </x:is>
      </x:c>
      <x:c r="K10" s="4" t="inlineStr">
        <x:is>
          <x:t xml:space="preserve">داده‌های پنل‌های تبلیغاتی تطبیق‌یافته با سگمنت‌های مشتریان در CRM</x:t>
        </x:is>
      </x:c>
      <x:c r="L10" s="4" t="inlineStr">
        <x:is>
          <x:t xml:space="preserve">Meta Ads Audience Insights, Google Ads Audience Manager, CRM</x:t>
        </x:is>
      </x:c>
      <x:c r="M10" s="4" t="inlineStr">
        <x:is>
          <x:t xml:space="preserve">سطح گروه مخاطب (Audience Segment Level)</x:t>
        </x:is>
      </x:c>
      <x:c r="N10" s="4" t="inlineStr">
        <x:is>
          <x:t xml:space="preserve">هفتگی، ماهانه</x:t>
        </x:is>
      </x:c>
      <x:c r="O10" s="4" t="inlineStr">
        <x:is>
          <x:t xml:space="preserve">Horizontal Bar Chart مقایسه CAC سگمنت‌ها، Venn Diagram هم‌پوشانی مخاطبان</x:t>
        </x:is>
      </x:c>
      <x:c r="P10" s="4" t="inlineStr">
        <x:is>
          <x:t xml:space="preserve">هفتگی</x:t>
        </x:is>
      </x:c>
      <x:c r="Q10" s="4" t="inlineStr">
        <x:is>
          <x:t xml:space="preserve">بسیار مهم (High)</x:t>
        </x:is>
      </x:c>
      <x:c r="R10" s="4" t="inlineStr">
        <x:is>
          <x:t xml:space="preserve">اگر هم‌پوشانی (Overlap) دو ادست بالای ۴۰٪ باشد، ادغام آن‌ها در یک گروه مخاطب متمرکز جهت رفع رقابت داخلی.</x:t>
        </x:is>
      </x:c>
      <x:c r="S10" s="30" t="str">
        <x:v>REP-09</x:v>
      </x:c>
      <x:c r="T10" s="30" t="str">
        <x:v>W5</x:v>
      </x:c>
      <x:c r="U10" s="30" t="str">
        <x:v>نیازمند تکمیل و تأیید مالک</x:v>
      </x:c>
      <x:c r="V10" s="30" t="str">
        <x:v>BI Lead</x:v>
      </x:c>
      <x:c r="W10" s="30" t="str">
        <x:v>Proposed</x:v>
      </x:c>
      <x:c r="X10" s="30" t="str">
        <x:v>نیازمند تکمیل و تأیید مالک</x:v>
      </x:c>
    </x:row>
    <x:row r="11">
      <x:c r="A11" s="19" t="inlineStr">
        <x:is>
          <x:t xml:space="preserve">REP-10</x:t>
        </x:is>
      </x:c>
      <x:c r="B11" s="6" t="inlineStr">
        <x:is>
          <x:t xml:space="preserve">Website &amp; Landing Page</x:t>
        </x:is>
      </x:c>
      <x:c r="C11" s="6" t="inlineStr">
        <x:is>
          <x:t xml:space="preserve">گزارش عملکرد وب‌سایت، صفحات فرود و تجربه کاربری</x:t>
        </x:is>
      </x:c>
      <x:c r="D11" s="6" t="inlineStr">
        <x:is>
          <x:t xml:space="preserve">Landing Page Experience &amp; CRO Diagnostic Report</x:t>
        </x:is>
      </x:c>
      <x:c r="E11" s="6" t="inlineStr">
        <x:is>
          <x:t xml:space="preserve">صفحات فرود کمپین‌ها چگونه عمل می‌کنند و دندان‌پزشکان در کجای صفحه دچار ریزش یا سردرگمی می‌شوند؟</x:t>
        </x:is>
      </x:c>
      <x:c r="F11" s="6" t="inlineStr">
        <x:is>
          <x:t xml:space="preserve">بهبود زمان بارگذاری، جابجایی دکمه‌های فراخوان (CTA)، بهینه‌سازی ریسپانسیو و رفع خطاهای فرم‌ها.</x:t>
        </x:is>
      </x:c>
      <x:c r="G11" s="6" t="inlineStr">
        <x:is>
          <x:t xml:space="preserve">CRO Lead، Webmaster، UX Designer</x:t>
        </x:is>
      </x:c>
      <x:c r="H11" s="6" t="inlineStr">
        <x:is>
          <x:t xml:space="preserve">Landing Page Views, LPVR %, Bounce Rate %, Conversion Rate %, Form Starts</x:t>
        </x:is>
      </x:c>
      <x:c r="I11" s="6" t="inlineStr">
        <x:is>
          <x:t xml:space="preserve">Core Web Vitals (LCP, FID, CLS), Average Scroll Depth %, Session Duration, Error Clicks</x:t>
        </x:is>
      </x:c>
      <x:c r="J11" s="6" t="inlineStr">
        <x:is>
          <x:t xml:space="preserve">آدرس صفحه فرود (URL Path)، نسخه تست (Variant A/B)، دستگاه کاربر، سرعت اینترنت</x:t>
        </x:is>
      </x:c>
      <x:c r="K11" s="6" t="inlineStr">
        <x:is>
          <x:t xml:space="preserve">لاگ تعاملات کلاینت، رویدادهای اسکرول و فرم، سنسورهای سرعت لود سرور</x:t>
        </x:is>
      </x:c>
      <x:c r="L11" s="6" t="inlineStr">
        <x:is>
          <x:t xml:space="preserve">GA4, PostHog, Microsoft Clarity, Google Search Console</x:t>
        </x:is>
      </x:c>
      <x:c r="M11" s="6" t="inlineStr">
        <x:is>
          <x:t xml:space="preserve">سطح صفحه اینترنتی (Page URL Level)</x:t>
        </x:is>
      </x:c>
      <x:c r="N11" s="6" t="inlineStr">
        <x:is>
          <x:t xml:space="preserve">هفتگی، پس از هر تغییر لندینگ</x:t>
        </x:is>
      </x:c>
      <x:c r="O11" s="6" t="inlineStr">
        <x:is>
          <x:t xml:space="preserve">Heatmap کلیک و اسکرول، Funnel ریزش صفحه، جدول وضعیت سرعت لود</x:t>
        </x:is>
      </x:c>
      <x:c r="P11" s="6" t="inlineStr">
        <x:is>
          <x:t xml:space="preserve">هفتگی</x:t>
        </x:is>
      </x:c>
      <x:c r="Q11" s="6" t="inlineStr">
        <x:is>
          <x:t xml:space="preserve">حیاتی (Critical)</x:t>
        </x:is>
      </x:c>
      <x:c r="R11" s="6" t="inlineStr">
        <x:is>
          <x:t xml:space="preserve">اگر زمان لود لندینگ بالای ۳ ثانیه یا LPVR کمتر از ۷۵٪ باشد، فشرده‌سازی فایل‌ها و تعویض سرور لندینگ ظرف ۲۴ ساعت.</x:t>
        </x:is>
      </x:c>
      <x:c r="S11" s="30" t="str">
        <x:v>REP-10</x:v>
      </x:c>
      <x:c r="T11" s="30" t="str">
        <x:v>W4</x:v>
      </x:c>
      <x:c r="U11" s="30" t="str">
        <x:v>نیازمند تکمیل و تأیید مالک</x:v>
      </x:c>
      <x:c r="V11" s="30" t="str">
        <x:v>BI Lead</x:v>
      </x:c>
      <x:c r="W11" s="30" t="str">
        <x:v>Proposed</x:v>
      </x:c>
      <x:c r="X11" s="30" t="str">
        <x:v>نیازمند تکمیل و تأیید مالک</x:v>
      </x:c>
    </x:row>
    <x:row r="12">
      <x:c r="A12" s="17" t="inlineStr">
        <x:is>
          <x:t xml:space="preserve">REP-11</x:t>
        </x:is>
      </x:c>
      <x:c r="B12" s="4" t="inlineStr">
        <x:is>
          <x:t xml:space="preserve">Conversion Funnel</x:t>
        </x:is>
      </x:c>
      <x:c r="C12" s="4" t="inlineStr">
        <x:is>
          <x:t xml:space="preserve">گزارش قیف ریزش فروشگاه آنلاین و اصطکاک سبد خرید</x:t>
        </x:is>
      </x:c>
      <x:c r="D12" s="4" t="inlineStr">
        <x:is>
          <x:t xml:space="preserve">Full-Funnel E-commerce Drop-off &amp; Checkout Friction Report</x:t>
        </x:is>
      </x:c>
      <x:c r="E12" s="4" t="inlineStr">
        <x:is>
          <x:t xml:space="preserve">بزرگ‌ترین گلوگاه‌های ریزش خریدار در مسیر مشاهده محصول تا پرداخت نهایی درگاه کجاست؟</x:t>
        </x:is>
      </x:c>
      <x:c r="F12" s="4" t="inlineStr">
        <x:is>
          <x:t xml:space="preserve">اصلاح گام‌های تسویه حساب، حذف فیلدهای اجباری، اضافه کردن درگاه‌های پرداخت جایگزین، بهینه‌سازی فرم آدرس.</x:t>
        </x:is>
      </x:c>
      <x:c r="G12" s="4" t="inlineStr">
        <x:is>
          <x:t xml:space="preserve">CRO Specialist، E-commerce Product Manager</x:t>
        </x:is>
      </x:c>
      <x:c r="H12" s="4" t="inlineStr">
        <x:is>
          <x:t xml:space="preserve">Product Views, Add to Carts, Checkout Initiations, Purchases, Funnel CVR %</x:t>
        </x:is>
      </x:c>
      <x:c r="I12" s="4" t="inlineStr">
        <x:is>
          <x:t xml:space="preserve">Cart Abandonment Rate %, Checkout Drop-off %, Payment Failure Rate %, Time to Checkout</x:t>
        </x:is>
      </x:c>
      <x:c r="J12" s="4" t="inlineStr">
        <x:is>
          <x:t xml:space="preserve">نوع مشتری (جدید/بازگشتی)، دسته‌بندی محصول، روش پرداخت انتخابی، نوع دستگاه</x:t>
        </x:is>
      </x:c>
      <x:c r="K12" s="4" t="inlineStr">
        <x:is>
          <x:t xml:space="preserve">رویدادهای تجارت الکترونیک استاندارد GA4 و دیتابیس تراکنش‌های مالی</x:t>
        </x:is>
      </x:c>
      <x:c r="L12" s="4" t="inlineStr">
        <x:is>
          <x:t xml:space="preserve">GA4 Funnel Exploration, E-commerce Backend Logs</x:t>
        </x:is>
      </x:c>
      <x:c r="M12" s="4" t="inlineStr">
        <x:is>
          <x:t xml:space="preserve">سطح مرحله قیف و نشست (Funnel Step Level)</x:t>
        </x:is>
      </x:c>
      <x:c r="N12" s="4" t="inlineStr">
        <x:is>
          <x:t xml:space="preserve">روزانه، هفتگی</x:t>
        </x:is>
      </x:c>
      <x:c r="O12" s="4" t="inlineStr">
        <x:is>
          <x:t xml:space="preserve">3D Funnel Chart ریزش، Trendline نرخ رهاسازی سبد، Table علل لغو درگاه</x:t>
        </x:is>
      </x:c>
      <x:c r="P12" s="4" t="inlineStr">
        <x:is>
          <x:t xml:space="preserve">روزانه</x:t>
        </x:is>
      </x:c>
      <x:c r="Q12" s="4" t="inlineStr">
        <x:is>
          <x:t xml:space="preserve">حیاتی (Critical)</x:t>
        </x:is>
      </x:c>
      <x:c r="R12" s="4" t="inlineStr">
        <x:is>
          <x:t xml:space="preserve">در صورت جهش Cart Abandonment به بیش از ۷۵٪، بررسی فوری قطعی درگاه بانکی شاپرک یا کرایه باربری غیرمنطقی.</x:t>
        </x:is>
      </x:c>
      <x:c r="S12" s="30" t="str">
        <x:v>REP-11</x:v>
      </x:c>
      <x:c r="T12" s="30" t="str">
        <x:v>W4</x:v>
      </x:c>
      <x:c r="U12" s="30" t="str">
        <x:v>نیازمند تکمیل و تأیید مالک</x:v>
      </x:c>
      <x:c r="V12" s="30" t="str">
        <x:v>BI Lead</x:v>
      </x:c>
      <x:c r="W12" s="30" t="str">
        <x:v>Proposed</x:v>
      </x:c>
      <x:c r="X12" s="30" t="str">
        <x:v>نیازمند تکمیل و تأیید مالک</x:v>
      </x:c>
    </x:row>
    <x:row r="13">
      <x:c r="A13" s="19" t="inlineStr">
        <x:is>
          <x:t xml:space="preserve">REP-12</x:t>
        </x:is>
      </x:c>
      <x:c r="B13" s="6" t="inlineStr">
        <x:is>
          <x:t xml:space="preserve">E-commerce &amp; Revenue</x:t>
        </x:is>
      </x:c>
      <x:c r="C13" s="6" t="inlineStr">
        <x:is>
          <x:t xml:space="preserve">گزارش عملکرد تجارت الکترونیک، درآمد خالص و سود سفارش‌ها</x:t>
        </x:is>
      </x:c>
      <x:c r="D13" s="6" t="inlineStr">
        <x:is>
          <x:t xml:space="preserve">E-commerce Net Revenue &amp; Order Contribution Margin Report</x:t>
        </x:is>
      </x:c>
      <x:c r="E13" s="6" t="inlineStr">
        <x:is>
          <x:t xml:space="preserve">فروشگاه آنلاین چقدر درآمد خالص و سود واقعی پس از کسر تمام هزینه‌ها محقق کرده است؟</x:t>
        </x:is>
      </x:c>
      <x:c r="F13" s="6" t="inlineStr">
        <x:is>
          <x:t xml:space="preserve">تغییر ترکیب سبدهای پیشنهادی، اصلاح حداقل مبلغ سفارش برای ارسال رایگان، مدیریت قیمت‌ها.</x:t>
        </x:is>
      </x:c>
      <x:c r="G13" s="6" t="inlineStr">
        <x:is>
          <x:t xml:space="preserve">E-commerce Manager، CFO، CMO</x:t>
        </x:is>
      </x:c>
      <x:c r="H13" s="6" t="inlineStr">
        <x:is>
          <x:t xml:space="preserve">Gross Revenue, Net Revenue, Completed Orders, AOV, Gross Profit, Total CM</x:t>
        </x:is>
      </x:c>
      <x:c r="I13" s="6" t="inlineStr">
        <x:is>
          <x:t xml:space="preserve">Items per Order, Discount Rate %, Cancellation Rate %, Refund Amount, Profit per Order</x:t>
        </x:is>
      </x:c>
      <x:c r="J13" s="6" t="inlineStr">
        <x:is>
          <x:t xml:space="preserve">روش پرداخت (نقدی، چکی)، روش ارسال، کانال جذب، رده مبلغی سفارش</x:t>
        </x:is>
      </x:c>
      <x:c r="K13" s="6" t="inlineStr">
        <x:is>
          <x:t xml:space="preserve">دیتابیس فاکتورهای رسمی فروش و بهای تمام‌شده انبارداری (COGS)</x:t>
        </x:is>
      </x:c>
      <x:c r="L13" s="6" t="inlineStr">
        <x:is>
          <x:t xml:space="preserve">نرم‌افزار مالی حسابداری، دیتابیس فروشگاه، DWH</x:t>
        </x:is>
      </x:c>
      <x:c r="M13" s="6" t="inlineStr">
        <x:is>
          <x:t xml:space="preserve">سطح فاکتور سفارش (Order Level)</x:t>
        </x:is>
      </x:c>
      <x:c r="N13" s="6" t="inlineStr">
        <x:is>
          <x:t xml:space="preserve">روزانه، هفتگی، ماهانه</x:t>
        </x:is>
      </x:c>
      <x:c r="O13" s="6" t="inlineStr">
        <x:is>
          <x:t xml:space="preserve">Waterfall Chart درآمد به سود خالص، KPI Scorecards، Line Trend درآمد خالص</x:t>
        </x:is>
      </x:c>
      <x:c r="P13" s="6" t="inlineStr">
        <x:is>
          <x:t xml:space="preserve">روزانه</x:t>
        </x:is>
      </x:c>
      <x:c r="Q13" s="6" t="inlineStr">
        <x:is>
          <x:t xml:space="preserve">حیاتی (Critical)</x:t>
        </x:is>
      </x:c>
      <x:c r="R13" s="6" t="inlineStr">
        <x:is>
          <x:t xml:space="preserve">در صورت افت ارزش میانگین سفارش (AOV) به زیر ۳ میلیون تومان در مواد مصرفی، تنظیم باندل‌های اجباری با تخفیف ۵٪.</x:t>
        </x:is>
      </x:c>
      <x:c r="S13" s="30" t="str">
        <x:v>REP-12</x:v>
      </x:c>
      <x:c r="T13" s="30" t="str">
        <x:v>W4</x:v>
      </x:c>
      <x:c r="U13" s="30" t="str">
        <x:v>نیازمند تکمیل و تأیید مالک</x:v>
      </x:c>
      <x:c r="V13" s="30" t="str">
        <x:v>BI Lead</x:v>
      </x:c>
      <x:c r="W13" s="30" t="str">
        <x:v>Proposed</x:v>
      </x:c>
      <x:c r="X13" s="30" t="str">
        <x:v>نیازمند تکمیل و تأیید مالک</x:v>
      </x:c>
    </x:row>
    <x:row r="14">
      <x:c r="A14" s="17" t="inlineStr">
        <x:is>
          <x:t xml:space="preserve">REP-13</x:t>
        </x:is>
      </x:c>
      <x:c r="B14" s="4" t="inlineStr">
        <x:is>
          <x:t xml:space="preserve">Product Performance</x:t>
        </x:is>
      </x:c>
      <x:c r="C14" s="4" t="inlineStr">
        <x:is>
          <x:t xml:space="preserve">گزارش سرعت فروش کالا و سودآوری بر پایه SKU</x:t>
        </x:is>
      </x:c>
      <x:c r="D14" s="4" t="inlineStr">
        <x:is>
          <x:t xml:space="preserve">SKU-Level Sales Velocity &amp; Margin Contribution Report</x:t>
        </x:is>
      </x:c>
      <x:c r="E14" s="4" t="inlineStr">
        <x:is>
          <x:t xml:space="preserve">کدام متریال یا دستگاه‌ها بیشترین سود و گردش را دارند و کدام کالاها منابع را قفل کرده‌اند؟</x:t>
        </x:is>
      </x:c>
      <x:c r="F14" s="4" t="inlineStr">
        <x:is>
          <x:t xml:space="preserve">تمرکز تبلیغات روی اقلام پربازده، توقف تبلیغ کالاهای کم‌سود، بازبینی قیمت‌گذاری SKUهای راکد.</x:t>
        </x:is>
      </x:c>
      <x:c r="G14" s="4" t="inlineStr">
        <x:is>
          <x:t xml:space="preserve">Category Manager، E-commerce Lead، Inventory Lead</x:t>
        </x:is>
      </x:c>
      <x:c r="H14" s="4" t="inlineStr">
        <x:is>
          <x:t xml:space="preserve">Units Sold, SKU Net Revenue, Gross Margin %, Total SKU Profit, Inventory Turnover</x:t>
        </x:is>
      </x:c>
      <x:c r="I14" s="4" t="inlineStr">
        <x:is>
          <x:t xml:space="preserve">Product View-to-Cart %, Return Rate %, Days Sales of Inventory (DSI), Restock Lead Time</x:t>
        </x:is>
      </x:c>
      <x:c r="J14" s="4" t="inlineStr">
        <x:is>
          <x:t xml:space="preserve">کد کالا (SKU)، نام محصول، برند، دسته‌بندی درمانی، وضعیت موجودی</x:t>
        </x:is>
      </x:c>
      <x:c r="K14" s="4" t="inlineStr">
        <x:is>
          <x:t xml:space="preserve">لاگ سفارش‌های تفکیکی خطوط فاکتور (Line-items) و کاردکس انبار</x:t>
        </x:is>
      </x:c>
      <x:c r="L14" s="4" t="inlineStr">
        <x:is>
          <x:t xml:space="preserve">WMS انبار مرکزی تیتانا، نرم‌افزار حسابداری صنعتی</x:t>
        </x:is>
      </x:c>
      <x:c r="M14" s="4" t="inlineStr">
        <x:is>
          <x:t xml:space="preserve">سطح قلم کالا (SKU Level)</x:t>
        </x:is>
      </x:c>
      <x:c r="N14" s="4" t="inlineStr">
        <x:is>
          <x:t xml:space="preserve">هفتگی، ماهانه</x:t>
        </x:is>
      </x:c>
      <x:c r="O14" s="4" t="inlineStr">
        <x:is>
          <x:t xml:space="preserve">Matrix Scatter Plot (حاشیه سود در برابر سرعت فروش)، Leaderboard Table اقلام برتر</x:t>
        </x:is>
      </x:c>
      <x:c r="P14" s="4" t="inlineStr">
        <x:is>
          <x:t xml:space="preserve">هفتگی</x:t>
        </x:is>
      </x:c>
      <x:c r="Q14" s="4" t="inlineStr">
        <x:is>
          <x:t xml:space="preserve">حیاتی (Critical)</x:t>
        </x:is>
      </x:c>
      <x:c r="R14" s="4" t="inlineStr">
        <x:is>
          <x:t xml:space="preserve">توقف فوری کمپین‌های ادز اختصاصی روی محصولاتی که حاشیه سود ناخالص کمتر از ۱۵٪ دارند مگر با تایید مدیر مارکتینگ.</x:t>
        </x:is>
      </x:c>
      <x:c r="S14" s="30" t="str">
        <x:v>REP-13</x:v>
      </x:c>
      <x:c r="T14" s="30" t="str">
        <x:v>W4</x:v>
      </x:c>
      <x:c r="U14" s="30" t="str">
        <x:v>نیازمند تکمیل و تأیید مالک</x:v>
      </x:c>
      <x:c r="V14" s="30" t="str">
        <x:v>BI Lead</x:v>
      </x:c>
      <x:c r="W14" s="30" t="str">
        <x:v>Proposed</x:v>
      </x:c>
      <x:c r="X14" s="30" t="str">
        <x:v>نیازمند تکمیل و تأیید مالک</x:v>
      </x:c>
    </x:row>
    <x:row r="15">
      <x:c r="A15" s="19" t="inlineStr">
        <x:is>
          <x:t xml:space="preserve">REP-14</x:t>
        </x:is>
      </x:c>
      <x:c r="B15" s="6" t="inlineStr">
        <x:is>
          <x:t xml:space="preserve">Brand &amp; Category</x:t>
        </x:is>
      </x:c>
      <x:c r="C15" s="6" t="inlineStr">
        <x:is>
          <x:t xml:space="preserve">گزارش عملکرد برندهای سازنده و دسته‌بندی‌های کالایی</x:t>
        </x:is>
      </x:c>
      <x:c r="D15" s="6" t="inlineStr">
        <x:is>
          <x:t xml:space="preserve">Brand Manufacturer &amp; Category Profitability Report</x:t>
        </x:is>
      </x:c>
      <x:c r="E15" s="6" t="inlineStr">
        <x:is>
          <x:t xml:space="preserve">کدام برندها و لاین‌های درمانی (اندو، ترمیمی، جراحی، ایمپلنت) بیشترین ارزش را برای تیتانا می‌سازند؟</x:t>
        </x:is>
      </x:c>
      <x:c r="F15" s="6" t="inlineStr">
        <x:is>
          <x:t xml:space="preserve">مذاکره با واردکنندگان و برندها برای تخفیف خرید عمده، تخصیص بودجه بازاریابی مشترک (Co-op Ads).</x:t>
        </x:is>
      </x:c>
      <x:c r="G15" s="6" t="inlineStr">
        <x:is>
          <x:t xml:space="preserve">Commercial Director، Category Manager، CMO</x:t>
        </x:is>
      </x:c>
      <x:c r="H15" s="6" t="inlineStr">
        <x:is>
          <x:t xml:space="preserve">Category Net Revenue, Category Share %, Brand Profit, Brand Units Sold, Gross Margin %</x:t>
        </x:is>
      </x:c>
      <x:c r="I15" s="6" t="inlineStr">
        <x:is>
          <x:t xml:space="preserve">Average Selling Price (ASP), Year-over-Year Category Growth, Brand Cancellation %</x:t>
        </x:is>
      </x:c>
      <x:c r="J15" s="6" t="inlineStr">
        <x:is>
          <x:t xml:space="preserve">برند سازنده، کشور مبدا، شاخه محصولی، دسته‌بندی تخصصی</x:t>
        </x:is>
      </x:c>
      <x:c r="K15" s="6" t="inlineStr">
        <x:is>
          <x:t xml:space="preserve">کاتالوگ بازرگانی و سوابق ثبت فاکتورهای فروش</x:t>
        </x:is>
      </x:c>
      <x:c r="L15" s="6" t="inlineStr">
        <x:is>
          <x:t xml:space="preserve">ERP سازمانی، سیستم بازرگانی</x:t>
        </x:is>
      </x:c>
      <x:c r="M15" s="6" t="inlineStr">
        <x:is>
          <x:t xml:space="preserve">سطح برند و دسته‌بندی (Brand &amp; Category Level)</x:t>
        </x:is>
      </x:c>
      <x:c r="N15" s="6" t="inlineStr">
        <x:is>
          <x:t xml:space="preserve">ماهانه، فصلی</x:t>
        </x:is>
      </x:c>
      <x:c r="O15" s="6" t="inlineStr">
        <x:is>
          <x:t xml:space="preserve">Treemap سهم فروش دسته‌ها، Bar Chart مقایسه سود برندها</x:t>
        </x:is>
      </x:c>
      <x:c r="P15" s="6" t="inlineStr">
        <x:is>
          <x:t xml:space="preserve">ماهانه</x:t>
        </x:is>
      </x:c>
      <x:c r="Q15" s="6" t="inlineStr">
        <x:is>
          <x:t xml:space="preserve">بسیار مهم (High)</x:t>
        </x:is>
      </x:c>
      <x:c r="R15" s="6" t="inlineStr">
        <x:is>
          <x:t xml:space="preserve">تمرکز بودجه اسپانسری و ادز فصلی روی دسته‌هایی که سهم سود ناخالص آن‌ها از کل سازمان بالای ۲۵٪ است.</x:t>
        </x:is>
      </x:c>
      <x:c r="S15" s="30" t="str">
        <x:v>REP-14</x:v>
      </x:c>
      <x:c r="T15" s="30" t="str">
        <x:v>W5</x:v>
      </x:c>
      <x:c r="U15" s="30" t="str">
        <x:v>نیازمند تکمیل و تأیید مالک</x:v>
      </x:c>
      <x:c r="V15" s="30" t="str">
        <x:v>BI Lead</x:v>
      </x:c>
      <x:c r="W15" s="30" t="str">
        <x:v>Proposed</x:v>
      </x:c>
      <x:c r="X15" s="30" t="str">
        <x:v>نیازمند تکمیل و تأیید مالک</x:v>
      </x:c>
    </x:row>
    <x:row r="16">
      <x:c r="A16" s="17" t="inlineStr">
        <x:is>
          <x:t xml:space="preserve">REP-15</x:t>
        </x:is>
      </x:c>
      <x:c r="B16" s="4" t="inlineStr">
        <x:is>
          <x:t xml:space="preserve">Sales Team &amp; Offline</x:t>
        </x:is>
      </x:c>
      <x:c r="C16" s="4" t="inlineStr">
        <x:is>
          <x:t xml:space="preserve">گزارش بهره‌وری تیم فروش تلفنی و تبدیل‌های آفلاین</x:t>
        </x:is>
      </x:c>
      <x:c r="D16" s="4" t="inlineStr">
        <x:is>
          <x:t xml:space="preserve">B2B Sales Rep Productivity &amp; Offline Deal Conversion Report</x:t>
        </x:is>
      </x:c>
      <x:c r="E16" s="4" t="inlineStr">
        <x:is>
          <x:t xml:space="preserve">کارشناسان فروش تلفنی با چه سرعتی و با چه نرخ موفقیتی سرنخ‌های ورودی را به معامله قطعی تبدیل می‌کنند؟</x:t>
        </x:is>
      </x:c>
      <x:c r="F16" s="4" t="inlineStr">
        <x:is>
          <x:t xml:space="preserve">توزیع عادلانه لیدها، آموزش مهارت‌های مذاکره به کارشناسان ضعیف، اصلاح تارگت‌های فروش پرسنل.</x:t>
        </x:is>
      </x:c>
      <x:c r="G16" s="4" t="inlineStr">
        <x:is>
          <x:t xml:space="preserve">B2B Sales Director، CRM Manager</x:t>
        </x:is>
      </x:c>
      <x:c r="H16" s="4" t="inlineStr">
        <x:is>
          <x:t xml:space="preserve">Assigned Leads, Closed Won Deals, Total Contract Value, Lead-to-Sale Win %, Rep Revenue</x:t>
        </x:is>
      </x:c>
      <x:c r="I16" s="4" t="inlineStr">
        <x:is>
          <x:t xml:space="preserve">First Response Time (Minutes), Call Count per Deal, Average Deal Cycle Days, Lost Reasons</x:t>
        </x:is>
      </x:c>
      <x:c r="J16" s="4" t="inlineStr">
        <x:is>
          <x:t xml:space="preserve">نام کارشناس فروش، منطقه فروش، نوع تجهیزات (سرمایه‌ای در برابر مصرفی)، شیوه تسویه</x:t>
        </x:is>
      </x:c>
      <x:c r="K16" s="4" t="inlineStr">
        <x:is>
          <x:t xml:space="preserve">لاگ تماس‌های VoIP، وضعیت معاملات در CRM و اسناد حسابداری دریافت وجه</x:t>
        </x:is>
      </x:c>
      <x:c r="L16" s="4" t="inlineStr">
        <x:is>
          <x:t xml:space="preserve">CRM Sales Pipeline, سامانه تلفنی VoIP استریسک/ایزابل</x:t>
        </x:is>
      </x:c>
      <x:c r="M16" s="4" t="inlineStr">
        <x:is>
          <x:t xml:space="preserve">سطح کارشناس و پرونده معامله (Sales Rep &amp; Deal Level)</x:t>
        </x:is>
      </x:c>
      <x:c r="N16" s="4" t="inlineStr">
        <x:is>
          <x:t xml:space="preserve">هفتگی، ماهانه</x:t>
        </x:is>
      </x:c>
      <x:c r="O16" s="4" t="inlineStr">
        <x:is>
          <x:t xml:space="preserve">Sales Pipeline Funnel، نمودار میله‌ای تارگت در برابر تحقق فروش کارشناسان</x:t>
        </x:is>
      </x:c>
      <x:c r="P16" s="4" t="inlineStr">
        <x:is>
          <x:t xml:space="preserve">هفتگی</x:t>
        </x:is>
      </x:c>
      <x:c r="Q16" s="4" t="inlineStr">
        <x:is>
          <x:t xml:space="preserve">حیاتی (Critical)</x:t>
        </x:is>
      </x:c>
      <x:c r="R16" s="4" t="inlineStr">
        <x:is>
          <x:t xml:space="preserve">در صورت ثبت میانگین زمان اولین تماس بالای ۳۰ دقیقه برای یک کارشناس، انتقال خودکار لیدهای جدید به سایر کارشناسان.</x:t>
        </x:is>
      </x:c>
      <x:c r="S16" s="30" t="str">
        <x:v>REP-15</x:v>
      </x:c>
      <x:c r="T16" s="30" t="str">
        <x:v>W4</x:v>
      </x:c>
      <x:c r="U16" s="30" t="str">
        <x:v>نیازمند تکمیل و تأیید مالک</x:v>
      </x:c>
      <x:c r="V16" s="30" t="str">
        <x:v>BI Lead</x:v>
      </x:c>
      <x:c r="W16" s="30" t="str">
        <x:v>Proposed</x:v>
      </x:c>
      <x:c r="X16" s="30" t="str">
        <x:v>نیازمند تکمیل و تأیید مالک</x:v>
      </x:c>
    </x:row>
    <x:row r="17">
      <x:c r="A17" s="19" t="inlineStr">
        <x:is>
          <x:t xml:space="preserve">REP-16</x:t>
        </x:is>
      </x:c>
      <x:c r="B17" s="6" t="inlineStr">
        <x:is>
          <x:t xml:space="preserve">Lead Generation</x:t>
        </x:is>
      </x:c>
      <x:c r="C17" s="6" t="inlineStr">
        <x:is>
          <x:t xml:space="preserve">گزارش تولید لید، کیفیت سرنخ‌ها و توزیع MQL/SQL</x:t>
        </x:is>
      </x:c>
      <x:c r="D17" s="6" t="inlineStr">
        <x:is>
          <x:t xml:space="preserve">Lead Quality Scoring &amp; Pipeline Progression Report</x:t>
        </x:is>
      </x:c>
      <x:c r="E17" s="6" t="inlineStr">
        <x:is>
          <x:t xml:space="preserve">کانال‌های جذب چه تعداد لید معتبر و دارای توان خرید برای تجهیزات دندان‌پزشکی تولید کرده‌اند؟</x:t>
        </x:is>
      </x:c>
      <x:c r="F17" s="6" t="inlineStr">
        <x:is>
          <x:t xml:space="preserve">اصلاح فیلدهای لیدفرم‌ها، فیلتر کردن مخاطبان غیرمرتبط در ادز، بهینه‌سازی هزینه‌های جذب سرنخ.</x:t>
        </x:is>
      </x:c>
      <x:c r="G17" s="6" t="inlineStr">
        <x:is>
          <x:t xml:space="preserve">Performance Marketer، Sales Lead، B2B Marketing Lead</x:t>
        </x:is>
      </x:c>
      <x:c r="H17" s="6" t="inlineStr">
        <x:is>
          <x:t xml:space="preserve">Total Raw Leads, MQL Count, SQL Count, Won Deals, CPL, CPQL, Blended CAC</x:t>
        </x:is>
      </x:c>
      <x:c r="I17" s="6" t="inlineStr">
        <x:is>
          <x:t xml:space="preserve">Lead-to-MQL %, MQL-to-SQL %, SQL-to-Deal %, Disqualification % by Reason</x:t>
        </x:is>
      </x:c>
      <x:c r="J17" s="6" t="inlineStr">
        <x:is>
          <x:t xml:space="preserve">منبع لید (Google Form, Meta Instant Form, Direct Call, Chat)، کمپین، تخصص ادعایی</x:t>
        </x:is>
      </x:c>
      <x:c r="K17" s="6" t="inlineStr">
        <x:is>
          <x:t xml:space="preserve">دیتابیس فرم‌های لید و رکوردهای وضعیت واجدشرایط‌سازی در CRM</x:t>
        </x:is>
      </x:c>
      <x:c r="L17" s="6" t="inlineStr">
        <x:is>
          <x:t xml:space="preserve">CRM Platform, Webhooks, Google Ads Lead Form Extensions</x:t>
        </x:is>
      </x:c>
      <x:c r="M17" s="6" t="inlineStr">
        <x:is>
          <x:t xml:space="preserve">سطح رکورد سرنخ (Lead Level)</x:t>
        </x:is>
      </x:c>
      <x:c r="N17" s="6" t="inlineStr">
        <x:is>
          <x:t xml:space="preserve">روزانه، هفتگی</x:t>
        </x:is>
      </x:c>
      <x:c r="O17" s="6" t="inlineStr">
        <x:is>
          <x:t xml:space="preserve">Funnel تبدیل لید به قرارداد، Pie Chart علل عدم تایید لیدها، ترند هفتگی CPL</x:t>
        </x:is>
      </x:c>
      <x:c r="P17" s="6" t="inlineStr">
        <x:is>
          <x:t xml:space="preserve">روزانه</x:t>
        </x:is>
      </x:c>
      <x:c r="Q17" s="6" t="inlineStr">
        <x:is>
          <x:t xml:space="preserve">حیاتی (Critical)</x:t>
        </x:is>
      </x:c>
      <x:c r="R17" s="6" t="inlineStr">
        <x:is>
          <x:t xml:space="preserve">اگر درصد لیدهای بی‌کیفیت و رد صلاحیت‌شده (Disqualified) در یک کمپین از ۴۵٪ فراتر رود، اصلاح فوری سوالات فیلترکننده.</x:t>
        </x:is>
      </x:c>
      <x:c r="S17" s="30" t="str">
        <x:v>REP-16</x:v>
      </x:c>
      <x:c r="T17" s="30" t="str">
        <x:v>W4</x:v>
      </x:c>
      <x:c r="U17" s="30" t="str">
        <x:v>نیازمند تکمیل و تأیید مالک</x:v>
      </x:c>
      <x:c r="V17" s="30" t="str">
        <x:v>BI Lead</x:v>
      </x:c>
      <x:c r="W17" s="30" t="str">
        <x:v>Proposed</x:v>
      </x:c>
      <x:c r="X17" s="30" t="str">
        <x:v>نیازمند تکمیل و تأیید مالک</x:v>
      </x:c>
    </x:row>
    <x:row r="18">
      <x:c r="A18" s="17" t="inlineStr">
        <x:is>
          <x:t xml:space="preserve">REP-17</x:t>
        </x:is>
      </x:c>
      <x:c r="B18" s="4" t="inlineStr">
        <x:is>
          <x:t xml:space="preserve">CRM &amp; Customer Analytics</x:t>
        </x:is>
      </x:c>
      <x:c r="C18" s="4" t="inlineStr">
        <x:is>
          <x:t xml:space="preserve">گزارش تعاملات CRM و پرونده‌های فعال مشتریان</x:t>
        </x:is>
      </x:c>
      <x:c r="D18" s="4" t="inlineStr">
        <x:is>
          <x:t xml:space="preserve">CRM Lifecycle &amp; Clinic Account Engagement Report</x:t>
        </x:is>
      </x:c>
      <x:c r="E18" s="4" t="inlineStr">
        <x:is>
          <x:t xml:space="preserve">پایگاه داده مطب‌ها و کلینیک‌ها چقدر فعال است و هر مشتری در چه مرحله‌ای از چرخه عمر قرار دارد؟</x:t>
        </x:is>
      </x:c>
      <x:c r="F18" s="4" t="inlineStr">
        <x:is>
          <x:t xml:space="preserve">طراحی برنامه‌های تعاملی، برنامه‌ریزی ویزیت‌های حضوری، مدیریت ریسک خروج مطب‌های کلیدی.</x:t>
        </x:is>
      </x:c>
      <x:c r="G18" s="4" t="inlineStr">
        <x:is>
          <x:t xml:space="preserve">CRM Lead، Customer Success Manager</x:t>
        </x:is>
      </x:c>
      <x:c r="H18" s="4" t="inlineStr">
        <x:is>
          <x:t xml:space="preserve">Total Accounts, Active Purchasing Accounts, New Accounts Onboarded, Open Pipeline Value</x:t>
        </x:is>
      </x:c>
      <x:c r="I18" s="4" t="inlineStr">
        <x:is>
          <x:t xml:space="preserve">Average Touchpoints per Account, Inactive Account Ratio %, NPS Score, Open Support Tickets</x:t>
        </x:is>
      </x:c>
      <x:c r="J18" s="4" t="inlineStr">
        <x:is>
          <x:t xml:space="preserve">مرحله چرخه عمر (Onboarding, Active, At-Risk, Dormant)، اندازه کلینیک، استان</x:t>
        </x:is>
      </x:c>
      <x:c r="K18" s="4" t="inlineStr">
        <x:is>
          <x:t xml:space="preserve">لاگ فعالیت‌های ثبت‌شده در CRM، سوابق تماس و تیکت‌ها</x:t>
        </x:is>
      </x:c>
      <x:c r="L18" s="4" t="inlineStr">
        <x:is>
          <x:t xml:space="preserve">CRM Platform Database, Ticketing System</x:t>
        </x:is>
      </x:c>
      <x:c r="M18" s="4" t="inlineStr">
        <x:is>
          <x:t xml:space="preserve">سطح پرونده مشتری (Customer Account Level)</x:t>
        </x:is>
      </x:c>
      <x:c r="N18" s="4" t="inlineStr">
        <x:is>
          <x:t xml:space="preserve">ماهانه</x:t>
        </x:is>
      </x:c>
      <x:c r="O18" s="4" t="inlineStr">
        <x:is>
          <x:t xml:space="preserve">Sankey Diagram جابجایی مراحل مشتریان، Heatmap توزیع سلامت اکانت‌ها</x:t>
        </x:is>
      </x:c>
      <x:c r="P18" s="4" t="inlineStr">
        <x:is>
          <x:t xml:space="preserve">ماهانه</x:t>
        </x:is>
      </x:c>
      <x:c r="Q18" s="4" t="inlineStr">
        <x:is>
          <x:t xml:space="preserve">بسیار مهم (High)</x:t>
        </x:is>
      </x:c>
      <x:c r="R18" s="4" t="inlineStr">
        <x:is>
          <x:t xml:space="preserve">تماس اختصاصی مدیر روابط با مشتری با کلینیک‌هایی که تیکت پشتیبانی باز بیش از ۴۸ ساعت دارند.</x:t>
        </x:is>
      </x:c>
      <x:c r="S18" s="30" t="str">
        <x:v>REP-17</x:v>
      </x:c>
      <x:c r="T18" s="30" t="str">
        <x:v>W5</x:v>
      </x:c>
      <x:c r="U18" s="30" t="str">
        <x:v>نیازمند تکمیل و تأیید مالک</x:v>
      </x:c>
      <x:c r="V18" s="30" t="str">
        <x:v>BI Lead</x:v>
      </x:c>
      <x:c r="W18" s="30" t="str">
        <x:v>Proposed</x:v>
      </x:c>
      <x:c r="X18" s="30" t="str">
        <x:v>نیازمند تکمیل و تأیید مالک</x:v>
      </x:c>
    </x:row>
    <x:row r="19">
      <x:c r="A19" s="19" t="inlineStr">
        <x:is>
          <x:t xml:space="preserve">REP-18</x:t>
        </x:is>
      </x:c>
      <x:c r="B19" s="6" t="inlineStr">
        <x:is>
          <x:t xml:space="preserve">Customer Segmentation</x:t>
        </x:is>
      </x:c>
      <x:c r="C19" s="6" t="inlineStr">
        <x:is>
          <x:t xml:space="preserve">گزارش بخش‌بندی چندبعدی دندان‌پزشکان و کلینیک‌ها</x:t>
        </x:is>
      </x:c>
      <x:c r="D19" s="6" t="inlineStr">
        <x:is>
          <x:t xml:space="preserve">Multi-Dimensional Dental Customer Segmentation Report</x:t>
        </x:is>
      </x:c>
      <x:c r="E19" s="6" t="inlineStr">
        <x:is>
          <x:t xml:space="preserve">مشتریان تیتانا بر اساس ویژگی‌های تخصصی و رفتاری به چه بخش‌هایی تقسیم می‌شوند و ارزش هر بخش چیست؟</x:t>
        </x:is>
      </x:c>
      <x:c r="F19" s="6" t="inlineStr">
        <x:is>
          <x:t xml:space="preserve">طراحی پیشنهادات قیمت، شرایط پرداخت اعتباری و کاتالوگ‌های متناسب برای هر سگمنت.</x:t>
        </x:is>
      </x:c>
      <x:c r="G19" s="6" t="inlineStr">
        <x:is>
          <x:t xml:space="preserve">CMO، CRM Lead، Data Analyst</x:t>
        </x:is>
      </x:c>
      <x:c r="H19" s="6" t="inlineStr">
        <x:is>
          <x:t xml:space="preserve">Segment Headcount, Segment Net Revenue, Revenue Share %, Segment AOV, Segment Margins</x:t>
        </x:is>
      </x:c>
      <x:c r="I19" s="6" t="inlineStr">
        <x:is>
          <x:t xml:space="preserve">Purchase Frequency, Credit vs Cash Ratio %, Product Affinity by Segment</x:t>
        </x:is>
      </x:c>
      <x:c r="J19" s="6" t="inlineStr">
        <x:is>
          <x:t xml:space="preserve">سگمنت رفتاری (کلینیک‌های زنجیره‌ای VIP، جراحان لوکس، مطب‌های عمومی، دانشجویان تخصص)</x:t>
        </x:is>
      </x:c>
      <x:c r="K19" s="6" t="inlineStr">
        <x:is>
          <x:t xml:space="preserve">داده‌های خروجی الگوریتم خوشه‌بندی K-Means در DWH متصل به دیتابیس CRM</x:t>
        </x:is>
      </x:c>
      <x:c r="L19" s="6" t="inlineStr">
        <x:is>
          <x:t xml:space="preserve">انبار داده (Gold Layer), سیستم CRM</x:t>
        </x:is>
      </x:c>
      <x:c r="M19" s="6" t="inlineStr">
        <x:is>
          <x:t xml:space="preserve">سطح سگمنت (Segment Level)</x:t>
        </x:is>
      </x:c>
      <x:c r="N19" s="6" t="inlineStr">
        <x:is>
          <x:t xml:space="preserve">فصلی</x:t>
        </x:is>
      </x:c>
      <x:c r="O19" s="6" t="inlineStr">
        <x:is>
          <x:t xml:space="preserve">Cluster Scatter Plot، جدول ماتریسی ویژگی‌های پرسونا، Spider Chart مقایسه شاخص‌ها</x:t>
        </x:is>
      </x:c>
      <x:c r="P19" s="6" t="inlineStr">
        <x:is>
          <x:t xml:space="preserve">فصلی</x:t>
        </x:is>
      </x:c>
      <x:c r="Q19" s="6" t="inlineStr">
        <x:is>
          <x:t xml:space="preserve">بسیار مهم (High)</x:t>
        </x:is>
      </x:c>
      <x:c r="R19" s="6" t="inlineStr">
        <x:is>
          <x:t xml:space="preserve">طراحی آفر اختصاصی اقساطی ۶ ماهه برای سگمنت کلینیک‌های بزرگ در فصول نوسازی پاییز.</x:t>
        </x:is>
      </x:c>
      <x:c r="S19" s="30" t="str">
        <x:v>REP-18</x:v>
      </x:c>
      <x:c r="T19" s="30" t="str">
        <x:v>W5</x:v>
      </x:c>
      <x:c r="U19" s="30" t="str">
        <x:v>نیازمند تکمیل و تأیید مالک</x:v>
      </x:c>
      <x:c r="V19" s="30" t="str">
        <x:v>BI Lead</x:v>
      </x:c>
      <x:c r="W19" s="30" t="str">
        <x:v>Proposed</x:v>
      </x:c>
      <x:c r="X19" s="30" t="str">
        <x:v>نیازمند تکمیل و تأیید مالک</x:v>
      </x:c>
    </x:row>
    <x:row r="20">
      <x:c r="A20" s="17" t="inlineStr">
        <x:is>
          <x:t xml:space="preserve">REP-19</x:t>
        </x:is>
      </x:c>
      <x:c r="B20" s="4" t="inlineStr">
        <x:is>
          <x:t xml:space="preserve">RFM Analysis</x:t>
        </x:is>
      </x:c>
      <x:c r="C20" s="4" t="inlineStr">
        <x:is>
          <x:t xml:space="preserve">گزارش بخش‌بندی و ماتریس RFM مشتریان</x:t>
        </x:is>
      </x:c>
      <x:c r="D20" s="4" t="inlineStr">
        <x:is>
          <x:t xml:space="preserve">Dental RFM Matrix &amp; Customer Value Migration Report</x:t>
        </x:is>
      </x:c>
      <x:c r="E20" s="4" t="inlineStr">
        <x:is>
          <x:t xml:space="preserve">دندان‌پزشکان بر اساس تازگی، فرکانس و ارزش مالی خرید در چه دسته‌ای از ماتریس RFM قرار دارند؟</x:t>
        </x:is>
      </x:c>
      <x:c r="F20" s="4" t="inlineStr">
        <x:is>
          <x:t xml:space="preserve">فعال‌سازی کمپین‌های اختصاصی بازگشت، ارسال هدایای وفاداری به قهرمانان (Champions) و پیشگیری از خواب رفتن مشتریان.</x:t>
        </x:is>
      </x:c>
      <x:c r="G20" s="4" t="inlineStr">
        <x:is>
          <x:t xml:space="preserve">CRM Specialist، Performance Marketer، BI Analyst</x:t>
        </x:is>
      </x:c>
      <x:c r="H20" s="4" t="inlineStr">
        <x:is>
          <x:t xml:space="preserve">RFM Segment Counts, Segment Total Value, Average Recency Days, Average Frequency</x:t>
        </x:is>
      </x:c>
      <x:c r="I20" s="4" t="inlineStr">
        <x:is>
          <x:t xml:space="preserve">Migration Velocity (ترفیع یا تنزل رتبه در ماه اخیر)، Churn Risk %</x:t>
        </x:is>
      </x:c>
      <x:c r="J20" s="4" t="inlineStr">
        <x:is>
          <x:t xml:space="preserve">۱۰ طبقه استاندارد RFM (قهرمانان، وفاداران، نیازمند توجه، در خواب، از دست رفته و...)</x:t>
        </x:is>
      </x:c>
      <x:c r="K20" s="4" t="inlineStr">
        <x:is>
          <x:t xml:space="preserve">تاریخچه تراکنش‌های فاکتور مشتریان در ۲۴ ماه گذشته</x:t>
        </x:is>
      </x:c>
      <x:c r="L20" s="4" t="inlineStr">
        <x:is>
          <x:t xml:space="preserve">انبار داده مرکزی (اجرای خودکار کوئری dbt RFM Engine)</x:t>
        </x:is>
      </x:c>
      <x:c r="M20" s="4" t="inlineStr">
        <x:is>
          <x:t xml:space="preserve">سطح کاربر و طبقه RFM (Customer &amp; RFM Tier)</x:t>
        </x:is>
      </x:c>
      <x:c r="N20" s="4" t="inlineStr">
        <x:is>
          <x:t xml:space="preserve">هفتگی، ماهانه</x:t>
        </x:is>
      </x:c>
      <x:c r="O20" s="4" t="inlineStr">
        <x:is>
          <x:t xml:space="preserve">RFM 2D Grid Heatmap، Bubble Chart اندازه هر دسته، جدول لیست کاربران جهت خروجی به ادز</x:t>
        </x:is>
      </x:c>
      <x:c r="P20" s="4" t="inlineStr">
        <x:is>
          <x:t xml:space="preserve">هفتگی</x:t>
        </x:is>
      </x:c>
      <x:c r="Q20" s="4" t="inlineStr">
        <x:is>
          <x:t xml:space="preserve">حیاتی (Critical)</x:t>
        </x:is>
      </x:c>
      <x:c r="R20" s="4" t="inlineStr">
        <x:is>
          <x:t xml:space="preserve">خروجی خودکار سگمنت «در معرض خطر» و بارگذاری در پنل پیامک و متا ادز برای نمایش آفر یادآوری شارژ.</x:t>
        </x:is>
      </x:c>
      <x:c r="S20" s="30" t="str">
        <x:v>REP-19</x:v>
      </x:c>
      <x:c r="T20" s="30" t="str">
        <x:v>W4</x:v>
      </x:c>
      <x:c r="U20" s="30" t="str">
        <x:v>نیازمند تکمیل و تأیید مالک</x:v>
      </x:c>
      <x:c r="V20" s="30" t="str">
        <x:v>BI Lead</x:v>
      </x:c>
      <x:c r="W20" s="30" t="str">
        <x:v>Proposed</x:v>
      </x:c>
      <x:c r="X20" s="30" t="str">
        <x:v>نیازمند تکمیل و تأیید مالک</x:v>
      </x:c>
    </x:row>
    <x:row r="21">
      <x:c r="A21" s="19" t="inlineStr">
        <x:is>
          <x:t xml:space="preserve">REP-20</x:t>
        </x:is>
      </x:c>
      <x:c r="B21" s="6" t="inlineStr">
        <x:is>
          <x:t xml:space="preserve">Retention &amp; Replenishment</x:t>
        </x:is>
      </x:c>
      <x:c r="C21" s="6" t="inlineStr">
        <x:is>
          <x:t xml:space="preserve">گزارش وفاداری، تکرار خرید و چرخه شارژ مواد مصرفی</x:t>
        </x:is>
      </x:c>
      <x:c r="D21" s="6" t="inlineStr">
        <x:is>
          <x:t xml:space="preserve">Consumables Retention &amp; Replenishment Cycle Report</x:t>
        </x:is>
      </x:c>
      <x:c r="E21" s="6" t="inlineStr">
        <x:is>
          <x:t xml:space="preserve">چه درصدی از مطب‌ها برای تامین دوباره مواد به تیتانا بازمی‌گردند و طول چرخه مصرف چقدر است؟</x:t>
        </x:is>
      </x:c>
      <x:c r="F21" s="6" t="inlineStr">
        <x:is>
          <x:t xml:space="preserve">تنظیم فواصل زمانی ارسال پیامک‌های خودکار شارژ، اصلاح کیفیت و اصالت اقلامی که ریزش داشته‌اند.</x:t>
        </x:is>
      </x:c>
      <x:c r="G21" s="6" t="inlineStr">
        <x:is>
          <x:t xml:space="preserve">CRM Specialist، Performance Marketer</x:t>
        </x:is>
      </x:c>
      <x:c r="H21" s="6" t="inlineStr">
        <x:is>
          <x:t xml:space="preserve">Repeat Purchase Rate (RPR) %, 30/60/90-Day Retention %, Average Time Between Purchases</x:t>
        </x:is>
      </x:c>
      <x:c r="I21" s="6" t="inlineStr">
        <x:is>
          <x:t xml:space="preserve">Replenishment Compliance Rate %, Churn Rate %, 2nd Order Conversion Velocity Days</x:t>
        </x:is>
      </x:c>
      <x:c r="J21" s="6" t="inlineStr">
        <x:is>
          <x:t xml:space="preserve">دسته ماده مصرفی (کامپوزیت، ماده قالب‌گیری، بی‌حسی، فرز)، برند، ماه اولین خرید</x:t>
        </x:is>
      </x:c>
      <x:c r="K21" s="6" t="inlineStr">
        <x:is>
          <x:t xml:space="preserve">فاکتورهای تکراری ثبت‌شده توسط شناسه پایدار مشتری (`master_customer_id`)</x:t>
        </x:is>
      </x:c>
      <x:c r="L21" s="6" t="inlineStr">
        <x:is>
          <x:t xml:space="preserve">دیتابیس سفارشات، ماژول وفاداری</x:t>
        </x:is>
      </x:c>
      <x:c r="M21" s="6" t="inlineStr">
        <x:is>
          <x:t xml:space="preserve">سطح دسته‌بندی کالا و مشتری (Category &amp; Customer Level)</x:t>
        </x:is>
      </x:c>
      <x:c r="N21" s="6" t="inlineStr">
        <x:is>
          <x:t xml:space="preserve">ماهانه</x:t>
        </x:is>
      </x:c>
      <x:c r="O21" s="6" t="inlineStr">
        <x:is>
          <x:t xml:space="preserve">Line Chart روند Retention در ماه‌های متوالی، Histogram توزیع فاصله روزهای خرید مجدد</x:t>
        </x:is>
      </x:c>
      <x:c r="P21" s="6" t="inlineStr">
        <x:is>
          <x:t xml:space="preserve">ماهانه</x:t>
        </x:is>
      </x:c>
      <x:c r="Q21" s="6" t="inlineStr">
        <x:is>
          <x:t xml:space="preserve">حیاتی (Critical)</x:t>
        </x:is>
      </x:c>
      <x:c r="R21" s="6" t="inlineStr">
        <x:is>
          <x:t xml:space="preserve">در صورت عبور زمان از ۱.۵ برابر میانگین فاصله خرید (ATBP)، ارسال پیامک پیشنهاد ارسال رایگان مواد به مطب.</x:t>
        </x:is>
      </x:c>
      <x:c r="S21" s="30" t="str">
        <x:v>REP-20</x:v>
      </x:c>
      <x:c r="T21" s="30" t="str">
        <x:v>W4</x:v>
      </x:c>
      <x:c r="U21" s="30" t="str">
        <x:v>نیازمند تکمیل و تأیید مالک</x:v>
      </x:c>
      <x:c r="V21" s="30" t="str">
        <x:v>BI Lead</x:v>
      </x:c>
      <x:c r="W21" s="30" t="str">
        <x:v>Proposed</x:v>
      </x:c>
      <x:c r="X21" s="30" t="str">
        <x:v>نیازمند تکمیل و تأیید مالک</x:v>
      </x:c>
    </x:row>
    <x:row r="22">
      <x:c r="A22" s="17" t="inlineStr">
        <x:is>
          <x:t xml:space="preserve">REP-21</x:t>
        </x:is>
      </x:c>
      <x:c r="B22" s="4" t="inlineStr">
        <x:is>
          <x:t xml:space="preserve">Cohort Analysis</x:t>
        </x:is>
      </x:c>
      <x:c r="C22" s="4" t="inlineStr">
        <x:is>
          <x:t xml:space="preserve">گزارش تحلیلی هم‌دوره‌ها، بقا و نرخ بازگشت</x:t>
        </x:is>
      </x:c>
      <x:c r="D22" s="4" t="inlineStr">
        <x:is>
          <x:t xml:space="preserve">Multi-Cohort Retention &amp; Cumulative Margin Report</x:t>
        </x:is>
      </x:c>
      <x:c r="E22" s="4" t="inlineStr">
        <x:is>
          <x:t xml:space="preserve">دندان‌پزشکانی که در هر ماه جذب شده‌اند، در ماه‌های بعدی چه میزان بقا و سود انباشته ایجاد می‌کنند؟</x:t>
        </x:is>
      </x:c>
      <x:c r="F22" s="4" t="inlineStr">
        <x:is>
          <x:t xml:space="preserve">ارزیابی پایداری کیفیت ورودی‌های مارکتینگ؛ تشخیص اینکه ورودی‌های کدام فصل سودآورترند.</x:t>
        </x:is>
      </x:c>
      <x:c r="G22" s="4" t="inlineStr">
        <x:is>
          <x:t xml:space="preserve">Marketing Analytics Lead، CMO، Growth Lead</x:t>
        </x:is>
      </x:c>
      <x:c r="H22" s="4" t="inlineStr">
        <x:is>
          <x:t xml:space="preserve">Cohort Size, Month 1..12 Retention %, Cumulative Revenue per User, Cumulative Margin</x:t>
        </x:is>
      </x:c>
      <x:c r="I22" s="4" t="inlineStr">
        <x:is>
          <x:t xml:space="preserve">Repeat Order Velocity, Percentage of Active Accounts by Month, LTV Realization Curve</x:t>
        </x:is>
      </x:c>
      <x:c r="J22" s="4" t="inlineStr">
        <x:is>
          <x:t xml:space="preserve">کوهورت ماه جذب (مثلاً Jan 2026, Feb 2026)، کانال جذب اولیه، رده محصول اولین خرید</x:t>
        </x:is>
      </x:c>
      <x:c r="K22" s="4" t="inlineStr">
        <x:is>
          <x:t xml:space="preserve">جدول تلفیقی کوهورت‌ها بر مبنای تاریخ اولین تراکنش در DWH</x:t>
        </x:is>
      </x:c>
      <x:c r="L22" s="4" t="inlineStr">
        <x:is>
          <x:t xml:space="preserve">انبار داده متمرکز BigQuery</x:t>
        </x:is>
      </x:c>
      <x:c r="M22" s="4" t="inlineStr">
        <x:is>
          <x:t xml:space="preserve">سطح هم‌دوره و ماه عمر (Cohort &amp; Life-Month Level)</x:t>
        </x:is>
      </x:c>
      <x:c r="N22" s="4" t="inlineStr">
        <x:is>
          <x:t xml:space="preserve">ماهانه</x:t>
        </x:is>
      </x:c>
      <x:c r="O22" s="4" t="inlineStr">
        <x:is>
          <x:t xml:space="preserve">ماتریس رنگی مثلثی کوهورت (Cohort Heatmap Triangle)، نمودارهای بقای موازی</x:t>
        </x:is>
      </x:c>
      <x:c r="P22" s="4" t="inlineStr">
        <x:is>
          <x:t xml:space="preserve">ماهانه</x:t>
        </x:is>
      </x:c>
      <x:c r="Q22" s="4" t="inlineStr">
        <x:is>
          <x:t xml:space="preserve">بسیار مهم (High)</x:t>
        </x:is>
      </x:c>
      <x:c r="R22" s="4" t="inlineStr">
        <x:is>
          <x:t xml:space="preserve">اگر نگه‌داشت ماه دوم در یک کوهورت ماهانه بیش از ۱۵٪ افت کند، بررسی کمپین‌های جذب آن ماه از نظر کیفیت مشتری.</x:t>
        </x:is>
      </x:c>
      <x:c r="S22" s="30" t="str">
        <x:v>REP-21</x:v>
      </x:c>
      <x:c r="T22" s="30" t="str">
        <x:v>W5</x:v>
      </x:c>
      <x:c r="U22" s="30" t="str">
        <x:v>نیازمند تکمیل و تأیید مالک</x:v>
      </x:c>
      <x:c r="V22" s="30" t="str">
        <x:v>BI Lead</x:v>
      </x:c>
      <x:c r="W22" s="30" t="str">
        <x:v>Proposed</x:v>
      </x:c>
      <x:c r="X22" s="30" t="str">
        <x:v>نیازمند تکمیل و تأیید مالک</x:v>
      </x:c>
    </x:row>
    <x:row r="23">
      <x:c r="A23" s="19" t="inlineStr">
        <x:is>
          <x:t xml:space="preserve">REP-22</x:t>
        </x:is>
      </x:c>
      <x:c r="B23" s="6" t="inlineStr">
        <x:is>
          <x:t xml:space="preserve">Customer Lifetime Value</x:t>
        </x:is>
      </x:c>
      <x:c r="C23" s="6" t="inlineStr">
        <x:is>
          <x:t xml:space="preserve">گزارش ارزش طول عمر و استهلاک هزینه جذب هم‌دوره‌ها</x:t>
        </x:is>
      </x:c>
      <x:c r="D23" s="6" t="inlineStr">
        <x:is>
          <x:t xml:space="preserve">Cohort-Based LTV &amp; CAC Payback Velocity Report</x:t>
        </x:is>
      </x:c>
      <x:c r="E23" s="6" t="inlineStr">
        <x:is>
          <x:t xml:space="preserve">ارزش طول عمر تحقق‌یافته و پیش‌بینی‌شده مشتریان چقدر است و هزینه جذب (CAC) در چه ماهی صفر می‌شود؟</x:t>
        </x:is>
      </x:c>
      <x:c r="F23" s="6" t="inlineStr">
        <x:is>
          <x:t xml:space="preserve">تعیین سقف مجاز بیدینگ تبلیغات؛ تصمیم‌گیری درباره مقیاس‌کردن تهاجمی جذب با پذیرش دوره بازگشت طولانی‌تر.</x:t>
        </x:is>
      </x:c>
      <x:c r="G23" s="6" t="inlineStr">
        <x:is>
          <x:t xml:space="preserve">CMO، CFO، Growth Strategist</x:t>
        </x:is>
      </x:c>
      <x:c r="H23" s="6" t="inlineStr">
        <x:is>
          <x:t xml:space="preserve">Historical LTV (365d), Predictive CLV, CAC Payback Period (Months), LTV/CAC Ratio</x:t>
        </x:is>
      </x:c>
      <x:c r="I23" s="6" t="inlineStr">
        <x:is>
          <x:t xml:space="preserve">Gross Margin Contribution per Month, First-year Cumulative Value, Churn Impact on LTV</x:t>
        </x:is>
      </x:c>
      <x:c r="J23" s="6" t="inlineStr">
        <x:is>
          <x:t xml:space="preserve">کانال جذب، تخصص دندان‌پزشک، استان، سال جذب</x:t>
        </x:is>
      </x:c>
      <x:c r="K23" s="6" t="inlineStr">
        <x:is>
          <x:t xml:space="preserve">داده‌های سری زمانی مالی حسابداری و خروجی الگوریتم پیش‌بین BG/NBD</x:t>
        </x:is>
      </x:c>
      <x:c r="L23" s="6" t="inlineStr">
        <x:is>
          <x:t xml:space="preserve">مدل‌های یادگیری ماشین پایتون در DWH</x:t>
        </x:is>
      </x:c>
      <x:c r="M23" s="6" t="inlineStr">
        <x:is>
          <x:t xml:space="preserve">سطح کوهورت و سگمنت ارزشی</x:t>
        </x:is>
      </x:c>
      <x:c r="N23" s="6" t="inlineStr">
        <x:is>
          <x:t xml:space="preserve">فصلی، سالانه</x:t>
        </x:is>
      </x:c>
      <x:c r="O23" s="6" t="inlineStr">
        <x:is>
          <x:t xml:space="preserve">Area Chart تلاقی LTV با خط افقی CAC (نقطه بازگشت)، Curve نمودار پیش‌بینی ارزش آتی</x:t>
        </x:is>
      </x:c>
      <x:c r="P23" s="6" t="inlineStr">
        <x:is>
          <x:t xml:space="preserve">فصلی</x:t>
        </x:is>
      </x:c>
      <x:c r="Q23" s="6" t="inlineStr">
        <x:is>
          <x:t xml:space="preserve">حیاتی (Critical)</x:t>
        </x:is>
      </x:c>
      <x:c r="R23" s="6" t="inlineStr">
        <x:is>
          <x:t xml:space="preserve">افزایش ۲۰ درصدی سقف مجاز هزینه جذب (Target CPA) برای کانال‌هایی که دوره بازگشت زیر ۶۰ روز دارند.</x:t>
        </x:is>
      </x:c>
      <x:c r="S23" s="30" t="str">
        <x:v>REP-22</x:v>
      </x:c>
      <x:c r="T23" s="30" t="str">
        <x:v>W4</x:v>
      </x:c>
      <x:c r="U23" s="30" t="str">
        <x:v>نیازمند تکمیل و تأیید مالک</x:v>
      </x:c>
      <x:c r="V23" s="30" t="str">
        <x:v>BI Lead</x:v>
      </x:c>
      <x:c r="W23" s="30" t="str">
        <x:v>Proposed</x:v>
      </x:c>
      <x:c r="X23" s="30" t="str">
        <x:v>نیازمند تکمیل و تأیید مالک</x:v>
      </x:c>
    </x:row>
    <x:row r="24">
      <x:c r="A24" s="17" t="inlineStr">
        <x:is>
          <x:t xml:space="preserve">REP-23</x:t>
        </x:is>
      </x:c>
      <x:c r="B24" s="4" t="inlineStr">
        <x:is>
          <x:t xml:space="preserve">Churn &amp; Reactivation</x:t>
        </x:is>
      </x:c>
      <x:c r="C24" s="4" t="inlineStr">
        <x:is>
          <x:t xml:space="preserve">گزارش ریزش مشتریان و اثربخشی کمپین‌های بازگشت</x:t>
        </x:is>
      </x:c>
      <x:c r="D24" s="4" t="inlineStr">
        <x:is>
          <x:t xml:space="preserve">Customer Churn Risk &amp; Reactivation Campaign Report</x:t>
        </x:is>
      </x:c>
      <x:c r="E24" s="4" t="inlineStr">
        <x:is>
          <x:t xml:space="preserve">کدام دندان‌پزشکان باارزش در معرض ریزش قطعی هستند و کمپین‌های بازگردانی چقدر موفق بوده‌اند؟</x:t>
        </x:is>
      </x:c>
      <x:c r="F24" s="4" t="inlineStr">
        <x:is>
          <x:t xml:space="preserve">صدور تسک‌های تماس فوری برای تیم فروش؛ ارسال کدهای تخفیف بازگشت (Win-back Offer).</x:t>
        </x:is>
      </x:c>
      <x:c r="G24" s="4" t="inlineStr">
        <x:is>
          <x:t xml:space="preserve">CRM Specialist، Customer Success Lead</x:t>
        </x:is>
      </x:c>
      <x:c r="H24" s="4" t="inlineStr">
        <x:is>
          <x:t xml:space="preserve">Churn Rate %, At-Risk Accounts Count, Reactivated Accounts, Win-back Conversion %</x:t>
        </x:is>
      </x:c>
      <x:c r="I24" s="4" t="inlineStr">
        <x:is>
          <x:t xml:space="preserve">Average Days Inactive, Lost Revenue due to Churn, Reactivation CAC, Reactivated Order Value</x:t>
        </x:is>
      </x:c>
      <x:c r="J24" s="4" t="inlineStr">
        <x:is>
          <x:t xml:space="preserve">دلیل پیش‌بینی‌شده ریزش، کانال فعال‌سازی مجدد (تماس تلفنی، SMS، ویزیتور)، ارزش قبلی مشتری</x:t>
        </x:is>
      </x:c>
      <x:c r="K24" s="4" t="inlineStr">
        <x:is>
          <x:t xml:space="preserve">خروجی مدل هوش مصنوعی Churn Prediction و لاگ کمپین‌های ریتنشن</x:t>
        </x:is>
      </x:c>
      <x:c r="L24" s="4" t="inlineStr">
        <x:is>
          <x:t xml:space="preserve">CRM System, DWH Predictive Models</x:t>
        </x:is>
      </x:c>
      <x:c r="M24" s="4" t="inlineStr">
        <x:is>
          <x:t xml:space="preserve">سطح مشتری راکد (Lapsed Customer Level)</x:t>
        </x:is>
      </x:c>
      <x:c r="N24" s="4" t="inlineStr">
        <x:is>
          <x:t xml:space="preserve">هفتگی، ماهانه</x:t>
        </x:is>
      </x:c>
      <x:c r="O24" s="4" t="inlineStr">
        <x:is>
          <x:t xml:space="preserve">Donut Chart وضعیت ریزش، Trendline تعداد دندان‌پزشکان احیاشده، جدول اسامی اولویت‌دار</x:t>
        </x:is>
      </x:c>
      <x:c r="P24" s="4" t="inlineStr">
        <x:is>
          <x:t xml:space="preserve">هفتگی</x:t>
        </x:is>
      </x:c>
      <x:c r="Q24" s="4" t="inlineStr">
        <x:is>
          <x:t xml:space="preserve">بسیار مهم (High)</x:t>
        </x:is>
      </x:c>
      <x:c r="R24" s="4" t="inlineStr">
        <x:is>
          <x:t xml:space="preserve">تخصیص بسته هدیه نمونه رایگان متریال جدید و تماس کارشناس ارشد برای مشتریان VIP که وارد محدوده خطر شده‌اند.</x:t>
        </x:is>
      </x:c>
      <x:c r="S24" s="30" t="str">
        <x:v>REP-23</x:v>
      </x:c>
      <x:c r="T24" s="30" t="str">
        <x:v>W5</x:v>
      </x:c>
      <x:c r="U24" s="30" t="str">
        <x:v>نیازمند تکمیل و تأیید مالک</x:v>
      </x:c>
      <x:c r="V24" s="30" t="str">
        <x:v>BI Lead</x:v>
      </x:c>
      <x:c r="W24" s="30" t="str">
        <x:v>Proposed</x:v>
      </x:c>
      <x:c r="X24" s="30" t="str">
        <x:v>نیازمند تکمیل و تأیید مالک</x:v>
      </x:c>
    </x:row>
    <x:row r="25">
      <x:c r="A25" s="19" t="inlineStr">
        <x:is>
          <x:t xml:space="preserve">REP-24</x:t>
        </x:is>
      </x:c>
      <x:c r="B25" s="6" t="inlineStr">
        <x:is>
          <x:t xml:space="preserve">Loyalty Program</x:t>
        </x:is>
      </x:c>
      <x:c r="C25" s="6" t="inlineStr">
        <x:is>
          <x:t xml:space="preserve">گزارش باشگاه مشتریان و نرخ بازخرید امتیازات وفاداری</x:t>
        </x:is>
      </x:c>
      <x:c r="D25" s="6" t="inlineStr">
        <x:is>
          <x:t xml:space="preserve">Loyalty Club Rewards &amp; Points Breakage Report</x:t>
        </x:is>
      </x:c>
      <x:c r="E25" s="6" t="inlineStr">
        <x:is>
          <x:t xml:space="preserve">باشگاه مشتریان تیتانا چقدر در ایجاد خرید مجدد اثرگذار بوده و چه حجمی از تعهدات مالی باز دارد؟</x:t>
        </x:is>
      </x:c>
      <x:c r="F25" s="6" t="inlineStr">
        <x:is>
          <x:t xml:space="preserve">تغییر ارزش ریالی امتیازها، تعریف پاداش‌های جدید (مثل تخفیف کنگره)، مدیریت هزینه امتیازات سوخته.</x:t>
        </x:is>
      </x:c>
      <x:c r="G25" s="6" t="inlineStr">
        <x:is>
          <x:t xml:space="preserve">Loyalty Manager، CRM Lead، CFO</x:t>
        </x:is>
      </x:c>
      <x:c r="H25" s="6" t="inlineStr">
        <x:is>
          <x:t xml:space="preserve">Loyalty Members Count, Points Earned, Points Redeemed, Redemption Rate %, Incremental Lift</x:t>
        </x:is>
      </x:c>
      <x:c r="I25" s="6" t="inlineStr">
        <x:is>
          <x:t xml:space="preserve">Breakage Rate % (امتیازات منقضی‌شده)، Average Order Value of Members vs Non-members</x:t>
        </x:is>
      </x:c>
      <x:c r="J25" s="6" t="inlineStr">
        <x:is>
          <x:t xml:space="preserve">سطح عضویت (برنزی، نقره‌ای، طلایی)، نوع جایزه بازخریدشده، دسته محصول</x:t>
        </x:is>
      </x:c>
      <x:c r="K25" s="6" t="inlineStr">
        <x:is>
          <x:t xml:space="preserve">لاگ تراکنش‌های دفترکل باشگاه مشتریان و فاکتورهای فروشگاه</x:t>
        </x:is>
      </x:c>
      <x:c r="L25" s="6" t="inlineStr">
        <x:is>
          <x:t xml:space="preserve">سامانه اختصاصی باشگاه وفاداری تیتانا</x:t>
        </x:is>
      </x:c>
      <x:c r="M25" s="6" t="inlineStr">
        <x:is>
          <x:t xml:space="preserve">سطح عضو و تراکنش امتیازی (Member &amp; Transaction Level)</x:t>
        </x:is>
      </x:c>
      <x:c r="N25" s="6" t="inlineStr">
        <x:is>
          <x:t xml:space="preserve">ماهانه</x:t>
        </x:is>
      </x:c>
      <x:c r="O25" s="6" t="inlineStr">
        <x:is>
          <x:t xml:space="preserve">Bar Chart مقایسه درآمد اعضای باشگاه با سایرین، Gauge وضعیت تعهدات امتیاز</x:t>
        </x:is>
      </x:c>
      <x:c r="P25" s="6" t="inlineStr">
        <x:is>
          <x:t xml:space="preserve">ماهانه</x:t>
        </x:is>
      </x:c>
      <x:c r="Q25" s="6" t="inlineStr">
        <x:is>
          <x:t xml:space="preserve">تکمیلی (Medium)</x:t>
        </x:is>
      </x:c>
      <x:c r="R25" s="6" t="inlineStr">
        <x:is>
          <x:t xml:space="preserve">ارسال پیامک یادآوری انقضای امتیازات به اعضای طلایی جهت تحریک خرید در ماه پایانی سال مالی.</x:t>
        </x:is>
      </x:c>
      <x:c r="S25" s="30" t="str">
        <x:v>REP-24</x:v>
      </x:c>
      <x:c r="T25" s="30" t="str">
        <x:v>W5</x:v>
      </x:c>
      <x:c r="U25" s="30" t="str">
        <x:v>نیازمند تکمیل و تأیید مالک</x:v>
      </x:c>
      <x:c r="V25" s="30" t="str">
        <x:v>BI Lead</x:v>
      </x:c>
      <x:c r="W25" s="30" t="str">
        <x:v>Proposed</x:v>
      </x:c>
      <x:c r="X25" s="30" t="str">
        <x:v>نیازمند تکمیل و تأیید مالک</x:v>
      </x:c>
    </x:row>
    <x:row r="26">
      <x:c r="A26" s="17" t="inlineStr">
        <x:is>
          <x:t xml:space="preserve">REP-25</x:t>
        </x:is>
      </x:c>
      <x:c r="B26" s="4" t="inlineStr">
        <x:is>
          <x:t xml:space="preserve">Email Marketing</x:t>
        </x:is>
      </x:c>
      <x:c r="C26" s="4" t="inlineStr">
        <x:is>
          <x:t xml:space="preserve">گزارش عملکرد بازاریابی ایمیلی و خبرنامه‌های تخصصی</x:t>
        </x:is>
      </x:c>
      <x:c r="D26" s="4" t="inlineStr">
        <x:is>
          <x:t xml:space="preserve">Email Engagement, Deliverability &amp; Revenue Report</x:t>
        </x:is>
      </x:c>
      <x:c r="E26" s="4" t="inlineStr">
        <x:is>
          <x:t xml:space="preserve">ایمیل‌های معرفی تجهیزات و مقالات تخصصی چقدر توسط جامعه پزشکی باز شده و تبدیل می‌سازند؟</x:t>
        </x:is>
      </x:c>
      <x:c r="F26" s="4" t="inlineStr">
        <x:is>
          <x:t xml:space="preserve">بهبود عناوین ایمیل (Subject Lines)، اصلاح لیست‌های ارسال و پاک‌سازی ایمیل‌های نامعتبر.</x:t>
        </x:is>
      </x:c>
      <x:c r="G26" s="4" t="inlineStr">
        <x:is>
          <x:t xml:space="preserve">Email Marketing Specialist، Content Strategist</x:t>
        </x:is>
      </x:c>
      <x:c r="H26" s="4" t="inlineStr">
        <x:is>
          <x:t xml:space="preserve">Sent Volume, Delivery Rate %, Open Rate %, Click-to-Open Rate (CTOR) %, Unsubscribe %</x:t>
        </x:is>
      </x:c>
      <x:c r="I26" s="4" t="inlineStr">
        <x:is>
          <x:t xml:space="preserve">Revenue from Email, Orders, Spam Complaint Rate %, Bounce Rate (Hard/Soft)</x:t>
        </x:is>
      </x:c>
      <x:c r="J26" s="4" t="inlineStr">
        <x:is>
          <x:t xml:space="preserve">موضوع ایمیل، سگمنت لیست مخاطبان، روز و ساعت ارسال، نسخه تست عنوان (A/B)</x:t>
        </x:is>
      </x:c>
      <x:c r="K26" s="4" t="inlineStr">
        <x:is>
          <x:t xml:space="preserve">گزارش‌های وب‌سرویس پلتفرم ارسال ایمیل متصل به تگ‌های GA4</x:t>
        </x:is>
      </x:c>
      <x:c r="L26" s="4" t="inlineStr">
        <x:is>
          <x:t xml:space="preserve">پنل ارسال ایمیل، GA4 E-commerce</x:t>
        </x:is>
      </x:c>
      <x:c r="M26" s="4" t="inlineStr">
        <x:is>
          <x:t xml:space="preserve">سطح کمپین ایمیلی (Email Campaign Level)</x:t>
        </x:is>
      </x:c>
      <x:c r="N26" s="4" t="inlineStr">
        <x:is>
          <x:t xml:space="preserve">هفتگی، پس از هر ارسال</x:t>
        </x:is>
      </x:c>
      <x:c r="O26" s="4" t="inlineStr">
        <x:is>
          <x:t xml:space="preserve">Bar Chart معیارهای تعامل، Table نرخ تبدیل به تفکیک موضوع، Line ترند بازشدن</x:t>
        </x:is>
      </x:c>
      <x:c r="P26" s="4" t="inlineStr">
        <x:is>
          <x:t xml:space="preserve">هفتگی</x:t>
        </x:is>
      </x:c>
      <x:c r="Q26" s="4" t="inlineStr">
        <x:is>
          <x:t xml:space="preserve">تکمیلی (Medium)</x:t>
        </x:is>
      </x:c>
      <x:c r="R26" s="4" t="inlineStr">
        <x:is>
          <x:t xml:space="preserve">اگر نرخ بازگشایی ایمیل تخصصی کمتر از ۱۵٪ باشد، بازنویسی عنوان با تمرکز بر چالش‌های کلینیکی مطب.</x:t>
        </x:is>
      </x:c>
      <x:c r="S26" s="30" t="str">
        <x:v>REP-25</x:v>
      </x:c>
      <x:c r="T26" s="30" t="str">
        <x:v>W5</x:v>
      </x:c>
      <x:c r="U26" s="30" t="str">
        <x:v>نیازمند تکمیل و تأیید مالک</x:v>
      </x:c>
      <x:c r="V26" s="30" t="str">
        <x:v>BI Lead</x:v>
      </x:c>
      <x:c r="W26" s="30" t="str">
        <x:v>Proposed</x:v>
      </x:c>
      <x:c r="X26" s="30" t="str">
        <x:v>نیازمند تکمیل و تأیید مالک</x:v>
      </x:c>
    </x:row>
    <x:row r="27">
      <x:c r="A27" s="19" t="inlineStr">
        <x:is>
          <x:t xml:space="preserve">REP-26</x:t>
        </x:is>
      </x:c>
      <x:c r="B27" s="6" t="inlineStr">
        <x:is>
          <x:t xml:space="preserve">SMS &amp; Push Notification</x:t>
        </x:is>
      </x:c>
      <x:c r="C27" s="6" t="inlineStr">
        <x:is>
          <x:t xml:space="preserve">گزارش کمپین‌های پیامکی، پوش‌نوتیفیکیشن و یادآوری سفارش</x:t>
        </x:is>
      </x:c>
      <x:c r="D27" s="6" t="inlineStr">
        <x:is>
          <x:t xml:space="preserve">SMS &amp; Push Alert Campaign Performance Report</x:t>
        </x:is>
      </x:c>
      <x:c r="E27" s="6" t="inlineStr">
        <x:is>
          <x:t xml:space="preserve">پیامک‌های اطلاع‌رسانی شارژ مواد، کدهای تخفیف و وب‌پوش‌ها چه نرخ کلیک و خریدی ثبت می‌کنند؟</x:t>
        </x:is>
      </x:c>
      <x:c r="F27" s="6" t="inlineStr">
        <x:is>
          <x:t xml:space="preserve">اصلاح متن پیامک‌ها، تنظیم زمان‌بندی دقیق ارسال در ساعات فراغت مطب، مدیریت بلک‌لیست مخابرات.</x:t>
        </x:is>
      </x:c>
      <x:c r="G27" s="6" t="inlineStr">
        <x:is>
          <x:t xml:space="preserve">Performance Marketer، CRM Specialist</x:t>
        </x:is>
      </x:c>
      <x:c r="H27" s="6" t="inlineStr">
        <x:is>
          <x:t xml:space="preserve">Sent SMS Count, Delivery Rate %, SMS Click Rate %, Revenue from SMS, Cost, ROAS</x:t>
        </x:is>
      </x:c>
      <x:c r="I27" s="6" t="inlineStr">
        <x:is>
          <x:t xml:space="preserve">Cost per Click (SMS), Conversion Rate %, Opt-out / Blacklist Rate %</x:t>
        </x:is>
      </x:c>
      <x:c r="J27" s="6" t="inlineStr">
        <x:is>
          <x:t xml:space="preserve">متن پیامک، لینک کوتاه اختصاصی، سگمنت دریافت‌کننده، ساعت ارسال</x:t>
        </x:is>
      </x:c>
      <x:c r="K27" s="6" t="inlineStr">
        <x:is>
          <x:t xml:space="preserve">لاگ تحویل مخابراتی وب‌سرویس پیامک و ردیابی پارامترهای UTM لینک کوتاه در سایت</x:t>
        </x:is>
      </x:c>
      <x:c r="L27" s="6" t="inlineStr">
        <x:is>
          <x:t xml:space="preserve">پنل پیامک کاوه‌نگار، سامانه کوتاه‌کننده لینک، GA4</x:t>
        </x:is>
      </x:c>
      <x:c r="M27" s="6" t="inlineStr">
        <x:is>
          <x:t xml:space="preserve">سطح کمپین پیامکی (SMS Campaign Level)</x:t>
        </x:is>
      </x:c>
      <x:c r="N27" s="6" t="inlineStr">
        <x:is>
          <x:t xml:space="preserve">هفتگی، در هر بار ارسال جشنواره</x:t>
        </x:is>
      </x:c>
      <x:c r="O27" s="6" t="inlineStr">
        <x:is>
          <x:t xml:space="preserve">Scorecard نرخ تحویل و کلیک، Bar Chart درآمد هر کمپین پیامکی، Funnel کلیک به خرید</x:t>
        </x:is>
      </x:c>
      <x:c r="P27" s="6" t="inlineStr">
        <x:is>
          <x:t xml:space="preserve">هفتگی</x:t>
        </x:is>
      </x:c>
      <x:c r="Q27" s="6" t="inlineStr">
        <x:is>
          <x:t xml:space="preserve">بسیار مهم (High)</x:t>
        </x:is>
      </x:c>
      <x:c r="R27" s="6" t="inlineStr">
        <x:is>
          <x:t xml:space="preserve">توقف ارسال پیامک‌های تبلیغاتی در ساعات درمان (۹ تا ۱۳) و متمرکز کردن ارسال‌ها در ساعات ۱۴ تا ۱۶ و ۲۰ تا ۲۲.</x:t>
        </x:is>
      </x:c>
      <x:c r="S27" s="30" t="str">
        <x:v>REP-26</x:v>
      </x:c>
      <x:c r="T27" s="30" t="str">
        <x:v>W5</x:v>
      </x:c>
      <x:c r="U27" s="30" t="str">
        <x:v>نیازمند تکمیل و تأیید مالک</x:v>
      </x:c>
      <x:c r="V27" s="30" t="str">
        <x:v>BI Lead</x:v>
      </x:c>
      <x:c r="W27" s="30" t="str">
        <x:v>Proposed</x:v>
      </x:c>
      <x:c r="X27" s="30" t="str">
        <x:v>نیازمند تکمیل و تأیید مالک</x:v>
      </x:c>
    </x:row>
    <x:row r="28">
      <x:c r="A28" s="17" t="inlineStr">
        <x:is>
          <x:t xml:space="preserve">REP-27</x:t>
        </x:is>
      </x:c>
      <x:c r="B28" s="4" t="inlineStr">
        <x:is>
          <x:t xml:space="preserve">Influencer Marketing</x:t>
        </x:is>
      </x:c>
      <x:c r="C28" s="4" t="inlineStr">
        <x:is>
          <x:t xml:space="preserve">گزارش اینفلوئنسر مارکتینگ و همکاری با اساتید دندان‌پزشکی</x:t>
        </x:is>
      </x:c>
      <x:c r="D28" s="4" t="inlineStr">
        <x:is>
          <x:t xml:space="preserve">Dental KOL &amp; Clinical Influencer ROI Report</x:t>
        </x:is>
      </x:c>
      <x:c r="E28" s="4" t="inlineStr">
        <x:is>
          <x:t xml:space="preserve">همکاری‌های تبلیغاتی با دندان‌پزشکان چهره و اساتید دانشگاهی چه بازگشت سرمایه و درآمدی داشته است؟</x:t>
        </x:is>
      </x:c>
      <x:c r="F28" s="4" t="inlineStr">
        <x:is>
          <x:t xml:space="preserve">تمدید قرارداد با چهره‌های سودآور، قطع همکاری با اینفلوئنسرهای با مخاطب فیک یا غیرپزشک.</x:t>
        </x:is>
      </x:c>
      <x:c r="G28" s="4" t="inlineStr">
        <x:is>
          <x:t xml:space="preserve">Influencer Specialist، PR Manager، CMO</x:t>
        </x:is>
      </x:c>
      <x:c r="H28" s="4" t="inlineStr">
        <x:is>
          <x:t xml:space="preserve">Sponsorship Spend, Promo Code Orders, Attributed Revenue, Influencer CAC, ROAS</x:t>
        </x:is>
      </x:c>
      <x:c r="I28" s="4" t="inlineStr">
        <x:is>
          <x:t xml:space="preserve">Engagement on Posts, Profile Visits, Lead Inquiries, New Customer Ratio from Influencer %</x:t>
        </x:is>
      </x:c>
      <x:c r="J28" s="4" t="inlineStr">
        <x:is>
          <x:t xml:space="preserve">نام دندان‌پزشک همکار (KOL)، فرمت محتوا (آنباکسینگ، وبینار، تست بالینی)، کد تخفیف اختصاصی</x:t>
        </x:is>
      </x:c>
      <x:c r="K28" s="4" t="inlineStr">
        <x:is>
          <x:t xml:space="preserve">اسناد مالی پرداخت اسپانسری و سفارش‌های ثبت‌شده با کد کوپن یا لینک اختصاصی</x:t>
        </x:is>
      </x:c>
      <x:c r="L28" s="4" t="inlineStr">
        <x:is>
          <x:t xml:space="preserve">اینستاگرام اینسایت همکاران، دیتابیس کوپن‌های فروشگاه</x:t>
        </x:is>
      </x:c>
      <x:c r="M28" s="4" t="inlineStr">
        <x:is>
          <x:t xml:space="preserve">سطح هر قرارداد و فرد همکار (Influencer Level)</x:t>
        </x:is>
      </x:c>
      <x:c r="N28" s="4" t="inlineStr">
        <x:is>
          <x:t xml:space="preserve">ماهانه، پس از اتمام هر کمپین</x:t>
        </x:is>
      </x:c>
      <x:c r="O28" s="4" t="inlineStr">
        <x:is>
          <x:t xml:space="preserve">Leaderboard جدول مقایسه هزینه به بازده اینفلوئنسرها، Bar Chart درآمد هر چهره</x:t>
        </x:is>
      </x:c>
      <x:c r="P28" s="4" t="inlineStr">
        <x:is>
          <x:t xml:space="preserve">ماهانه</x:t>
        </x:is>
      </x:c>
      <x:c r="Q28" s="4" t="inlineStr">
        <x:is>
          <x:t xml:space="preserve">بسیار مهم (High)</x:t>
        </x:is>
      </x:c>
      <x:c r="R28" s="4" t="inlineStr">
        <x:is>
          <x:t xml:space="preserve">منوط کردن قراردادهای بعدی اینفلوئنسری به مدل پرداختی ترکیبی (پایه ثابت + درصد از فروش واقعی).</x:t>
        </x:is>
      </x:c>
      <x:c r="S28" s="30" t="str">
        <x:v>REP-27</x:v>
      </x:c>
      <x:c r="T28" s="30" t="str">
        <x:v>W5</x:v>
      </x:c>
      <x:c r="U28" s="30" t="str">
        <x:v>نیازمند تکمیل و تأیید مالک</x:v>
      </x:c>
      <x:c r="V28" s="30" t="str">
        <x:v>BI Lead</x:v>
      </x:c>
      <x:c r="W28" s="30" t="str">
        <x:v>Proposed</x:v>
      </x:c>
      <x:c r="X28" s="30" t="str">
        <x:v>نیازمند تکمیل و تأیید مالک</x:v>
      </x:c>
    </x:row>
    <x:row r="29">
      <x:c r="A29" s="19" t="inlineStr">
        <x:is>
          <x:t xml:space="preserve">REP-28</x:t>
        </x:is>
      </x:c>
      <x:c r="B29" s="6" t="inlineStr">
        <x:is>
          <x:t xml:space="preserve">Affiliate &amp; Referral</x:t>
        </x:is>
      </x:c>
      <x:c r="C29" s="6" t="inlineStr">
        <x:is>
          <x:t xml:space="preserve">گزارش شبکه همکاران فروش، معرفان و سیستم معرف کلینیکی</x:t>
        </x:is>
      </x:c>
      <x:c r="D29" s="6" t="inlineStr">
        <x:is>
          <x:t xml:space="preserve">Affiliate Network &amp; Clinical Referral Attribution Report</x:t>
        </x:is>
      </x:c>
      <x:c r="E29" s="6" t="inlineStr">
        <x:is>
          <x:t xml:space="preserve">شبکه معرفان کلینیکی، تکنسین‌های لابراتوار و ویزیتورهای همکار چه میزان فروش جذب کرده‌اند؟</x:t>
        </x:is>
      </x:c>
      <x:c r="F29" s="6" t="inlineStr">
        <x:is>
          <x:t xml:space="preserve">تنظیم درصد پورسانت معرفان، جذب همکاران جدید در شهرهای هدف، پرداخت کمیسیون‌های تاییدشده.</x:t>
        </x:is>
      </x:c>
      <x:c r="G29" s="6" t="inlineStr">
        <x:is>
          <x:t xml:space="preserve">Partnerships Manager، Growth Marketer</x:t>
        </x:is>
      </x:c>
      <x:c r="H29" s="6" t="inlineStr">
        <x:is>
          <x:t xml:space="preserve">Active Affiliates, Referred Clicks, Referred Orders, Total Affiliate Revenue, Commission Paid</x:t>
        </x:is>
      </x:c>
      <x:c r="I29" s="6" t="inlineStr">
        <x:is>
          <x:t xml:space="preserve">Conversion Rate per Affiliate, Average Order Value of Referrals, Commission-to-Revenue %</x:t>
        </x:is>
      </x:c>
      <x:c r="J29" s="6" t="inlineStr">
        <x:is>
          <x:t xml:space="preserve">شناسه معرف، تخصص همکار (لابراتوار دندانسازی، کلینیک، فروشنده واسطه)، منطقه جغرافیایی</x:t>
        </x:is>
      </x:c>
      <x:c r="K29" s="6" t="inlineStr">
        <x:is>
          <x:t xml:space="preserve">لاگ سیستم افیلیت متصل به فاکتورهای پرداخت‌شده قطعی در دیتابیس</x:t>
        </x:is>
      </x:c>
      <x:c r="L29" s="6" t="inlineStr">
        <x:is>
          <x:t xml:space="preserve">پایگاه داده ماژول افیلیت تیتانا، سامانه مالی</x:t>
        </x:is>
      </x:c>
      <x:c r="M29" s="6" t="inlineStr">
        <x:is>
          <x:t xml:space="preserve">سطح همکار فروش (Affiliate Partner Level)</x:t>
        </x:is>
      </x:c>
      <x:c r="N29" s="6" t="inlineStr">
        <x:is>
          <x:t xml:space="preserve">ماهانه</x:t>
        </x:is>
      </x:c>
      <x:c r="O29" s="6" t="inlineStr">
        <x:is>
          <x:t xml:space="preserve">Table رتبه‌بندی معرفان، Donut Chart سهم پورسانت از درآمد، Line Trend سفارش‌های معرفان</x:t>
        </x:is>
      </x:c>
      <x:c r="P29" s="6" t="inlineStr">
        <x:is>
          <x:t xml:space="preserve">ماهانه</x:t>
        </x:is>
      </x:c>
      <x:c r="Q29" s="6" t="inlineStr">
        <x:is>
          <x:t xml:space="preserve">بسیار مهم (High)</x:t>
        </x:is>
      </x:c>
      <x:c r="R29" s="6" t="inlineStr">
        <x:is>
          <x:t xml:space="preserve">افزایش پورسانت به میزان ۲٪ برای معرفانی که در یک ماه بیش از ۱۰ کلینیک جدید را به تیتانا وصل کنند.</x:t>
        </x:is>
      </x:c>
      <x:c r="S29" s="30" t="str">
        <x:v>REP-28</x:v>
      </x:c>
      <x:c r="T29" s="30" t="str">
        <x:v>W5</x:v>
      </x:c>
      <x:c r="U29" s="30" t="str">
        <x:v>نیازمند تکمیل و تأیید مالک</x:v>
      </x:c>
      <x:c r="V29" s="30" t="str">
        <x:v>BI Lead</x:v>
      </x:c>
      <x:c r="W29" s="30" t="str">
        <x:v>Proposed</x:v>
      </x:c>
      <x:c r="X29" s="30" t="str">
        <x:v>نیازمند تکمیل و تأیید مالک</x:v>
      </x:c>
    </x:row>
    <x:row r="30">
      <x:c r="A30" s="17" t="inlineStr">
        <x:is>
          <x:t xml:space="preserve">REP-29</x:t>
        </x:is>
      </x:c>
      <x:c r="B30" s="4" t="inlineStr">
        <x:is>
          <x:t xml:space="preserve">SEO &amp; Organic Performance</x:t>
        </x:is>
      </x:c>
      <x:c r="C30" s="4" t="inlineStr">
        <x:is>
          <x:t xml:space="preserve">گزارش سئو، ترافیک ارگانیک و ارزش ترافیک غیرپولی</x:t>
        </x:is>
      </x:c>
      <x:c r="D30" s="4" t="inlineStr">
        <x:is>
          <x:t xml:space="preserve">Organic Search Performance &amp; Commercial Query Value Report</x:t>
        </x:is>
      </x:c>
      <x:c r="E30" s="4" t="inlineStr">
        <x:is>
          <x:t xml:space="preserve">رتبه کلمات کلیدی تجاری، سهم ایمپرشن و درآمد مستقیم حاصل از موتور جستجوی گوگل چقدر است؟</x:t>
        </x:is>
      </x:c>
      <x:c r="F30" s="4" t="inlineStr">
        <x:is>
          <x:t xml:space="preserve">تولید محتوای تخصصی برای کلمات با قصد خرید بالا، بهبود سئوی فنی صفحات دسته‌بندی و رفع کنیبالیزیشن.</x:t>
        </x:is>
      </x:c>
      <x:c r="G30" s="4" t="inlineStr">
        <x:is>
          <x:t xml:space="preserve">SEO Lead، Content Marketing Lead</x:t>
        </x:is>
      </x:c>
      <x:c r="H30" s="4" t="inlineStr">
        <x:is>
          <x:t xml:space="preserve">Organic Clicks, Organic Impressions, Average Position, Organic Revenue, Organic Orders</x:t>
        </x:is>
      </x:c>
      <x:c r="I30" s="4" t="inlineStr">
        <x:is>
          <x:t xml:space="preserve">Organic CTR %, Commercial Keyword Rankings, Organic Assisted Revenue, Non-Brand Traffic %</x:t>
        </x:is>
      </x:c>
      <x:c r="J30" s="4" t="inlineStr">
        <x:is>
          <x:t xml:space="preserve">کلمه کلیدی (Query)، صفحه ورودی (Landing Page)، دسته‌بندی موضوعی، نوع دستگاه</x:t>
        </x:is>
      </x:c>
      <x:c r="K30" s="4" t="inlineStr">
        <x:is>
          <x:t xml:space="preserve">داده‌های Google Search Console API و رویدادهای تبدیل ارگانیک GA4</x:t>
        </x:is>
      </x:c>
      <x:c r="L30" s="4" t="inlineStr">
        <x:is>
          <x:t xml:space="preserve">Google Search Console, GA4 BigQuery Export</x:t>
        </x:is>
      </x:c>
      <x:c r="M30" s="4" t="inlineStr">
        <x:is>
          <x:t xml:space="preserve">سطح عبارت جستجو و صفحه (Query &amp; Page Level)</x:t>
        </x:is>
      </x:c>
      <x:c r="N30" s="4" t="inlineStr">
        <x:is>
          <x:t xml:space="preserve">هفتگی، ماهانه</x:t>
        </x:is>
      </x:c>
      <x:c r="O30" s="4" t="inlineStr">
        <x:is>
          <x:t xml:space="preserve">Rank Tracking Table، ترند کلیک‌های ارگانیک در برابر ایمپرشن، Treemap صفحات برتر سئو</x:t>
        </x:is>
      </x:c>
      <x:c r="P30" s="4" t="inlineStr">
        <x:is>
          <x:t xml:space="preserve">هفتگی</x:t>
        </x:is>
      </x:c>
      <x:c r="Q30" s="4" t="inlineStr">
        <x:is>
          <x:t xml:space="preserve">بسیار مهم (High)</x:t>
        </x:is>
      </x:c>
      <x:c r="R30" s="4" t="inlineStr">
        <x:is>
          <x:t xml:space="preserve">بهینه‌سازی تگ‌های عنوان و محتوای صفحاتی که در رتبه‌های ۴ تا ۱۰ گوگل قرار دارند برای ورود به ۳ رتبه اول.</x:t>
        </x:is>
      </x:c>
      <x:c r="S30" s="30" t="str">
        <x:v>REP-29</x:v>
      </x:c>
      <x:c r="T30" s="30" t="str">
        <x:v>W5</x:v>
      </x:c>
      <x:c r="U30" s="30" t="str">
        <x:v>نیازمند تکمیل و تأیید مالک</x:v>
      </x:c>
      <x:c r="V30" s="30" t="str">
        <x:v>BI Lead</x:v>
      </x:c>
      <x:c r="W30" s="30" t="str">
        <x:v>Proposed</x:v>
      </x:c>
      <x:c r="X30" s="30" t="str">
        <x:v>نیازمند تکمیل و تأیید مالک</x:v>
      </x:c>
    </x:row>
    <x:row r="31">
      <x:c r="A31" s="19" t="inlineStr">
        <x:is>
          <x:t xml:space="preserve">REP-30</x:t>
        </x:is>
      </x:c>
      <x:c r="B31" s="6" t="inlineStr">
        <x:is>
          <x:t xml:space="preserve">Attribution Comparison</x:t>
        </x:is>
      </x:c>
      <x:c r="C31" s="6" t="inlineStr">
        <x:is>
          <x:t xml:space="preserve">گزارش تطبیقی مدل‌های تخصیص First, Last, Data-Driven</x:t>
        </x:is>
      </x:c>
      <x:c r="D31" s="6" t="inlineStr">
        <x:is>
          <x:t xml:space="preserve">Multi-Touch Attribution Comparative Model Report</x:t>
        </x:is>
      </x:c>
      <x:c r="E31" s="6" t="inlineStr">
        <x:is>
          <x:t xml:space="preserve">وزن و سهم واقعی هر کانال تبلیغاتی تحت سناریوهای مختلف انتساب چقدر تغییر می‌کند؟</x:t>
        </x:is>
      </x:c>
      <x:c r="F31" s="6" t="inlineStr">
        <x:is>
          <x:t xml:space="preserve">جلوگیری از قضاوت تک‌بعدی درباره کانال‌های آگاهی‌بخش و برقراری تعادل در سبد بودجه رسانه‌ای.</x:t>
        </x:is>
      </x:c>
      <x:c r="G31" s="6" t="inlineStr">
        <x:is>
          <x:t xml:space="preserve">Marketing Analytics Lead، CMO، Performance Lead</x:t>
        </x:is>
      </x:c>
      <x:c r="H31" s="6" t="inlineStr">
        <x:is>
          <x:t xml:space="preserve">First-Touch Revenue, Last-Touch Revenue, Linear Revenue, Data-Driven Revenue, Shapley Values</x:t>
        </x:is>
      </x:c>
      <x:c r="I31" s="6" t="inlineStr">
        <x:is>
          <x:t xml:space="preserve">Attribution Variance % (اختلاف مدل‌ها)، Assisted Conversion Ratio, Cost per DDA Conversion</x:t>
        </x:is>
      </x:c>
      <x:c r="J31" s="6" t="inlineStr">
        <x:is>
          <x:t xml:space="preserve">کانال بازاریابی، نوع کمپین، پنجره زمانی انتساب (7-day, 30-day)</x:t>
        </x:is>
      </x:c>
      <x:c r="K31" s="6" t="inlineStr">
        <x:is>
          <x:t xml:space="preserve">جدول تاچ‌پوینت‌های کامل مسیر مشتری در انبار داده متمرکز</x:t>
        </x:is>
      </x:c>
      <x:c r="L31" s="6" t="inlineStr">
        <x:is>
          <x:t xml:space="preserve">انبار داده BigQuery (اجرای الگوریتم مارکوف و شاپلی)</x:t>
        </x:is>
      </x:c>
      <x:c r="M31" s="6" t="inlineStr">
        <x:is>
          <x:t xml:space="preserve">سطح کانال و مسیر تبدیل (Channel &amp; Path Level)</x:t>
        </x:is>
      </x:c>
      <x:c r="N31" s="6" t="inlineStr">
        <x:is>
          <x:t xml:space="preserve">ماهانه، فصلی</x:t>
        </x:is>
      </x:c>
      <x:c r="O31" s="6" t="inlineStr">
        <x:is>
          <x:t xml:space="preserve">Grouped Bar Chart مقایسه درآمد کانال‌ها در ۴ مدل مختلف، Sankey مسیرهای پرتکرار</x:t>
        </x:is>
      </x:c>
      <x:c r="P31" s="6" t="inlineStr">
        <x:is>
          <x:t xml:space="preserve">ماهانه</x:t>
        </x:is>
      </x:c>
      <x:c r="Q31" s="6" t="inlineStr">
        <x:is>
          <x:t xml:space="preserve">حیاتی (Critical)</x:t>
        </x:is>
      </x:c>
      <x:c r="R31" s="6" t="inlineStr">
        <x:is>
          <x:t xml:space="preserve">حفظ بودجه کمپین‌های ویدیویی اینستاگرام در صورتی که سهم First-Touch و DDA آن‌ها حداقل ۲ برابر Last-Touch باشد.</x:t>
        </x:is>
      </x:c>
      <x:c r="S31" s="30" t="str">
        <x:v>REP-30</x:v>
      </x:c>
      <x:c r="T31" s="30" t="str">
        <x:v>W4</x:v>
      </x:c>
      <x:c r="U31" s="30" t="str">
        <x:v>نیازمند تکمیل و تأیید مالک</x:v>
      </x:c>
      <x:c r="V31" s="30" t="str">
        <x:v>BI Lead</x:v>
      </x:c>
      <x:c r="W31" s="30" t="str">
        <x:v>Proposed</x:v>
      </x:c>
      <x:c r="X31" s="30" t="str">
        <x:v>نیازمند تکمیل و تأیید مالک</x:v>
      </x:c>
    </x:row>
    <x:row r="32">
      <x:c r="A32" s="17" t="inlineStr">
        <x:is>
          <x:t xml:space="preserve">REP-31</x:t>
        </x:is>
      </x:c>
      <x:c r="B32" s="4" t="inlineStr">
        <x:is>
          <x:t xml:space="preserve">Incrementality &amp; Lift</x:t>
        </x:is>
      </x:c>
      <x:c r="C32" s="4" t="inlineStr">
        <x:is>
          <x:t xml:space="preserve">گزارش خالص اثربخشی و لیفت واقعی تبلیغات</x:t>
        </x:is>
      </x:c>
      <x:c r="D32" s="4" t="inlineStr">
        <x:is>
          <x:t xml:space="preserve">Marketing Incrementality &amp; Geo-Holdout Lift Report</x:t>
        </x:is>
      </x:c>
      <x:c r="E32" s="4" t="inlineStr">
        <x:is>
          <x:t xml:space="preserve">چه سهمی از فروش حاصل از تبلیغات پولی واقعاً ناشی از اثر تبلیغ است و بدون آن رخ نمی‌داد؟</x:t>
        </x:is>
      </x:c>
      <x:c r="F32" s="4" t="inlineStr">
        <x:is>
          <x:t xml:space="preserve">حذف هزینه‌های زاید روی مخاطبان قطعی؛ کاهش بید کلمات برند؛ بازطراحی کمپین‌های ریتارگتینگ.</x:t>
        </x:is>
      </x:c>
      <x:c r="G32" s="4" t="inlineStr">
        <x:is>
          <x:t xml:space="preserve">Marketing Analytics Lead، CMO</x:t>
        </x:is>
      </x:c>
      <x:c r="H32" s="4" t="inlineStr">
        <x:is>
          <x:t xml:space="preserve">Incremental Lift %, Incremental Revenue, Incremental Orders, iROAS, True CAC</x:t>
        </x:is>
      </x:c>
      <x:c r="I32" s="4" t="inlineStr">
        <x:is>
          <x:t xml:space="preserve">Holdout Group Conversion Rate, Test Group Conversion Rate, Cannibalization %</x:t>
        </x:is>
      </x:c>
      <x:c r="J32" s="4" t="inlineStr">
        <x:is>
          <x:t xml:space="preserve">منطقه جغرافیایی آزمایش (Geo-test vs Geo-control)، گروه آزمون کاربری، کمپین</x:t>
        </x:is>
      </x:c>
      <x:c r="K32" s="4" t="inlineStr">
        <x:is>
          <x:t xml:space="preserve">داده‌های فروش منطقه‌ای و نتایج آزمایش‌های Conversion Lift پلتفرم‌ها</x:t>
        </x:is>
      </x:c>
      <x:c r="L32" s="4" t="inlineStr">
        <x:is>
          <x:t xml:space="preserve">Meta Lift API, پایگاه داده فروش استانی، ابزار GeoLift پایتون</x:t>
        </x:is>
      </x:c>
      <x:c r="M32" s="4" t="inlineStr">
        <x:is>
          <x:t xml:space="preserve">سطح منطقه جغرافیایی یا سلول آزمایشی (Test Cell Level)</x:t>
        </x:is>
      </x:c>
      <x:c r="N32" s="4" t="inlineStr">
        <x:is>
          <x:t xml:space="preserve">فصلی، پس از هر تست لیفت</x:t>
        </x:is>
      </x:c>
      <x:c r="O32" s="4" t="inlineStr">
        <x:is>
          <x:t xml:space="preserve">Time Series Chart با خطوط Test در برابر Synthetic Control، فواصل اطمینان آماری</x:t>
        </x:is>
      </x:c>
      <x:c r="P32" s="4" t="inlineStr">
        <x:is>
          <x:t xml:space="preserve">فصلی</x:t>
        </x:is>
      </x:c>
      <x:c r="Q32" s="4" t="inlineStr">
        <x:is>
          <x:t xml:space="preserve">حیاتی (Critical)</x:t>
        </x:is>
      </x:c>
      <x:c r="R32" s="4" t="inlineStr">
        <x:is>
          <x:t xml:space="preserve">اگر iROAS یک کمپین ریتارگتینگ کمتر از ۱.۰ برآورد شود، کاهش ۷۰ درصدی بودجه ریتارگتینگ و هدایت آن به جذب اولیه.</x:t>
        </x:is>
      </x:c>
      <x:c r="S32" s="30" t="str">
        <x:v>REP-31</x:v>
      </x:c>
      <x:c r="T32" s="30" t="str">
        <x:v>W4</x:v>
      </x:c>
      <x:c r="U32" s="30" t="str">
        <x:v>نیازمند تکمیل و تأیید مالک</x:v>
      </x:c>
      <x:c r="V32" s="30" t="str">
        <x:v>BI Lead</x:v>
      </x:c>
      <x:c r="W32" s="30" t="str">
        <x:v>Proposed</x:v>
      </x:c>
      <x:c r="X32" s="30" t="str">
        <x:v>نیازمند تکمیل و تأیید مالک</x:v>
      </x:c>
    </x:row>
    <x:row r="33">
      <x:c r="A33" s="19" t="inlineStr">
        <x:is>
          <x:t xml:space="preserve">REP-32</x:t>
        </x:is>
      </x:c>
      <x:c r="B33" s="6" t="inlineStr">
        <x:is>
          <x:t xml:space="preserve">Budget &amp; Spend Management</x:t>
        </x:is>
      </x:c>
      <x:c r="C33" s="6" t="inlineStr">
        <x:is>
          <x:t xml:space="preserve">گزارش حاکمیت بودجه، تراز روزانه و شتاب هزینه</x:t>
        </x:is>
      </x:c>
      <x:c r="D33" s="6" t="inlineStr">
        <x:is>
          <x:t xml:space="preserve">Daily Budget Pacing &amp; Blended Spend Control Report</x:t>
        </x:is>
      </x:c>
      <x:c r="E33" s="6" t="inlineStr">
        <x:is>
          <x:t xml:space="preserve">آیا نرخ مصرف بودجه در تمامی کانال‌ها منطبق با برنامه ماهانه است یا دچار Over/Under Spend هستیم؟</x:t>
        </x:is>
      </x:c>
      <x:c r="F33" s="6" t="inlineStr">
        <x:is>
          <x:t xml:space="preserve">تعدیل سقف بودجه روزانه کمپین‌ها، جلوگیری از اتمام زودهنگام اعتبار در نیمه ماه.</x:t>
        </x:is>
      </x:c>
      <x:c r="G33" s="6" t="inlineStr">
        <x:is>
          <x:t xml:space="preserve">Performance Lead، Media Buyer، CFO</x:t>
        </x:is>
      </x:c>
      <x:c r="H33" s="6" t="inlineStr">
        <x:is>
          <x:t xml:space="preserve">Approved Budget, Actual Spend to Date, Forecasted Month-End Spend, Budget Pacing %</x:t>
        </x:is>
      </x:c>
      <x:c r="I33" s="6" t="inlineStr">
        <x:is>
          <x:t xml:space="preserve">Remaining Budget, Daily Burn Rate, Overspend Risk %, Recommended Daily Run-rate</x:t>
        </x:is>
      </x:c>
      <x:c r="J33" s="6" t="inlineStr">
        <x:is>
          <x:t xml:space="preserve">کانال تبلیغاتی، کمپین، واحد ارزی، دپارتمان تخصصی (تجهیزات در برابر مصرفی)</x:t>
        </x:is>
      </x:c>
      <x:c r="K33" s="6" t="inlineStr">
        <x:is>
          <x:t xml:space="preserve">هزینه لحظه‌ای ادز از APIها و سند مصوب بودجه ماهانه مالی</x:t>
        </x:is>
      </x:c>
      <x:c r="L33" s="6" t="inlineStr">
        <x:is>
          <x:t xml:space="preserve">Google Ads, Meta Ads, داشبورد مالی بودجه</x:t>
        </x:is>
      </x:c>
      <x:c r="M33" s="6" t="inlineStr">
        <x:is>
          <x:t xml:space="preserve">سطح کانال و کمپین (Campaign &amp; Channel Level)</x:t>
        </x:is>
      </x:c>
      <x:c r="N33" s="6" t="inlineStr">
        <x:is>
          <x:t xml:space="preserve">روزانه (ساعت ۱۰ صبح و ۶ عصر)</x:t>
        </x:is>
      </x:c>
      <x:c r="O33" s="6" t="inlineStr">
        <x:is>
          <x:t xml:space="preserve">Bullet Chart مقایسه بودجه مصوب و واقعی، ترند لاین شتاب مصرف روزانه</x:t>
        </x:is>
      </x:c>
      <x:c r="P33" s="6" t="inlineStr">
        <x:is>
          <x:t xml:space="preserve">روزانه</x:t>
        </x:is>
      </x:c>
      <x:c r="Q33" s="6" t="inlineStr">
        <x:is>
          <x:t xml:space="preserve">حیاتی (Critical)</x:t>
        </x:is>
      </x:c>
      <x:c r="R33" s="6" t="inlineStr">
        <x:is>
          <x:t xml:space="preserve">اگر انحراف شتاب بودجه (Pacing) بیش از ۱۵٪ مثبت باشد، کاهش فوری سقف روزانه ادست‌ها ظرف ۲ ساعت.</x:t>
        </x:is>
      </x:c>
      <x:c r="S33" s="30" t="str">
        <x:v>REP-32</x:v>
      </x:c>
      <x:c r="T33" s="30" t="str">
        <x:v>W4</x:v>
      </x:c>
      <x:c r="U33" s="30" t="str">
        <x:v>نیازمند تکمیل و تأیید مالک</x:v>
      </x:c>
      <x:c r="V33" s="30" t="str">
        <x:v>BI Lead</x:v>
      </x:c>
      <x:c r="W33" s="30" t="str">
        <x:v>Proposed</x:v>
      </x:c>
      <x:c r="X33" s="30" t="str">
        <x:v>نیازمند تکمیل و تأیید مالک</x:v>
      </x:c>
    </x:row>
    <x:row r="34">
      <x:c r="A34" s="17" t="inlineStr">
        <x:is>
          <x:t xml:space="preserve">REP-33</x:t>
        </x:is>
      </x:c>
      <x:c r="B34" s="4" t="inlineStr">
        <x:is>
          <x:t xml:space="preserve">Profitability &amp; Unit Economics</x:t>
        </x:is>
      </x:c>
      <x:c r="C34" s="4" t="inlineStr">
        <x:is>
          <x:t xml:space="preserve">گزارش سودآوری، حاشیه سهم و محاسبات POAS</x:t>
        </x:is>
      </x:c>
      <x:c r="D34" s="4" t="inlineStr">
        <x:is>
          <x:t xml:space="preserve">Marketing Contribution Margin &amp; Unit Economics Report</x:t>
        </x:is>
      </x:c>
      <x:c r="E34" s="4" t="inlineStr">
        <x:is>
          <x:t xml:space="preserve">تبلیغات به ازای هر ریال هزینه، چه میزان سود ناخالص واقعی (POAS) و حاشیه سهم نهایی می‌سازد؟</x:t>
        </x:is>
      </x:c>
      <x:c r="F34" s="4" t="inlineStr">
        <x:is>
          <x:t xml:space="preserve">توقف فوری کمپین‌های زیان‌دهی که ROAS ظاهری بالا ولی حاشیه سود منفی دارند.</x:t>
        </x:is>
      </x:c>
      <x:c r="G34" s="4" t="inlineStr">
        <x:is>
          <x:t xml:space="preserve">CMO، CFO، Performance Marketing Lead</x:t>
        </x:is>
      </x:c>
      <x:c r="H34" s="4" t="inlineStr">
        <x:is>
          <x:t xml:space="preserve">Total Paid Spend, Gross Profit Generated, POAS (Profit on Ad Spend), Total CM (تومان), CM %</x:t>
        </x:is>
      </x:c>
      <x:c r="I34" s="4" t="inlineStr">
        <x:is>
          <x:t xml:space="preserve">Break-even ROAS, Net Revenue, COGS, Variable Shipping &amp; Gateway Costs, Marginal POAS</x:t>
        </x:is>
      </x:c>
      <x:c r="J34" s="4" t="inlineStr">
        <x:is>
          <x:t xml:space="preserve">کمپین تبلیغاتی، شاخه کالا، نوع سفارش (آنلاین/تلفنی)، روش تسویه</x:t>
        </x:is>
      </x:c>
      <x:c r="K34" s="4" t="inlineStr">
        <x:is>
          <x:t xml:space="preserve">تلفیق هزینه ادز، درآمدهای قطعی حسابداری و بهای تمام‌شده انبار (COGS) در DWH</x:t>
        </x:is>
      </x:c>
      <x:c r="L34" s="4" t="inlineStr">
        <x:is>
          <x:t xml:space="preserve">Google Ads, Meta Ads, نرم‌افزار حسابداری صنعتی سپیدار</x:t>
        </x:is>
      </x:c>
      <x:c r="M34" s="4" t="inlineStr">
        <x:is>
          <x:t xml:space="preserve">سطح کمپین و دسته‌بندی کالا</x:t>
        </x:is>
      </x:c>
      <x:c r="N34" s="4" t="inlineStr">
        <x:is>
          <x:t xml:space="preserve">روزانه، هفتگی</x:t>
        </x:is>
      </x:c>
      <x:c r="O34" s="4" t="inlineStr">
        <x:is>
          <x:t xml:space="preserve">Line Chart روند POAS در برابر نقطه سر‌به‌سر (BE-ROAS)، Waterfall Chart سودآوری</x:t>
        </x:is>
      </x:c>
      <x:c r="P34" s="4" t="inlineStr">
        <x:is>
          <x:t xml:space="preserve">روزانه</x:t>
        </x:is>
      </x:c>
      <x:c r="Q34" s="4" t="inlineStr">
        <x:is>
          <x:t xml:space="preserve">حیاتی (Critical)</x:t>
        </x:is>
      </x:c>
      <x:c r="R34" s="4" t="inlineStr">
        <x:is>
          <x:t xml:space="preserve">خاموش کردن هر ادستی که در بازه غلتان ۱۴ روزه مقدار POAS کمتر از ۱.۱ را ثبت کرده است.</x:t>
        </x:is>
      </x:c>
      <x:c r="S34" s="30" t="str">
        <x:v>REP-33</x:v>
      </x:c>
      <x:c r="T34" s="30" t="str">
        <x:v>W4</x:v>
      </x:c>
      <x:c r="U34" s="30" t="str">
        <x:v>نیازمند تکمیل و تأیید مالک</x:v>
      </x:c>
      <x:c r="V34" s="30" t="str">
        <x:v>BI Lead</x:v>
      </x:c>
      <x:c r="W34" s="30" t="str">
        <x:v>Proposed</x:v>
      </x:c>
      <x:c r="X34" s="30" t="str">
        <x:v>نیازمند تکمیل و تأیید مالک</x:v>
      </x:c>
    </x:row>
    <x:row r="35">
      <x:c r="A35" s="19" t="inlineStr">
        <x:is>
          <x:t xml:space="preserve">REP-34</x:t>
        </x:is>
      </x:c>
      <x:c r="B35" s="6" t="inlineStr">
        <x:is>
          <x:t xml:space="preserve">Forecasting &amp; Scenarios</x:t>
        </x:is>
      </x:c>
      <x:c r="C35" s="6" t="inlineStr">
        <x:is>
          <x:t xml:space="preserve">گزارش پیش‌بینی درآمد، هزینه و برنامه‌ریزی سناریوها</x:t>
        </x:is>
      </x:c>
      <x:c r="D35" s="6" t="inlineStr">
        <x:is>
          <x:t xml:space="preserve">90-Day Media Spend &amp; Revenue Scenario Forecasting Report</x:t>
        </x:is>
      </x:c>
      <x:c r="E35" s="6" t="inlineStr">
        <x:is>
          <x:t xml:space="preserve">با سناریوهای مختلف بودجه‌ای (رشد تهاجمی، محافظه‌کارانه، حفظ وضع موجود)، چه درآمدی محقق می‌شود؟</x:t>
        </x:is>
      </x:c>
      <x:c r="F35" s="6" t="inlineStr">
        <x:is>
          <x:t xml:space="preserve">تصویب بودجه فصلی در هیئت‌مدیره، پیش‌بینی نقدینگی ارزی و سفارش‌گذاری واردات تجهیزات.</x:t>
        </x:is>
      </x:c>
      <x:c r="G35" s="6" t="inlineStr">
        <x:is>
          <x:t xml:space="preserve">CMO، CFO، Commercial Director</x:t>
        </x:is>
      </x:c>
      <x:c r="H35" s="6" t="inlineStr">
        <x:is>
          <x:t xml:space="preserve">Forecasted Spend, Forecasted Net Revenue, Forecasted Gross Profit, Expected ROAS/POAS</x:t>
        </x:is>
      </x:c>
      <x:c r="I35" s="6" t="inlineStr">
        <x:is>
          <x:t xml:space="preserve">Upper &amp; Lower Confidence Bounds (95%), Seasonality Index, Estimated Lead Inflow</x:t>
        </x:is>
      </x:c>
      <x:c r="J35" s="6" t="inlineStr">
        <x:is>
          <x:t xml:space="preserve">سناریوی بودجه (حداقلی، پایه، تهاجمی)، ماه پیش‌بینی، رده محصول</x:t>
        </x:is>
      </x:c>
      <x:c r="K35" s="6" t="inlineStr">
        <x:is>
          <x:t xml:space="preserve">سری‌های زمانی هزینه و درآمد ۲۴ ماه گذشته و ضرایب کشش مدل MMM</x:t>
        </x:is>
      </x:c>
      <x:c r="L35" s="6" t="inlineStr">
        <x:is>
          <x:t xml:space="preserve">انبار داده، مدل‌های آماری Prophet و فریم‌ورک‌های یادگیری ماشین</x:t>
        </x:is>
      </x:c>
      <x:c r="M35" s="6" t="inlineStr">
        <x:is>
          <x:t xml:space="preserve">سطح کلان شرکت و فصل آینده (Strategic Level)</x:t>
        </x:is>
      </x:c>
      <x:c r="N35" s="6" t="inlineStr">
        <x:is>
          <x:t xml:space="preserve">ماهانه، فصلی</x:t>
        </x:is>
      </x:c>
      <x:c r="O35" s="6" t="inlineStr">
        <x:is>
          <x:t xml:space="preserve">Fan Chart پیش‌بینی با فواصل اطمینان، Table مقایسه‌ای سناریوها</x:t>
        </x:is>
      </x:c>
      <x:c r="P35" s="6" t="inlineStr">
        <x:is>
          <x:t xml:space="preserve">ماهانه</x:t>
        </x:is>
      </x:c>
      <x:c r="Q35" s="6" t="inlineStr">
        <x:is>
          <x:t xml:space="preserve">بسیار مهم (High)</x:t>
        </x:is>
      </x:c>
      <x:c r="R35" s="6" t="inlineStr">
        <x:is>
          <x:t xml:space="preserve">اتخاذ سناریوی تهاجمی بودجه در صورتی که پیش‌بینی POAS بالای ۱.۶ و ظرفیت نقدینگی انبار مهیا باشد.</x:t>
        </x:is>
      </x:c>
      <x:c r="S35" s="30" t="str">
        <x:v>REP-34</x:v>
      </x:c>
      <x:c r="T35" s="30" t="str">
        <x:v>W5</x:v>
      </x:c>
      <x:c r="U35" s="30" t="str">
        <x:v>نیازمند تکمیل و تأیید مالک</x:v>
      </x:c>
      <x:c r="V35" s="30" t="str">
        <x:v>BI Lead</x:v>
      </x:c>
      <x:c r="W35" s="30" t="str">
        <x:v>Proposed</x:v>
      </x:c>
      <x:c r="X35" s="30" t="str">
        <x:v>نیازمند تکمیل و تأیید مالک</x:v>
      </x:c>
    </x:row>
    <x:row r="36">
      <x:c r="A36" s="17" t="inlineStr">
        <x:is>
          <x:t xml:space="preserve">REP-35</x:t>
        </x:is>
      </x:c>
      <x:c r="B36" s="4" t="inlineStr">
        <x:is>
          <x:t xml:space="preserve">Experimentation &amp; Testing</x:t>
        </x:is>
      </x:c>
      <x:c r="C36" s="4" t="inlineStr">
        <x:is>
          <x:t xml:space="preserve">گزارش آزمایش‌های کنترل‌شده، تست‌های A/B و معناداری آماری</x:t>
        </x:is>
      </x:c>
      <x:c r="D36" s="4" t="inlineStr">
        <x:is>
          <x:t xml:space="preserve">Controlled Experimentation &amp; A/B Test Results Report</x:t>
        </x:is>
      </x:c>
      <x:c r="E36" s="4" t="inlineStr">
        <x:is>
          <x:t xml:space="preserve">آیا تغییرات لندینگ، فرآیند تسویه، آفرهای تخفیف یا استراتژی بیدینگ به لحاظ آماری برنده شده‌اند؟</x:t>
        </x:is>
      </x:c>
      <x:c r="F36" s="4" t="inlineStr">
        <x:is>
          <x:t xml:space="preserve">اعمال سراسری نسخه برنده روی وب‌سایت؛ بستن واریانت‌های شکست‌خورده؛ جلوگیری از اعمال تغییرات بی‌اثر.</x:t>
        </x:is>
      </x:c>
      <x:c r="G36" s="4" t="inlineStr">
        <x:is>
          <x:t xml:space="preserve">CRO Specialist، Product Manager، Performance Lead</x:t>
        </x:is>
      </x:c>
      <x:c r="H36" s="4" t="inlineStr">
        <x:is>
          <x:t xml:space="preserve">Sample Size per Variant, Conversions, Conversion Rate %, Lift %, P-Value, Statistical Power %</x:t>
        </x:is>
      </x:c>
      <x:c r="I36" s="4" t="inlineStr">
        <x:is>
          <x:t xml:space="preserve">Confidence Interval Bounds, Bounce Rate by Variant, Average Order Value by Variant</x:t>
        </x:is>
      </x:c>
      <x:c r="J36" s="4" t="inlineStr">
        <x:is>
          <x:t xml:space="preserve">کد تست (Experiment ID)، واریانت (Control vs Variant B)، سگمنت مخاطب، نوع دستگاه</x:t>
        </x:is>
      </x:c>
      <x:c r="K36" s="4" t="inlineStr">
        <x:is>
          <x:t xml:space="preserve">لاگ رویدادهای تفکیک‌شده بر مبنای کوکی تست تصادفی</x:t>
        </x:is>
      </x:c>
      <x:c r="L36" s="4" t="inlineStr">
        <x:is>
          <x:t xml:space="preserve">PostHog, Google Analytics 4, ابزار محاسبات آماری داخلی</x:t>
        </x:is>
      </x:c>
      <x:c r="M36" s="4" t="inlineStr">
        <x:is>
          <x:t xml:space="preserve">سطح تست و واریانت (Variant Level)</x:t>
        </x:is>
      </x:c>
      <x:c r="N36" s="4" t="inlineStr">
        <x:is>
          <x:t xml:space="preserve">هفتگی در طول اجرای هر تست (تا رسیدن به قطعیت)</x:t>
        </x:is>
      </x:c>
      <x:c r="O36" s="4" t="inlineStr">
        <x:is>
          <x:t xml:space="preserve">Bar Chart مقایسه واریانت‌ها همراه با Error Bars، نمودار توزیع احتمال موفقیت</x:t>
        </x:is>
      </x:c>
      <x:c r="P36" s="4" t="inlineStr">
        <x:is>
          <x:t xml:space="preserve">هفتگی</x:t>
        </x:is>
      </x:c>
      <x:c r="Q36" s="4" t="inlineStr">
        <x:is>
          <x:t xml:space="preserve">بسیار مهم (High)</x:t>
        </x:is>
      </x:c>
      <x:c r="R36" s="4" t="inlineStr">
        <x:is>
          <x:t xml:space="preserve">اعمال نسخه تغییریافته به عنوان نسخه اصلی سایت تنها در صورت ثبت P-value &lt; 0.05 و توان آماری بالای ۸۰٪.</x:t>
        </x:is>
      </x:c>
      <x:c r="S36" s="30" t="str">
        <x:v>REP-35</x:v>
      </x:c>
      <x:c r="T36" s="30" t="str">
        <x:v>W5</x:v>
      </x:c>
      <x:c r="U36" s="30" t="str">
        <x:v>نیازمند تکمیل و تأیید مالک</x:v>
      </x:c>
      <x:c r="V36" s="30" t="str">
        <x:v>BI Lead</x:v>
      </x:c>
      <x:c r="W36" s="30" t="str">
        <x:v>Proposed</x:v>
      </x:c>
      <x:c r="X36" s="30" t="str">
        <x:v>نیازمند تکمیل و تأیید مالک</x:v>
      </x:c>
    </x:row>
    <x:row r="37">
      <x:c r="A37" s="19" t="inlineStr">
        <x:is>
          <x:t xml:space="preserve">REP-36</x:t>
        </x:is>
      </x:c>
      <x:c r="B37" s="6" t="inlineStr">
        <x:is>
          <x:t xml:space="preserve">Tracking Health</x:t>
        </x:is>
      </x:c>
      <x:c r="C37" s="6" t="inlineStr">
        <x:is>
          <x:t xml:space="preserve">گزارش سلامت ترکینگ، کیفیت تطابق رویدادها و ممیزی داده</x:t>
        </x:is>
      </x:c>
      <x:c r="D37" s="6" t="inlineStr">
        <x:is>
          <x:t xml:space="preserve">Tracking Infrastructure Health &amp; Event Match Quality Report</x:t>
        </x:is>
      </x:c>
      <x:c r="E37" s="6" t="inlineStr">
        <x:is>
          <x:t xml:space="preserve">آیا زیرساخت رهگیری کلاینت و سرور بدون نقص کار می‌کند یا نشت و گم‌شدگی داده داریم؟</x:t>
        </x:is>
      </x:c>
      <x:c r="F37" s="6" t="inlineStr">
        <x:is>
          <x:t xml:space="preserve">اصلاح تگ‌های سروری GTM، برطرف کردن خطاهای احراز هویت در CAPI، بازیابی داده‌های گمشده.</x:t>
        </x:is>
      </x:c>
      <x:c r="G37" s="6" t="inlineStr">
        <x:is>
          <x:t xml:space="preserve">AI/Data Engineer، Analytics Lead</x:t>
        </x:is>
      </x:c>
      <x:c r="H37" s="6" t="inlineStr">
        <x:is>
          <x:t xml:space="preserve">Tracking Coverage %, Missing Events Rate %, Duplicate Events %, EMQ Score (Meta), Freshness Lag</x:t>
        </x:is>
      </x:c>
      <x:c r="I37" s="6" t="inlineStr">
        <x:is>
          <x:t xml:space="preserve">Server vs Client Event Discrepancy %, HTTP Error 5xx Rate, Discarded Payload Count</x:t>
        </x:is>
      </x:c>
      <x:c r="J37" s="6" t="inlineStr">
        <x:is>
          <x:t xml:space="preserve">نام رویداد (Event Name)، پلتفرم مقصد، منبع ارسال (Web vs Server-side GTM)، مرورگر</x:t>
        </x:is>
      </x:c>
      <x:c r="K37" s="6" t="inlineStr">
        <x:is>
          <x:t xml:space="preserve">لاگ‌های لحظه‌ای سرور تگ منیجر، وب‌هوک‌های دیباگ پلتفرم‌ها و BigQuery Raw Stream</x:t>
        </x:is>
      </x:c>
      <x:c r="L37" s="6" t="inlineStr">
        <x:is>
          <x:t xml:space="preserve">Server GTM Logs, Meta Events Manager Diagnostics, Google Ads Conversion Diagnostics</x:t>
        </x:is>
      </x:c>
      <x:c r="M37" s="6" t="inlineStr">
        <x:is>
          <x:t xml:space="preserve">سطح رویداد و پایپ‌لاین (Event Stream Level)</x:t>
        </x:is>
      </x:c>
      <x:c r="N37" s="6" t="inlineStr">
        <x:is>
          <x:t xml:space="preserve">روزانه (پایش پیوسته بلادرنگ)</x:t>
        </x:is>
      </x:c>
      <x:c r="O37" s="6" t="inlineStr">
        <x:is>
          <x:t xml:space="preserve">Status Heatmap رویدادها (سالم/هشدار/خراب)، Gauge نمره تطابق، Line ترند خطاهای سرور</x:t>
        </x:is>
      </x:c>
      <x:c r="P37" s="6" t="inlineStr">
        <x:is>
          <x:t xml:space="preserve">روزانه</x:t>
        </x:is>
      </x:c>
      <x:c r="Q37" s="6" t="inlineStr">
        <x:is>
          <x:t xml:space="preserve">حیاتی (Critical)</x:t>
        </x:is>
      </x:c>
      <x:c r="R37" s="6" t="inlineStr">
        <x:is>
          <x:t xml:space="preserve">در صورت افت EMQ به زیر ۶.۰ یا بروز خطای Missing Events بالای ۵٪ برای Purchase، اقدام فوری تیم مهندسی ظرف ۴ ساعت.</x:t>
        </x:is>
      </x:c>
      <x:c r="S37" s="30" t="str">
        <x:v>REP-36</x:v>
      </x:c>
      <x:c r="T37" s="30" t="str">
        <x:v>W4</x:v>
      </x:c>
      <x:c r="U37" s="30" t="str">
        <x:v>نیازمند تکمیل و تأیید مالک</x:v>
      </x:c>
      <x:c r="V37" s="30" t="str">
        <x:v>BI Lead</x:v>
      </x:c>
      <x:c r="W37" s="30" t="str">
        <x:v>Proposed</x:v>
      </x:c>
      <x:c r="X37" s="30" t="str">
        <x:v>نیازمند تکمیل و تأیید مالک</x:v>
      </x:c>
    </x:row>
    <x:row r="38">
      <x:c r="A38" s="17" t="inlineStr">
        <x:is>
          <x:t xml:space="preserve">REP-37</x:t>
        </x:is>
      </x:c>
      <x:c r="B38" s="4" t="inlineStr">
        <x:is>
          <x:t xml:space="preserve">Marketing Alerts</x:t>
        </x:is>
      </x:c>
      <x:c r="C38" s="4" t="inlineStr">
        <x:is>
          <x:t xml:space="preserve">فید فوری هشدارهای ناهنجاری و خطاهای سیستمی</x:t>
        </x:is>
      </x:c>
      <x:c r="D38" s="4" t="inlineStr">
        <x:is>
          <x:t xml:space="preserve">Real-Time Marketing Anomaly &amp; Alert Log Feed</x:t>
        </x:is>
      </x:c>
      <x:c r="E38" s="4" t="inlineStr">
        <x:is>
          <x:t xml:space="preserve">چه رخداد غیرمنتظره‌ای (توقف اسپند، قطعی درگاه، سقوط نرخ تبدیل یا سوختن بودجه) رخ داده است؟</x:t>
        </x:is>
      </x:c>
      <x:c r="F38" s="4" t="inlineStr">
        <x:is>
          <x:t xml:space="preserve">واکنش سریع عملیاتی؛ خاموش کردن کمپین، تماس با پشتیبانی درگاه، رفع خطای فنی لندینگ.</x:t>
        </x:is>
      </x:c>
      <x:c r="G38" s="4" t="inlineStr">
        <x:is>
          <x:t xml:space="preserve">تمام تیم‌های پرفورمنس مارکتینگ، سرپرست فروش، مدیر فنی</x:t>
        </x:is>
      </x:c>
      <x:c r="H38" s="4" t="inlineStr">
        <x:is>
          <x:t xml:space="preserve">Alert Incident ID, Trigger Time, Severity (Critical/High/Medium), Anomaly Metric, Deviation %</x:t>
        </x:is>
      </x:c>
      <x:c r="I38" s="4" t="inlineStr">
        <x:is>
          <x:t xml:space="preserve">Root Cause Suspect, Affected URLs / Campaigns, Resolution Status, Response Duration</x:t>
        </x:is>
      </x:c>
      <x:c r="J38" s="4" t="inlineStr">
        <x:is>
          <x:t xml:space="preserve">بخش عملیاتی (مدیا، وب‌سایت، درگاه بانکی، انبار، CRM)، کمپین آسیب‌دیده</x:t>
        </x:is>
      </x:c>
      <x:c r="K38" s="4" t="inlineStr">
        <x:is>
          <x:t xml:space="preserve">خروجی اسکریپت‌های مانیتورینگ خودکار ناهنجاری و لاگ‌های خطا</x:t>
        </x:is>
      </x:c>
      <x:c r="L38" s="4" t="inlineStr">
        <x:is>
          <x:t xml:space="preserve">سرویس مانیتورینگ داخلی تیتانا، وب‌هوک تلگرام/اسلک/SMS</x:t>
        </x:is>
      </x:c>
      <x:c r="M38" s="4" t="inlineStr">
        <x:is>
          <x:t xml:space="preserve">سطح رخداد حادثه (Incident Level)</x:t>
        </x:is>
      </x:c>
      <x:c r="N38" s="4" t="inlineStr">
        <x:is>
          <x:t xml:space="preserve">بلادرنگ (Real-Time با بروز خطا)</x:t>
        </x:is>
      </x:c>
      <x:c r="O38" s="4" t="inlineStr">
        <x:is>
          <x:t xml:space="preserve">Alert Feed List، شمارنده حوادث حل‌نشده، تایمر مدت زمان باز بودن بحران</x:t>
        </x:is>
      </x:c>
      <x:c r="P38" s="4" t="inlineStr">
        <x:is>
          <x:t xml:space="preserve">Real-time</x:t>
        </x:is>
      </x:c>
      <x:c r="Q38" s="4" t="inlineStr">
        <x:is>
          <x:t xml:space="preserve">حیاتی (Critical)</x:t>
        </x:is>
      </x:c>
      <x:c r="R38" s="4" t="inlineStr">
        <x:is>
          <x:t xml:space="preserve">مداخله مستقیم کارشناس مربوطه ظرف حداکثر ۱۵ دقیقه برای حوادث دارای شدت بحرانی (Critical).</x:t>
        </x:is>
      </x:c>
      <x:c r="S38" s="30" t="str">
        <x:v>REP-37</x:v>
      </x:c>
      <x:c r="T38" s="30" t="str">
        <x:v>W4</x:v>
      </x:c>
      <x:c r="U38" s="30" t="str">
        <x:v>نیازمند تکمیل و تأیید مالک</x:v>
      </x:c>
      <x:c r="V38" s="30" t="str">
        <x:v>BI Lead</x:v>
      </x:c>
      <x:c r="W38" s="30" t="str">
        <x:v>Proposed</x:v>
      </x:c>
      <x:c r="X38" s="30" t="str">
        <x:v>نیازمند تکمیل و تأیید مالک</x:v>
      </x:c>
    </x:row>
    <x:row r="39">
      <x:c r="A39" s="19" t="inlineStr">
        <x:is>
          <x:t xml:space="preserve">REP-38</x:t>
        </x:is>
      </x:c>
      <x:c r="B39" s="6" t="inlineStr">
        <x:is>
          <x:t xml:space="preserve">Competitor Intelligence</x:t>
        </x:is>
      </x:c>
      <x:c r="C39" s="6" t="inlineStr">
        <x:is>
          <x:t xml:space="preserve">گزارش دیده‌بانی رقبا، قیمت‌گذاری بازار و سهم سرچ</x:t>
        </x:is>
      </x:c>
      <x:c r="D39" s="6" t="inlineStr">
        <x:is>
          <x:t xml:space="preserve">Dental Market Competitive Intelligence &amp; SERP Share Report</x:t>
        </x:is>
      </x:c>
      <x:c r="E39" s="6" t="inlineStr">
        <x:is>
          <x:t xml:space="preserve">رقبای اصلی تیتانا در چه کلماتی فعالند، چه قیمت‌هایی ارائه می‌دهند و سهم بازار دیجیتال چطور توزیع شده؟</x:t>
        </x:is>
      </x:c>
      <x:c r="F39" s="6" t="inlineStr">
        <x:is>
          <x:t xml:space="preserve">تعدیل قیمت کاتالوگ فروشگاه در کالاهای حساس، افزایش حضور تبلیغاتی در حوزه‌های غفلت رقبا.</x:t>
        </x:is>
      </x:c>
      <x:c r="G39" s="6" t="inlineStr">
        <x:is>
          <x:t xml:space="preserve">Marketing Strategist، Category Manager، Pricing Lead</x:t>
        </x:is>
      </x:c>
      <x:c r="H39" s="6" t="inlineStr">
        <x:is>
          <x:t xml:space="preserve">Auction Impression Share, Overlap Rate with Competitors, Outranking Share %, Price Index vs Market</x:t>
        </x:is>
      </x:c>
      <x:c r="I39" s="6" t="inlineStr">
        <x:is>
          <x:t xml:space="preserve">Competitor Ad Copy Changes, Competitor Stock Availability, Estimated Competitor Spend</x:t>
        </x:is>
      </x:c>
      <x:c r="J39" s="6" t="inlineStr">
        <x:is>
          <x:t xml:space="preserve">نام رقیب، کلمه کلیدی، دسته‌بندی محصولی، سطح قیمت کالا</x:t>
        </x:is>
      </x:c>
      <x:c r="K39" s="6" t="inlineStr">
        <x:is>
          <x:t xml:space="preserve">داده‌های Google Auction Insights و خزش خودکار (Scraping) وب‌سایت‌های توزیع‌کننده رقیب</x:t>
        </x:is>
      </x:c>
      <x:c r="L39" s="6" t="inlineStr">
        <x:is>
          <x:t xml:space="preserve">Google Ads Auction Insights, ربات مانیتورینگ قیمت بازار</x:t>
        </x:is>
      </x:c>
      <x:c r="M39" s="6" t="inlineStr">
        <x:is>
          <x:t xml:space="preserve">سطح کلمه کلیدی و رقیب (Competitor &amp; Keyword Level)</x:t>
        </x:is>
      </x:c>
      <x:c r="N39" s="6" t="inlineStr">
        <x:is>
          <x:t xml:space="preserve">هفتگی، ماهانه</x:t>
        </x:is>
      </x:c>
      <x:c r="O39" s="6" t="inlineStr">
        <x:is>
          <x:t xml:space="preserve">Radar Chart مقایسه موقعیت با رقبا، Table مانیتورینگ لحظه‌ای قیمت اقلام پرمصرف</x:t>
        </x:is>
      </x:c>
      <x:c r="P39" s="6" t="inlineStr">
        <x:is>
          <x:t xml:space="preserve">هفتگی</x:t>
        </x:is>
      </x:c>
      <x:c r="Q39" s="6" t="inlineStr">
        <x:is>
          <x:t xml:space="preserve">بسیار مهم (High)</x:t>
        </x:is>
      </x:c>
      <x:c r="R39" s="6" t="inlineStr">
        <x:is>
          <x:t xml:space="preserve">اگر قیمت رقیب در ماده پرمصرفی ۱۰٪ ارزان‌تر بود، برگزاری جلسه فوری بازرگانی جهت هماهنگی آفر تخفیفی متقابل.</x:t>
        </x:is>
      </x:c>
      <x:c r="S39" s="30" t="str">
        <x:v>REP-38</x:v>
      </x:c>
      <x:c r="T39" s="30" t="str">
        <x:v>W5</x:v>
      </x:c>
      <x:c r="U39" s="30" t="str">
        <x:v>نیازمند تکمیل و تأیید مالک</x:v>
      </x:c>
      <x:c r="V39" s="30" t="str">
        <x:v>BI Lead</x:v>
      </x:c>
      <x:c r="W39" s="30" t="str">
        <x:v>Proposed</x:v>
      </x:c>
      <x:c r="X39" s="30" t="str">
        <x:v>نیازمند تکمیل و تأیید مالک</x:v>
      </x:c>
    </x:row>
    <x:row r="40">
      <x:c r="A40" s="17" t="inlineStr">
        <x:is>
          <x:t xml:space="preserve">REP-39</x:t>
        </x:is>
      </x:c>
      <x:c r="B40" s="4" t="inlineStr">
        <x:is>
          <x:t xml:space="preserve">Geographic Performance</x:t>
        </x:is>
      </x:c>
      <x:c r="C40" s="4" t="inlineStr">
        <x:is>
          <x:t xml:space="preserve">گزارش عملکرد جغرافیایی، استانی و لیفت منطقه‌ای</x:t>
        </x:is>
      </x:c>
      <x:c r="D40" s="4" t="inlineStr">
        <x:is>
          <x:t xml:space="preserve">Territorial Regional Sales &amp; Geo-Performance Report</x:t>
        </x:is>
      </x:c>
      <x:c r="E40" s="4" t="inlineStr">
        <x:is>
          <x:t xml:space="preserve">کدام استان‌ها و شهرهای کشور بالاترین تمرکز فروش، لید و پتانسیل توسعه مطب‌ها را دارند؟</x:t>
        </x:is>
      </x:c>
      <x:c r="F40" s="4" t="inlineStr">
        <x:is>
          <x:t xml:space="preserve">تخصیص بودجه تبلیغات ژئوتارگتینگ؛ اعزام ویزیتورهای حضوری؛ راه‌اندازی کمپین‌های منطقه‌ای متمرکز.</x:t>
        </x:is>
      </x:c>
      <x:c r="G40" s="4" t="inlineStr">
        <x:is>
          <x:t xml:space="preserve">Sales Director، Performance Marketer، Logistics Lead</x:t>
        </x:is>
      </x:c>
      <x:c r="H40" s="4" t="inlineStr">
        <x:is>
          <x:t xml:space="preserve">Regional Net Revenue, Regional Orders, Regional Leads, Regional CAC, Revenue Share %</x:t>
        </x:is>
      </x:c>
      <x:c r="I40" s="4" t="inlineStr">
        <x:is>
          <x:t xml:space="preserve">Shipping Duration by Region, Return Rate by Province, Market Penetration Rate per Dentist Population</x:t>
        </x:is>
      </x:c>
      <x:c r="J40" s="4" t="inlineStr">
        <x:is>
          <x:t xml:space="preserve">استان، شهرستان، منطقه پستی، نوع مرکز (کلینیک مرکز استان در برابر مطب شهرستان)</x:t>
        </x:is>
      </x:c>
      <x:c r="K40" s="4" t="inlineStr">
        <x:is>
          <x:t xml:space="preserve">آدرس‌های ثبت‌شده فاکتورها، ژئولکیشن سرور آنالیتیکس و CRM</x:t>
        </x:is>
      </x:c>
      <x:c r="L40" s="4" t="inlineStr">
        <x:is>
          <x:t xml:space="preserve">ERP سازمانی، Google Analytics 4 Geo Reports, CRM</x:t>
        </x:is>
      </x:c>
      <x:c r="M40" s="4" t="inlineStr">
        <x:is>
          <x:t xml:space="preserve">سطح استان و شهر (Province &amp; City Level)</x:t>
        </x:is>
      </x:c>
      <x:c r="N40" s="4" t="inlineStr">
        <x:is>
          <x:t xml:space="preserve">ماهانه، فصلی</x:t>
        </x:is>
      </x:c>
      <x:c r="O40" s="4" t="inlineStr">
        <x:is>
          <x:t xml:space="preserve">Choropleth Map نقشه حرارتی جغرافیایی ایران، Bar Chart مقایسه استان‌های برتر</x:t>
        </x:is>
      </x:c>
      <x:c r="P40" s="4" t="inlineStr">
        <x:is>
          <x:t xml:space="preserve">ماهانه</x:t>
        </x:is>
      </x:c>
      <x:c r="Q40" s="4" t="inlineStr">
        <x:is>
          <x:t xml:space="preserve">بسیار مهم (High)</x:t>
        </x:is>
      </x:c>
      <x:c r="R40" s="4" t="inlineStr">
        <x:is>
          <x:t xml:space="preserve">افزایش بودجه ادز محلی در استان‌هایی که نرخ تبدیل لید به فروش بالای ۱۵٪ دارند (مانند اصفهان و فارس).</x:t>
        </x:is>
      </x:c>
      <x:c r="S40" s="30" t="str">
        <x:v>REP-39</x:v>
      </x:c>
      <x:c r="T40" s="30" t="str">
        <x:v>W5</x:v>
      </x:c>
      <x:c r="U40" s="30" t="str">
        <x:v>نیازمند تکمیل و تأیید مالک</x:v>
      </x:c>
      <x:c r="V40" s="30" t="str">
        <x:v>BI Lead</x:v>
      </x:c>
      <x:c r="W40" s="30" t="str">
        <x:v>Proposed</x:v>
      </x:c>
      <x:c r="X40" s="30" t="str">
        <x:v>نیازمند تکمیل و تأیید مالک</x:v>
      </x:c>
    </x:row>
    <x:row r="41">
      <x:c r="A41" s="19" t="inlineStr">
        <x:is>
          <x:t xml:space="preserve">REP-40</x:t>
        </x:is>
      </x:c>
      <x:c r="B41" s="6" t="inlineStr">
        <x:is>
          <x:t xml:space="preserve">Device &amp; Technology</x:t>
        </x:is>
      </x:c>
      <x:c r="C41" s="6" t="inlineStr">
        <x:is>
          <x:t xml:space="preserve">گزارش رده دستگاه‌ها، سیستم‌های عامل و پایداری شبکه</x:t>
        </x:is>
      </x:c>
      <x:c r="D41" s="6" t="inlineStr">
        <x:is>
          <x:t xml:space="preserve">Device Category, Platform &amp; Infrastructure Tech Report</x:t>
        </x:is>
      </x:c>
      <x:c r="E41" s="6" t="inlineStr">
        <x:is>
          <x:t xml:space="preserve">دندان‌پزشکان با چه دستگاه‌ها و مرورگرهایی وارد سایت می‌شوند و کدام پلتفرم‌ها بالاترین تبدیل را دارند؟</x:t>
        </x:is>
      </x:c>
      <x:c r="F41" s="6" t="inlineStr">
        <x:is>
          <x:t xml:space="preserve">بهینه‌سازی تجربه موبایل؛ طراحی چک‌اوت مخصوص گوشی‌های هوشمند؛ دیباگ نسخه‌های خاص سافاری/کروم.</x:t>
        </x:is>
      </x:c>
      <x:c r="G41" s="6" t="inlineStr">
        <x:is>
          <x:t xml:space="preserve">Web Analyst، Frontend Developer، UX Designer</x:t>
        </x:is>
      </x:c>
      <x:c r="H41" s="6" t="inlineStr">
        <x:is>
          <x:t xml:space="preserve">Sessions by Device, Conversion Rate by Device, Revenue by Device, Page Load Time by Device</x:t>
        </x:is>
      </x:c>
      <x:c r="I41" s="6" t="inlineStr">
        <x:is>
          <x:t xml:space="preserve">Browser Version Drop-off %, Screen Resolution Breakage, ISP Performance (Hamrah-Aval vs Irancell)</x:t>
        </x:is>
      </x:c>
      <x:c r="J41" s="6" t="inlineStr">
        <x:is>
          <x:t xml:space="preserve">رده دستگاه (Mobile, Desktop, Tablet)، سیستم‌عامل (iOS, Android, Windows)، مرورگر، اپراتور</x:t>
        </x:is>
      </x:c>
      <x:c r="K41" s="6" t="inlineStr">
        <x:is>
          <x:t xml:space="preserve">رشته User-Agent مرورگر و ایونت‌های آنالیتیکس</x:t>
        </x:is>
      </x:c>
      <x:c r="L41" s="6" t="inlineStr">
        <x:is>
          <x:t xml:space="preserve">Google Analytics 4, لاگ‌های وب‌سرور NGINX</x:t>
        </x:is>
      </x:c>
      <x:c r="M41" s="6" t="inlineStr">
        <x:is>
          <x:t xml:space="preserve">سطح نوع دستگاه و نشست (Device &amp; Session Level)</x:t>
        </x:is>
      </x:c>
      <x:c r="N41" s="6" t="inlineStr">
        <x:is>
          <x:t xml:space="preserve">ماهانه</x:t>
        </x:is>
      </x:c>
      <x:c r="O41" s="6" t="inlineStr">
        <x:is>
          <x:t xml:space="preserve">Donut Chart سهم سیستم‌های عامل، Bar Chart مقایسه CVR موبایل در برابر دسکتاپ</x:t>
        </x:is>
      </x:c>
      <x:c r="P41" s="6" t="inlineStr">
        <x:is>
          <x:t xml:space="preserve">ماهانه</x:t>
        </x:is>
      </x:c>
      <x:c r="Q41" s="6" t="inlineStr">
        <x:is>
          <x:t xml:space="preserve">تکمیلی (Medium)</x:t>
        </x:is>
      </x:c>
      <x:c r="R41" s="6" t="inlineStr">
        <x:is>
          <x:t xml:space="preserve">اگر CVR کاربران موبایل کمتر از نصف دسکتاپ باشد، بازطراحی کامل فرم پرداخت موبایلی جهت سهولت لمس دکمه‌ها.</x:t>
        </x:is>
      </x:c>
      <x:c r="S41" s="30" t="str">
        <x:v>REP-40</x:v>
      </x:c>
      <x:c r="T41" s="30" t="str">
        <x:v>W5</x:v>
      </x:c>
      <x:c r="U41" s="30" t="str">
        <x:v>نیازمند تکمیل و تأیید مالک</x:v>
      </x:c>
      <x:c r="V41" s="30" t="str">
        <x:v>BI Lead</x:v>
      </x:c>
      <x:c r="W41" s="30" t="str">
        <x:v>Proposed</x:v>
      </x:c>
      <x:c r="X41" s="30" t="str">
        <x:v>نیازمند تکمیل و تأیید مالک</x:v>
      </x:c>
    </x:row>
    <x:row r="42">
      <x:c r="A42" s="17" t="inlineStr">
        <x:is>
          <x:t xml:space="preserve">REP-41</x:t>
        </x:is>
      </x:c>
      <x:c r="B42" s="4" t="inlineStr">
        <x:is>
          <x:t xml:space="preserve">Time-Based Performance</x:t>
        </x:is>
      </x:c>
      <x:c r="C42" s="4" t="inlineStr">
        <x:is>
          <x:t xml:space="preserve">گزارش عملکرد زمانی، ساعات شبانه‌روز و روزهای هفته</x:t>
        </x:is>
      </x:c>
      <x:c r="D42" s="4" t="inlineStr">
        <x:is>
          <x:t xml:space="preserve">Dayparting, Day-of-Week &amp; Operational Timing Report</x:t>
        </x:is>
      </x:c>
      <x:c r="E42" s="4" t="inlineStr">
        <x:is>
          <x:t xml:space="preserve">دندان‌پزشکان در چه ساعات و روزهایی از هفته بیشترین جستجو، ثبت سفارش و پرداخت را انجام می‌دهند؟</x:t>
        </x:is>
      </x:c>
      <x:c r="F42" s="4" t="inlineStr">
        <x:is>
          <x:t xml:space="preserve">اعمال Dayparting در گوگل ادز و متا؛ خاموش کردن بیدینگ در ساعات نیمه‌شب؛ تمرکز بودجه در ساعات اوج.</x:t>
        </x:is>
      </x:c>
      <x:c r="G42" s="4" t="inlineStr">
        <x:is>
          <x:t xml:space="preserve">Performance Marketer، Sales Support Lead</x:t>
        </x:is>
      </x:c>
      <x:c r="H42" s="4" t="inlineStr">
        <x:is>
          <x:t xml:space="preserve">Hourly Impressions, Hourly Spend, Hourly Orders, Hourly Revenue, Hourly CVR %</x:t>
        </x:is>
      </x:c>
      <x:c r="I42" s="4" t="inlineStr">
        <x:is>
          <x:t xml:space="preserve">Peak Conversion Hours, Weekend vs Weekday Performance, Call Response Delay by Hour</x:t>
        </x:is>
      </x:c>
      <x:c r="J42" s="4" t="inlineStr">
        <x:is>
          <x:t xml:space="preserve">ساعت روز (00 تا 23)، روز هفته (شنبه تا جمعه)، روزهای تعطیل رسمی تقویم</x:t>
        </x:is>
      </x:c>
      <x:c r="K42" s="4" t="inlineStr">
        <x:is>
          <x:t xml:space="preserve">تایم‌استمپ میلی‌ثانیه‌ای رویدادهای خرید و لاگ‌های سرور</x:t>
        </x:is>
      </x:c>
      <x:c r="L42" s="4" t="inlineStr">
        <x:is>
          <x:t xml:space="preserve">Google Ads API, GA4, نرم‌افزار حسابداری</x:t>
        </x:is>
      </x:c>
      <x:c r="M42" s="4" t="inlineStr">
        <x:is>
          <x:t xml:space="preserve">سطح ساعت و روز (Hour of Day &amp; Day of Week)</x:t>
        </x:is>
      </x:c>
      <x:c r="N42" s="4" t="inlineStr">
        <x:is>
          <x:t xml:space="preserve">هفتگی، ماهانه</x:t>
        </x:is>
      </x:c>
      <x:c r="O42" s="4" t="inlineStr">
        <x:is>
          <x:t xml:space="preserve">Heatmap 24x7 ساعات شبانه‌روز در برابر روزهای هفته، Line Chart روند روزانه فروش</x:t>
        </x:is>
      </x:c>
      <x:c r="P42" s="4" t="inlineStr">
        <x:is>
          <x:t xml:space="preserve">هفتگی</x:t>
        </x:is>
      </x:c>
      <x:c r="Q42" s="4" t="inlineStr">
        <x:is>
          <x:t xml:space="preserve">بسیار مهم (High)</x:t>
        </x:is>
      </x:c>
      <x:c r="R42" s="4" t="inlineStr">
        <x:is>
          <x:t xml:space="preserve">افزایش ۲۰ درصدی بید تبلیغات در بازه‌های طلایی فراغت مطب‌ها (ساعات ۱۳ تا ۱۶ و ۱۹ تا ۲۲ روزهای شنبه تا چهارشنبه).</x:t>
        </x:is>
      </x:c>
      <x:c r="S42" s="30" t="str">
        <x:v>REP-41</x:v>
      </x:c>
      <x:c r="T42" s="30" t="str">
        <x:v>W5</x:v>
      </x:c>
      <x:c r="U42" s="30" t="str">
        <x:v>نیازمند تکمیل و تأیید مالک</x:v>
      </x:c>
      <x:c r="V42" s="30" t="str">
        <x:v>BI Lead</x:v>
      </x:c>
      <x:c r="W42" s="30" t="str">
        <x:v>Proposed</x:v>
      </x:c>
      <x:c r="X42" s="30" t="str">
        <x:v>نیازمند تکمیل و تأیید مالک</x:v>
      </x:c>
    </x:row>
    <x:row r="43">
      <x:c r="A43" s="19" t="inlineStr">
        <x:is>
          <x:t xml:space="preserve">REP-42</x:t>
        </x:is>
      </x:c>
      <x:c r="B43" s="6" t="inlineStr">
        <x:is>
          <x:t xml:space="preserve">Inventory-Aware Marketing</x:t>
        </x:is>
      </x:c>
      <x:c r="C43" s="6" t="inlineStr">
        <x:is>
          <x:t xml:space="preserve">گزارش بازاریابی هوشمند متصل به موجودی انبار</x:t>
        </x:is>
      </x:c>
      <x:c r="D43" s="6" t="inlineStr">
        <x:is>
          <x:t xml:space="preserve">Inventory-Aware Ad Bidding &amp; Stockout Wastage Report</x:t>
        </x:is>
      </x:c>
      <x:c r="E43" s="6" t="inlineStr">
        <x:is>
          <x:t xml:space="preserve">چقدر بودجه روی محصولات با موجودی رو به اتمام هدر رفته و موجودی انبار چقدر با ادز همگام است؟</x:t>
        </x:is>
      </x:c>
      <x:c r="F43" s="6" t="inlineStr">
        <x:is>
          <x:t xml:space="preserve">خاموش کردن خودکار تبلیغ اقلام ناموجود؛ کاهش شدت ادز کالاهای زیر سطح اطمینان؛ پوش روی اقلام دپوشده.</x:t>
        </x:is>
      </x:c>
      <x:c r="G43" s="6" t="inlineStr">
        <x:is>
          <x:t xml:space="preserve">Performance Marketer، Warehouse Manager، Supply Chain Lead</x:t>
        </x:is>
      </x:c>
      <x:c r="H43" s="6" t="inlineStr">
        <x:is>
          <x:t xml:space="preserve">Out-of-Stock Ad Spend Wastage, SKU Stock Level, Days of Inventory Left, Ad Spend per SKU</x:t>
        </x:is>
      </x:c>
      <x:c r="I43" s="6" t="inlineStr">
        <x:is>
          <x:t xml:space="preserve">Stockout Frequency %, Restock Lead Time Days, Gross Margin of At-Risk SKUs</x:t>
        </x:is>
      </x:c>
      <x:c r="J43" s="6" t="inlineStr">
        <x:is>
          <x:t xml:space="preserve">کد کالا (SKU)، وضعیت انبار (موجود، رو به اتمام، ناموجود)، کمپین ادز مرتبط</x:t>
        </x:is>
      </x:c>
      <x:c r="K43" s="6" t="inlineStr">
        <x:is>
          <x:t xml:space="preserve">فید لحظه‌ای انبارداری WMS متصل به اسکریپت‌های اتوماسیون Google Ads و Meta Catalog</x:t>
        </x:is>
      </x:c>
      <x:c r="L43" s="6" t="inlineStr">
        <x:is>
          <x:t xml:space="preserve">نرم‌افزار انبارداری، فید محصولات گوگل، DWH</x:t>
        </x:is>
      </x:c>
      <x:c r="M43" s="6" t="inlineStr">
        <x:is>
          <x:t xml:space="preserve">سطح کالا و کمپین (SKU &amp; Campaign Level)</x:t>
        </x:is>
      </x:c>
      <x:c r="N43" s="6" t="inlineStr">
        <x:is>
          <x:t xml:space="preserve">روزانه (به‌روزرسانی ۳۰ دقیقه‌ای)</x:t>
        </x:is>
      </x:c>
      <x:c r="O43" s="6" t="inlineStr">
        <x:is>
          <x:t xml:space="preserve">Alert Table اقلام بحرانی، Gauge هدررفت بودجه، Donut وضعیت موجودی کمپین‌ها</x:t>
        </x:is>
      </x:c>
      <x:c r="P43" s="6" t="inlineStr">
        <x:is>
          <x:t xml:space="preserve">روزانه</x:t>
        </x:is>
      </x:c>
      <x:c r="Q43" s="6" t="inlineStr">
        <x:is>
          <x:t xml:space="preserve">حیاتی (Critical)</x:t>
        </x:is>
      </x:c>
      <x:c r="R43" s="6" t="inlineStr">
        <x:is>
          <x:t xml:space="preserve">قطع لحظه‌ای ادز محصول به محض رسیدن موجودی قابل فروش به صفر با وب‌سرویس خودکار.</x:t>
        </x:is>
      </x:c>
      <x:c r="S43" s="30" t="str">
        <x:v>REP-42</x:v>
      </x:c>
      <x:c r="T43" s="30" t="str">
        <x:v>W4</x:v>
      </x:c>
      <x:c r="U43" s="30" t="str">
        <x:v>نیازمند تکمیل و تأیید مالک</x:v>
      </x:c>
      <x:c r="V43" s="30" t="str">
        <x:v>BI Lead</x:v>
      </x:c>
      <x:c r="W43" s="30" t="str">
        <x:v>Proposed</x:v>
      </x:c>
      <x:c r="X43" s="30" t="str">
        <x:v>نیازمند تکمیل و تأیید مالک</x:v>
      </x:c>
    </x:row>
    <x:row r="44">
      <x:c r="A44" s="17" t="inlineStr">
        <x:is>
          <x:t xml:space="preserve">REP-43</x:t>
        </x:is>
      </x:c>
      <x:c r="B44" s="4" t="inlineStr">
        <x:is>
          <x:t xml:space="preserve">Pricing &amp; Promotions</x:t>
        </x:is>
      </x:c>
      <x:c r="C44" s="4" t="inlineStr">
        <x:is>
          <x:t xml:space="preserve">گزارش کشش قیمتی، اثربخشی تخفیف‌ها و جشنواره‌ها</x:t>
        </x:is>
      </x:c>
      <x:c r="D44" s="4" t="inlineStr">
        <x:is>
          <x:t xml:space="preserve">Promotional Campaign Effectiveness &amp; Margin Erosion Report</x:t>
        </x:is>
      </x:c>
      <x:c r="E44" s="4" t="inlineStr">
        <x:is>
          <x:t xml:space="preserve">آیا تخفیف‌های ارائه‌شده باعث سودآوری افزایشی شده‌اند یا صرفاً حاشیه سود سازمان را فرسوده‌اند؟</x:t>
        </x:is>
      </x:c>
      <x:c r="F44" s="4" t="inlineStr">
        <x:is>
          <x:t xml:space="preserve">تعیین عمق تخفیف بهینه برای جشنواره‌ها؛ توقف کدهای تخفیف زیان‌ده؛ هدایت تخفیف به مشتریان جدید.</x:t>
        </x:is>
      </x:c>
      <x:c r="G44" s="4" t="inlineStr">
        <x:is>
          <x:t xml:space="preserve">Pricing Strategist، CMO، CFO</x:t>
        </x:is>
      </x:c>
      <x:c r="H44" s="4" t="inlineStr">
        <x:is>
          <x:t xml:space="preserve">Promotional Revenue, Baseline Revenue, Incremental Lift from Promo, Effective Discount Rate %</x:t>
        </x:is>
      </x:c>
      <x:c r="I44" s="4" t="inlineStr">
        <x:is>
          <x:t xml:space="preserve">Margin Erosion Amount, Forward Buying Rate %, Coupon Utilization Count, New Customer Acquisition via Promo %</x:t>
        </x:is>
      </x:c>
      <x:c r="J44" s="4" t="inlineStr">
        <x:is>
          <x:t xml:space="preserve">کد کوپن، عنوان جشنواره، رده محصول، نوع مشتری (جدید در برابر وفادار)</x:t>
        </x:is>
      </x:c>
      <x:c r="K44" s="4" t="inlineStr">
        <x:is>
          <x:t xml:space="preserve">داده‌های تخفیف‌های فاکتورها در کنار خط مبنای فروش تاریخی در DWH</x:t>
        </x:is>
      </x:c>
      <x:c r="L44" s="4" t="inlineStr">
        <x:is>
          <x:t xml:space="preserve">دیتابیس فروشگاه، نرم‌افزار حسابداری</x:t>
        </x:is>
      </x:c>
      <x:c r="M44" s="4" t="inlineStr">
        <x:is>
          <x:t xml:space="preserve">سطح پروموشن و سفارش (Promotion &amp; Order Level)</x:t>
        </x:is>
      </x:c>
      <x:c r="N44" s="4" t="inlineStr">
        <x:is>
          <x:t xml:space="preserve">پس از پایان هر جشنواره و ارزیابی ماهانه</x:t>
        </x:is>
      </x:c>
      <x:c r="O44" s="4" t="inlineStr">
        <x:is>
          <x:t xml:space="preserve">Waterfall Chart فرسایش سود ناشی از تخفیف، Line Chart مقایسه فروش با خط بیس‌لاین</x:t>
        </x:is>
      </x:c>
      <x:c r="P44" s="4" t="inlineStr">
        <x:is>
          <x:t xml:space="preserve">ماهانه</x:t>
        </x:is>
      </x:c>
      <x:c r="Q44" s="4" t="inlineStr">
        <x:is>
          <x:t xml:space="preserve">بسیار مهم (High)</x:t>
        </x:is>
      </x:c>
      <x:c r="R44" s="4" t="inlineStr">
        <x:is>
          <x:t xml:space="preserve">اگر نرخ فرسایش حاشیه سود پروموشن از سود ناخالص مازاد بیشتر شد، محدود کردن کدهای بعدی صرفاً به سبدهای بالای ۱۰ میلیون تومان.</x:t>
        </x:is>
      </x:c>
      <x:c r="S44" s="30" t="str">
        <x:v>REP-43</x:v>
      </x:c>
      <x:c r="T44" s="30" t="str">
        <x:v>W5</x:v>
      </x:c>
      <x:c r="U44" s="30" t="str">
        <x:v>نیازمند تکمیل و تأیید مالک</x:v>
      </x:c>
      <x:c r="V44" s="30" t="str">
        <x:v>BI Lead</x:v>
      </x:c>
      <x:c r="W44" s="30" t="str">
        <x:v>Proposed</x:v>
      </x:c>
      <x:c r="X44" s="30" t="str">
        <x:v>نیازمند تکمیل و تأیید مالک</x:v>
      </x:c>
    </x:row>
    <x:row r="45">
      <x:c r="A45" s="19" t="inlineStr">
        <x:is>
          <x:t xml:space="preserve">REP-44</x:t>
        </x:is>
      </x:c>
      <x:c r="B45" s="6" t="inlineStr">
        <x:is>
          <x:t xml:space="preserve">Omnichannel Customer Journey</x:t>
        </x:is>
      </x:c>
      <x:c r="C45" s="6" t="inlineStr">
        <x:is>
          <x:t xml:space="preserve">گزارش سفر چندکاناله آنلاین به آفلاین لیدهای کلینیکی</x:t>
        </x:is>
      </x:c>
      <x:c r="D45" s="6" t="inlineStr">
        <x:is>
          <x:t xml:space="preserve">Omnichannel Path-to-Purchase &amp; Lead Touchpoints Report</x:t>
        </x:is>
      </x:c>
      <x:c r="E45" s="6" t="inlineStr">
        <x:is>
          <x:t xml:space="preserve">نقاط تماس آنلاین و آفلاین دندان‌پزشکان قبل از ثبت قرارداد نهایی خرید تجهیزات چیست؟</x:t>
        </x:is>
      </x:c>
      <x:c r="F45" s="6" t="inlineStr">
        <x:is>
          <x:t xml:space="preserve">تقویت تاچ‌پوینت‌های اثرگذار میانی (مانند ارسال کاتالوگ واتساپ یا دمو حضوری)؛ هماهنگی تیم دیجیتال و فروش.</x:t>
        </x:is>
      </x:c>
      <x:c r="G45" s="6" t="inlineStr">
        <x:is>
          <x:t xml:space="preserve">CRM Lead، Marketing Analytics Lead، Omnichannel Lead</x:t>
        </x:is>
      </x:c>
      <x:c r="H45" s="6" t="inlineStr">
        <x:is>
          <x:t xml:space="preserve">Average Touchpoints to Close, Online-Influenced Offline Revenue, Path Diversity Index</x:t>
        </x:is>
      </x:c>
      <x:c r="I45" s="6" t="inlineStr">
        <x:is>
          <x:t xml:space="preserve">First-Touch to Won Deal Velocity Days, Channel Assisted Rate %, Drop-off Points between Channels</x:t>
        </x:is>
      </x:c>
      <x:c r="J45" s="6" t="inlineStr">
        <x:is>
          <x:t xml:space="preserve">ترتیب توالی کانال‌ها (مثلاً Google Ad -&gt; Landing -&gt; WhatsApp -&gt; Phone Call -&gt; Showroom Visit -&gt; Contract)</x:t>
        </x:is>
      </x:c>
      <x:c r="K45" s="6" t="inlineStr">
        <x:is>
          <x:t xml:space="preserve">لاگ نشست‌های وب، لاگ پیام‌های واتساپ، سوابق فعالیت‌های CRM و فاکتور نهایی</x:t>
        </x:is>
      </x:c>
      <x:c r="L45" s="6" t="inlineStr">
        <x:is>
          <x:t xml:space="preserve">Google Analytics 4, CRM Activities Database, VoIP Logs</x:t>
        </x:is>
      </x:c>
      <x:c r="M45" s="6" t="inlineStr">
        <x:is>
          <x:t xml:space="preserve">سطح سفر مشتری و معامله (Customer Journey Level)</x:t>
        </x:is>
      </x:c>
      <x:c r="N45" s="6" t="inlineStr">
        <x:is>
          <x:t xml:space="preserve">ماهانه</x:t>
        </x:is>
      </x:c>
      <x:c r="O45" s="6" t="inlineStr">
        <x:is>
          <x:t xml:space="preserve">Sankey Diagram توالی مسیر تاچ‌پوینت‌ها، Bar Chart طول مسیر بر حسب تعداد روزها</x:t>
        </x:is>
      </x:c>
      <x:c r="P45" s="6" t="inlineStr">
        <x:is>
          <x:t xml:space="preserve">ماهانه</x:t>
        </x:is>
      </x:c>
      <x:c r="Q45" s="6" t="inlineStr">
        <x:is>
          <x:t xml:space="preserve">بسیار مهم (High)</x:t>
        </x:is>
      </x:c>
      <x:c r="R45" s="6" t="inlineStr">
        <x:is>
          <x:t xml:space="preserve">الزام کارشناسان فروش به ارسال لینک مشخصات فنی وب‌سایت در واتساپ به عنوان تاچ‌پوینت مکمل جهت افزایش شانس معامله.</x:t>
        </x:is>
      </x:c>
      <x:c r="S45" s="30" t="str">
        <x:v>REP-44</x:v>
      </x:c>
      <x:c r="T45" s="30" t="str">
        <x:v>W5</x:v>
      </x:c>
      <x:c r="U45" s="30" t="str">
        <x:v>نیازمند تکمیل و تأیید مالک</x:v>
      </x:c>
      <x:c r="V45" s="30" t="str">
        <x:v>BI Lead</x:v>
      </x:c>
      <x:c r="W45" s="30" t="str">
        <x:v>Proposed</x:v>
      </x:c>
      <x:c r="X45" s="30" t="str">
        <x:v>نیازمند تکمیل و تأیید مالک</x:v>
      </x:c>
    </x:row>
    <x:row r="46">
      <x:c r="A46" s="17" t="inlineStr">
        <x:is>
          <x:t xml:space="preserve">REP-45</x:t>
        </x:is>
      </x:c>
      <x:c r="B46" s="4" t="inlineStr">
        <x:is>
          <x:t xml:space="preserve">Marketing Automation</x:t>
        </x:is>
      </x:c>
      <x:c r="C46" s="4" t="inlineStr">
        <x:is>
          <x:t xml:space="preserve">گزارش بهره‌وری اتوماسیون‌های مارکتینگ و سفر مشتری خودکار</x:t>
        </x:is>
      </x:c>
      <x:c r="D46" s="4" t="inlineStr">
        <x:is>
          <x:t xml:space="preserve">Lifecycle Marketing Automation Flow Performance Report</x:t>
        </x:is>
      </x:c>
      <x:c r="E46" s="4" t="inlineStr">
        <x:is>
          <x:t xml:space="preserve">جریان‌های کاری خودکار (پیامک خوش‌آمدگویی، یادآوری سبد رهاشده، آفر تولد مطب) چقدر تبدیل می‌سازند؟</x:t>
        </x:is>
      </x:c>
      <x:c r="F46" s="4" t="inlineStr">
        <x:is>
          <x:t xml:space="preserve">بهینه‌سازی تاخیرهای زمانی (Delays)، تغییر متن پیام‌ها در فلوچارت اتوماسیون، تست شاخه‌های شرطی جدید.</x:t>
        </x:is>
      </x:c>
      <x:c r="G46" s="4" t="inlineStr">
        <x:is>
          <x:t xml:space="preserve">Marketing Automation Lead، CRM Specialist</x:t>
        </x:is>
      </x:c>
      <x:c r="H46" s="4" t="inlineStr">
        <x:is>
          <x:t xml:space="preserve">Automated Triggers Fired, Flow Open/Click Rate %, Revenue Attributed to Automation, Conversion Rate %</x:t>
        </x:is>
      </x:c>
      <x:c r="I46" s="4" t="inlineStr">
        <x:is>
          <x:t xml:space="preserve">Drop-off at Flow Steps, Unsubscribe Rate from Automations, Cost per Automation Touch</x:t>
        </x:is>
      </x:c>
      <x:c r="J46" s="4" t="inlineStr">
        <x:is>
          <x:t xml:space="preserve">نام جریان اتوماسیون (مانند Cart Abandonment Flow, Re-order Flow)، گام جریان، کانال (SMS/Email)</x:t>
        </x:is>
      </x:c>
      <x:c r="K46" s="4" t="inlineStr">
        <x:is>
          <x:t xml:space="preserve">لاگ تریگرهای اتوماسیون و پیگیری پارامترهای UTM در خریدهای وب</x:t>
        </x:is>
      </x:c>
      <x:c r="L46" s="4" t="inlineStr">
        <x:is>
          <x:t xml:space="preserve">موتور اتوماسیون مارکتینگ، پنل پیامک و ایمیل، GA4</x:t>
        </x:is>
      </x:c>
      <x:c r="M46" s="4" t="inlineStr">
        <x:is>
          <x:t xml:space="preserve">سطح گام جریان کاری (Flow Step Level)</x:t>
        </x:is>
      </x:c>
      <x:c r="N46" s="4" t="inlineStr">
        <x:is>
          <x:t xml:space="preserve">هفتگی، ماهانه</x:t>
        </x:is>
      </x:c>
      <x:c r="O46" s="4" t="inlineStr">
        <x:is>
          <x:t xml:space="preserve">Process Funnel Flowchart وضعیت هر گام، Bar Chart مقایسه درآمد فلوهای مختلف</x:t>
        </x:is>
      </x:c>
      <x:c r="P46" s="4" t="inlineStr">
        <x:is>
          <x:t xml:space="preserve">هفتگی</x:t>
        </x:is>
      </x:c>
      <x:c r="Q46" s="4" t="inlineStr">
        <x:is>
          <x:t xml:space="preserve">بسیار مهم (High)</x:t>
        </x:is>
      </x:c>
      <x:c r="R46" s="4" t="inlineStr">
        <x:is>
          <x:t xml:space="preserve">کوتاه کردن فاصله زمانی ارسال پیامک سبد رهاشده از ۳ ساعت به ۴۵ دقیقه در صورت اثبات بالاتر بودن نرخ بازگشت.</x:t>
        </x:is>
      </x:c>
      <x:c r="S46" s="30" t="str">
        <x:v>REP-45</x:v>
      </x:c>
      <x:c r="T46" s="30" t="str">
        <x:v>W5</x:v>
      </x:c>
      <x:c r="U46" s="30" t="str">
        <x:v>نیازمند تکمیل و تأیید مالک</x:v>
      </x:c>
      <x:c r="V46" s="30" t="str">
        <x:v>BI Lead</x:v>
      </x:c>
      <x:c r="W46" s="30" t="str">
        <x:v>Proposed</x:v>
      </x:c>
      <x:c r="X46" s="30" t="str">
        <x:v>نیازمند تکمیل و تأیید مالک</x:v>
      </x:c>
    </x:row>
    <x:row r="47">
      <x:c r="A47" s="19" t="inlineStr">
        <x:is>
          <x:t xml:space="preserve">REP-46</x:t>
        </x:is>
      </x:c>
      <x:c r="B47" s="6" t="inlineStr">
        <x:is>
          <x:t xml:space="preserve">Omnichannel Settlement</x:t>
        </x:is>
      </x:c>
      <x:c r="C47" s="6" t="inlineStr">
        <x:is>
          <x:t xml:space="preserve">گزارش جامع سفر یکپارچه آنلاین به آفلاین، پیش‌فاکتور و تسویه قراردادها</x:t>
        </x:is>
      </x:c>
      <x:c r="D47" s="6" t="inlineStr">
        <x:is>
          <x:t xml:space="preserve">Omnichannel Online-to-Offline Lead-to-Settlement Attribution Report</x:t>
        </x:is>
      </x:c>
      <x:c r="E47" s="6" t="inlineStr">
        <x:is>
          <x:t xml:space="preserve">دندان‌پزشکانی که از طریق آنلاین جذب شده‌اند، چگونه در واحد فروش پیش‌فاکتور گرفته و قرارداد آن‌ها تسویه مالی شده است؟</x:t>
        </x:is>
      </x:c>
      <x:c r="F47" s="6" t="inlineStr">
        <x:is>
          <x:t xml:space="preserve">تنظیم مجدد وزن کانال‌های دیجیتال در ایجاد درآمد نهایی آفلاین؛ شناسایی تاخیرهای تبدیل در پایپ‌لاین فروش.</x:t>
        </x:is>
      </x:c>
      <x:c r="G47" s="6" t="inlineStr">
        <x:is>
          <x:t xml:space="preserve">CMO، مدیر فروش B2B، مدیر مالی</x:t>
        </x:is>
      </x:c>
      <x:c r="H47" s="6" t="inlineStr">
        <x:is>
          <x:t xml:space="preserve">Online-Influenced Offline Revenue, Pre-Invoice Conversion Rate %, Contract Settlement Rate %, Blended O2O CAC</x:t>
        </x:is>
      </x:c>
      <x:c r="I47" s="6" t="inlineStr">
        <x:is>
          <x:t xml:space="preserve">First-Touch Lead Time to Offline Close, Unpaid Pre-Invoice Ratio %, Sales Rep Touchpoints per Deal</x:t>
        </x:is>
      </x:c>
      <x:c r="J47" s="6" t="inlineStr">
        <x:is>
          <x:t xml:space="preserve">کانال ورودی، نام کارشناس فروش، شهر کلینیک، روش پرداخت (نقدی/اقساط)، رده تجهیزات</x:t>
        </x:is>
      </x:c>
      <x:c r="K47" s="6" t="inlineStr">
        <x:is>
          <x:t xml:space="preserve">کلیک‌های وب‌سایت، فرم‌های لید، داده‌های فاکتور رسمی حسابداری، دریافتی‌های گیت‌وی/چک در CRM</x:t>
        </x:is>
      </x:c>
      <x:c r="L47" s="6" t="inlineStr">
        <x:is>
          <x:t xml:space="preserve">Web Analytics, CRM تیتانا، سیستم حسابداری و خزانه‌داری سپیدار</x:t>
        </x:is>
      </x:c>
      <x:c r="M47" s="6" t="inlineStr">
        <x:is>
          <x:t xml:space="preserve">سطح قرارداد و سفارش آفلاین (Contract/Order Level)</x:t>
        </x:is>
      </x:c>
      <x:c r="N47" s="6" t="inlineStr">
        <x:is>
          <x:t xml:space="preserve">هفتگی، ماهانه، فصلی</x:t>
        </x:is>
      </x:c>
      <x:c r="O47" s="6" t="inlineStr">
        <x:is>
          <x:t xml:space="preserve">Sankey Diagram جریان تاچ‌پوینت‌ها، Funnel تفکیکی، Pivot Table وضعیت قراردادها</x:t>
        </x:is>
      </x:c>
      <x:c r="P47" s="6" t="inlineStr">
        <x:is>
          <x:t xml:space="preserve">روزانه</x:t>
        </x:is>
      </x:c>
      <x:c r="Q47" s="6" t="inlineStr">
        <x:is>
          <x:t xml:space="preserve">حیاتی (Critical)</x:t>
        </x:is>
      </x:c>
      <x:c r="R47" s="6" t="inlineStr">
        <x:is>
          <x:t xml:space="preserve">در صورت افت نسبت تبدیل پیش‌فاکتور به تسویه زیر ۴۰٪، بازبینی فوری اعتبارسنجی خریداران و اصلاح پیام تبلیغات.</x:t>
        </x:is>
      </x:c>
      <x:c r="S47" s="30" t="str">
        <x:v>REP-46</x:v>
      </x:c>
      <x:c r="T47" s="30" t="str">
        <x:v>W4</x:v>
      </x:c>
      <x:c r="U47" s="30" t="str">
        <x:v>نیازمند تکمیل و تأیید مالک</x:v>
      </x:c>
      <x:c r="V47" s="30" t="str">
        <x:v>BI Lead</x:v>
      </x:c>
      <x:c r="W47" s="30" t="str">
        <x:v>Proposed</x:v>
      </x:c>
      <x:c r="X47" s="30" t="str">
        <x:v>نیازمند تکمیل و تأیید مالک</x:v>
      </x:c>
    </x:row>
    <x:row r="48">
      <x:c r="A48" s="17" t="inlineStr">
        <x:is>
          <x:t xml:space="preserve">REP-47</x:t>
        </x:is>
      </x:c>
      <x:c r="B48" s="4" t="inlineStr">
        <x:is>
          <x:t xml:space="preserve">Stock Velocity &amp; Expiry</x:t>
        </x:is>
      </x:c>
      <x:c r="C48" s="4" t="inlineStr">
        <x:is>
          <x:t xml:space="preserve">گزارش انطباق بودجه با سرعت گردش موجودی، تاریخ انقضا و حاشیه سود</x:t>
        </x:is>
      </x:c>
      <x:c r="D48" s="4" t="inlineStr">
        <x:is>
          <x:t xml:space="preserve">Stock Velocity, Expiry Risk &amp; Inventory-Aware Ad Bidding Report</x:t>
        </x:is>
      </x:c>
      <x:c r="E48" s="4" t="inlineStr">
        <x:is>
          <x:t xml:space="preserve">چگونه بودجه تبلیغات را با انقضای کالاها و سرعت گردش قفسه‌های انبار هماهنگ کنیم تا خواب سرمایه رخ ندهد؟</x:t>
        </x:is>
      </x:c>
      <x:c r="F48" s="4" t="inlineStr">
        <x:is>
          <x:t xml:space="preserve">خاموش/روشن کردن خودکار کمپین‌ها بر اساس دپوی انبار؛ اجرای پروموشن روی مواد مصرفی با انقضای زیر ۶ ماه.</x:t>
        </x:is>
      </x:c>
      <x:c r="G48" s="4" t="inlineStr">
        <x:is>
          <x:t xml:space="preserve">Performance Marketer، Warehouse &amp; Supply Chain Manager، Commercial Lead</x:t>
        </x:is>
      </x:c>
      <x:c r="H48" s="4" t="inlineStr">
        <x:is>
          <x:t xml:space="preserve">Out-of-Stock Ad Spend Wastage, Days Sales of Inventory (DSI), Expiry Risk Exposure, Gross Margin Velocity</x:t>
        </x:is>
      </x:c>
      <x:c r="I48" s="4" t="inlineStr">
        <x:is>
          <x:t xml:space="preserve">Safety Stock Level, Lead Time to Restock, Discount Elasticity of Slow-Moving Items</x:t>
        </x:is>
      </x:c>
      <x:c r="J48" s="4" t="inlineStr">
        <x:is>
          <x:t xml:space="preserve">کد کالا (SKU)، دسته‌بندی مواد مصرفی، برند سازنده، بازه تاریخ انقضا، سطح موجودی انبار</x:t>
        </x:is>
      </x:c>
      <x:c r="K48" s="4" t="inlineStr">
        <x:is>
          <x:t xml:space="preserve">جدول موجودی زنده ERP، تاریخ‌های ورود به انبار، بهای تمام‌شده، متادیتای کمپین‌های گوگل/متا</x:t>
        </x:is>
      </x:c>
      <x:c r="L48" s="4" t="inlineStr">
        <x:is>
          <x:t xml:space="preserve">WMS انبارداری، نرم‌افزار حسابداری صنعتی، فید محصولات گوگل شاپینگ/داینامیک ادز</x:t>
        </x:is>
      </x:c>
      <x:c r="M48" s="4" t="inlineStr">
        <x:is>
          <x:t xml:space="preserve">سطح کالا (SKU Level)</x:t>
        </x:is>
      </x:c>
      <x:c r="N48" s="4" t="inlineStr">
        <x:is>
          <x:t xml:space="preserve">روزانه و ترند ۷ و ۳۰ روزه گردش کالا</x:t>
        </x:is>
      </x:c>
      <x:c r="O48" s="4" t="inlineStr">
        <x:is>
          <x:t xml:space="preserve">Scatter Plot (سرعت فروش در برابر حاشیه سود)، Heatmap تاریخ انقضا، Status Table</x:t>
        </x:is>
      </x:c>
      <x:c r="P48" s="4" t="inlineStr">
        <x:is>
          <x:t xml:space="preserve">نزدیک به لحظه‌ای (هر ۳۰ دقیقه)</x:t>
        </x:is>
      </x:c>
      <x:c r="Q48" s="4" t="inlineStr">
        <x:is>
          <x:t xml:space="preserve">بسیار مهم (High)</x:t>
        </x:is>
      </x:c>
      <x:c r="R48" s="4" t="inlineStr">
        <x:is>
          <x:t xml:space="preserve">اگر موجودی یک SKU به کمتر از ۵ روز رسید، بودجه ادز آن به محصولات جانشین شیفت داده شده یا بیدینگ ۳۰٪ کاهش یابد.</x:t>
        </x:is>
      </x:c>
      <x:c r="S48" s="30" t="str">
        <x:v>REP-47</x:v>
      </x:c>
      <x:c r="T48" s="30" t="str">
        <x:v>W5</x:v>
      </x:c>
      <x:c r="U48" s="30" t="str">
        <x:v>نیازمند تکمیل و تأیید مالک</x:v>
      </x:c>
      <x:c r="V48" s="30" t="str">
        <x:v>BI Lead</x:v>
      </x:c>
      <x:c r="W48" s="30" t="str">
        <x:v>Proposed</x:v>
      </x:c>
      <x:c r="X48" s="30" t="str">
        <x:v>نیازمند تکمیل و تأیید مالک</x:v>
      </x:c>
    </x:row>
    <x:row r="49">
      <x:c r="A49" s="19" t="inlineStr">
        <x:is>
          <x:t xml:space="preserve">REP-48</x:t>
        </x:is>
      </x:c>
      <x:c r="B49" s="6" t="inlineStr">
        <x:is>
          <x:t xml:space="preserve">AI Health &amp; Prescriptions</x:t>
        </x:is>
      </x:c>
      <x:c r="C49" s="6" t="inlineStr">
        <x:is>
          <x:t xml:space="preserve">گزارش پایش سلامت الگوریتمی، کشش بودجه و هشدارهای تجویزی هوش مصنوعی</x:t>
        </x:is>
      </x:c>
      <x:c r="D49" s="6" t="inlineStr">
        <x:is>
          <x:t xml:space="preserve">AI-Driven Algorithmic Health, Budget Elasticity &amp; Anomaly Prescriptions</x:t>
        </x:is>
      </x:c>
      <x:c r="E49" s="6" t="inlineStr">
        <x:is>
          <x:t xml:space="preserve">الگوریتم‌های یادگیری ماشین ادز در چه وضعیتی هستند و مدل‌های هوش مصنوعی چه توصیه‌ای برای بهینه‌سازی بودجه دارند؟</x:t>
        </x:is>
      </x:c>
      <x:c r="F49" s="6" t="inlineStr">
        <x:is>
          <x:t xml:space="preserve">بازتوزیع خودکار بودجه بین کمپین‌های کشش‌پذیر (Elastic) و توقف کمپین‌های وارد شده به فاز بازده نزولی.</x:t>
        </x:is>
      </x:c>
      <x:c r="G49" s="6" t="inlineStr">
        <x:is>
          <x:t xml:space="preserve">Performance Marketing Lead، AI/Data Engineer، CMO</x:t>
        </x:is>
      </x:c>
      <x:c r="H49" s="6" t="inlineStr">
        <x:is>
          <x:t xml:space="preserve">Bid Saturation Index, Marginal POAS, Model Learning Quality Score, Automated Budget Drift</x:t>
        </x:is>
      </x:c>
      <x:c r="I49" s="6" t="inlineStr">
        <x:is>
          <x:t xml:space="preserve">Negative Keyword Discovery Rate, Audience Overlap Penalty, Platform Conversion Lag</x:t>
        </x:is>
      </x:c>
      <x:c r="J49" s="6" t="inlineStr">
        <x:is>
          <x:t xml:space="preserve">پلتفرم تبلیغاتی، استراتژی بیدینگ، نوع کمپین، وضعیت یادگیری (Learning State)، گروه خلاقه</x:t>
        </x:is>
      </x:c>
      <x:c r="K49" s="6" t="inlineStr">
        <x:is>
          <x:t xml:space="preserve">داده‌های مزایده پلتفرم‌ها، سیگنال‌های لاگ سرور، خطاهای پیش‌بینی هوش مصنوعی</x:t>
        </x:is>
      </x:c>
      <x:c r="L49" s="6" t="inlineStr">
        <x:is>
          <x:t xml:space="preserve">APIهای پلتفرم‌های تبلیغاتی، دیتابیس مدل‌های پیش‌بین داخلی، لاگ‌های سرور</x:t>
        </x:is>
      </x:c>
      <x:c r="M49" s="6" t="inlineStr">
        <x:is>
          <x:t xml:space="preserve">سطح موجودیت تبلیغاتی (Entity Level)</x:t>
        </x:is>
      </x:c>
      <x:c r="N49" s="6" t="inlineStr">
        <x:is>
          <x:t xml:space="preserve">ساعتی، روزانه و مقایسه نسبت به دوره یادگیری ۷ روز گذشته</x:t>
        </x:is>
      </x:c>
      <x:c r="O49" s="6" t="inlineStr">
        <x:is>
          <x:t xml:space="preserve">Line Trend کشش حاشیه‌ای، Gauge پایش سلامت، Diagnostic Alert Feed</x:t>
        </x:is>
      </x:c>
      <x:c r="P49" s="6" t="inlineStr">
        <x:is>
          <x:t xml:space="preserve">ساعتی (Real-time برای تشخیص خطاهای بحرانی)</x:t>
        </x:is>
      </x:c>
      <x:c r="Q49" s="6" t="inlineStr">
        <x:is>
          <x:t xml:space="preserve">حیاتی (Critical)</x:t>
        </x:is>
      </x:c>
      <x:c r="R49" s="6" t="inlineStr">
        <x:is>
          <x:t xml:space="preserve">در صورت مشاهده Marginal POAS کمتر از ۱، افزایش بودجه فوراً متوقف و سهم به ادست‌های کمکی بازتوزیع شود.</x:t>
        </x:is>
      </x:c>
      <x:c r="S49" s="30" t="str">
        <x:v>REP-48</x:v>
      </x:c>
      <x:c r="T49" s="30" t="str">
        <x:v>W4</x:v>
      </x:c>
      <x:c r="U49" s="30" t="str">
        <x:v>نیازمند تکمیل و تأیید مالک</x:v>
      </x:c>
      <x:c r="V49" s="30" t="str">
        <x:v>BI Lead</x:v>
      </x:c>
      <x:c r="W49" s="30" t="str">
        <x:v>Proposed</x:v>
      </x:c>
      <x:c r="X49" s="30" t="str">
        <x:v>نیازمند تکمیل و تأیید مالک</x:v>
      </x:c>
    </x:row>
  </x:sheetData>
  <x:conditionalFormatting sqref="Q2:Q49">
    <x:cfRule type="cellIs" dxfId="0" priority="1" operator="equal">
      <x:formula>"Critical"</x:formula>
    </x:cfRule>
    <x:cfRule type="cellIs" dxfId="1" priority="2" operator="equal">
      <x:formula>"High"</x:formula>
    </x:cfRule>
    <x:cfRule type="cellIs" dxfId="2" priority="3" operator="equal">
      <x:formula>"Medium"</x:formula>
    </x:cfRule>
    <x:cfRule type="cellIs" dxfId="3" priority="4" operator="equal">
      <x:formula>"Low"</x:formula>
    </x:cfRule>
  </x:conditionalFormatting>
  <x:dataValidations count="1">
    <x:dataValidation type="list" sqref="W2:W49">
      <x:formula1>"Proposed,Ready,In Progress,Implemented,Tested,Blocked"</x:formula1>
    </x:dataValidation>
  </x:dataValidations>
  <x:pageMargins left="0.7" right="0.7" top="0.75" bottom="0.75" header="0.3" footer="0.3"/>
  <x:tableParts count="2">
    <x:tablePart xmlns:r="http://schemas.openxmlformats.org/officeDocument/2006/relationships" r:id="R18d2145ed5614703"/>
    <x:tablePart xmlns:r="http://schemas.openxmlformats.org/officeDocument/2006/relationships" r:id="Rf08ad3d889104ae3"/>
  </x:tableParts>
</x:worksheet>
</file>

<file path=xl/worksheets/sheet12.xml><?xml version="1.0" encoding="utf-8"?>
<x:worksheet xmlns:x="http://schemas.openxmlformats.org/spreadsheetml/2006/main">
  <x:sheetPr>
    <x:tabColor rgb="FF1F4E78"/>
  </x:sheetPr>
  <x:sheetViews>
    <x:sheetView workbookViewId="0">
      <x:pane ySplit="1" topLeftCell="A2" activePane="bottomLeft" state="frozen"/>
    </x:sheetView>
  </x:sheetViews>
  <x:sheetFormatPr baseColWidth="8" defaultRowHeight="15"/>
  <x:cols>
    <x:col min="1" max="1" width="14" customWidth="1"/>
    <x:col min="2" max="2" width="8" customWidth="1"/>
    <x:col min="3" max="3" width="30" customWidth="1"/>
    <x:col min="4" max="4" width="26" customWidth="1"/>
    <x:col min="5" max="5" width="16" customWidth="1"/>
    <x:col min="6" max="6" width="14" customWidth="1"/>
    <x:col min="7" max="7" width="26" customWidth="1"/>
    <x:col min="8" max="8" width="60" customWidth="1"/>
    <x:col min="9" max="9" width="40" customWidth="1"/>
    <x:col min="10" max="10" width="50" customWidth="1"/>
    <x:col min="11" max="11" width="40" customWidth="1"/>
    <x:col min="12" max="12" width="4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s>
  <x:sheetData>
    <x:row r="1" ht="30" customHeight="1">
      <x:c r="A1" s="5" t="inlineStr">
        <x:is>
          <x:t xml:space="preserve">Dashboard_Code</x:t>
        </x:is>
      </x:c>
      <x:c r="B1" s="5" t="inlineStr">
        <x:is>
          <x:t xml:space="preserve">Tier</x:t>
        </x:is>
      </x:c>
      <x:c r="C1" s="5" t="inlineStr">
        <x:is>
          <x:t xml:space="preserve">Title_FA</x:t>
        </x:is>
      </x:c>
      <x:c r="D1" s="5" t="inlineStr">
        <x:is>
          <x:t xml:space="preserve">Audience</x:t>
        </x:is>
      </x:c>
      <x:c r="E1" s="5" t="inlineStr">
        <x:is>
          <x:t xml:space="preserve">Decision_Cadence</x:t>
        </x:is>
      </x:c>
      <x:c r="F1" s="5" t="inlineStr">
        <x:is>
          <x:t xml:space="preserve">Time_Horizon</x:t>
        </x:is>
      </x:c>
      <x:c r="G1" s="5" t="inlineStr">
        <x:is>
          <x:t xml:space="preserve">Refresh</x:t>
        </x:is>
      </x:c>
      <x:c r="H1" s="5" t="inlineStr">
        <x:is>
          <x:t xml:space="preserve">KPI_Mapping_Legacy</x:t>
        </x:is>
      </x:c>
      <x:c r="I1" s="5" t="inlineStr">
        <x:is>
          <x:t xml:space="preserve">Official_KPI_Mapping</x:t>
        </x:is>
      </x:c>
      <x:c r="J1" s="5" t="inlineStr">
        <x:is>
          <x:t xml:space="preserve">Filters</x:t>
        </x:is>
      </x:c>
      <x:c r="K1" s="5" t="inlineStr">
        <x:is>
          <x:t xml:space="preserve">Underlying_Reports_Legacy</x:t>
        </x:is>
      </x:c>
      <x:c r="L1" s="5" t="inlineStr">
        <x:is>
          <x:t xml:space="preserve">Official_Report_Mapping</x:t>
        </x:is>
      </x:c>
      <x:c r="M1" s="27" t="str">
        <x:v>Dashboard_ID_Link</x:v>
      </x:c>
      <x:c r="N1" s="27" t="str">
        <x:v>Implementation_Wave</x:v>
      </x:c>
      <x:c r="O1" s="27" t="str">
        <x:v>Owner</x:v>
      </x:c>
      <x:c r="P1" s="27" t="str">
        <x:v>Status</x:v>
      </x:c>
      <x:c r="Q1" s="27" t="str">
        <x:v>Acceptance_Criteria</x:v>
      </x:c>
      <x:c r="R1" s="27" t="str">
        <x:v>Alerts</x:v>
      </x:c>
      <x:c r="S1" s="27" t="str">
        <x:v>Exports</x:v>
      </x:c>
      <x:c r="T1" s="27" t="str">
        <x:v>Permitted_Actions</x:v>
      </x:c>
    </x:row>
    <x:row r="2">
      <x:c r="A2" s="4" t="inlineStr">
        <x:is>
          <x:t xml:space="preserve">DASH-EXEC-01</x:t>
        </x:is>
      </x:c>
      <x:c r="B2" s="4" t="inlineStr">
        <x:is>
          <x:t xml:space="preserve">**Tier 1**</x:t>
        </x:is>
      </x:c>
      <x:c r="C2" s="4" t="inlineStr">
        <x:is>
          <x:t xml:space="preserve">داشبورد راهبردی و فرماندهی تجاری</x:t>
        </x:is>
      </x:c>
      <x:c r="D2" s="4" t="inlineStr">
        <x:is>
          <x:t xml:space="preserve">مدیرعامل (CEO)، هیئت‌مدیره، سرمایه‌گذاران</x:t>
        </x:is>
      </x:c>
      <x:c r="E2" s="4" t="inlineStr">
        <x:is>
          <x:t xml:space="preserve">ماهانه، فصلی و استراتژیک</x:t>
        </x:is>
      </x:c>
      <x:c r="F2" s="4" t="inlineStr">
        <x:is>
          <x:t xml:space="preserve">۳۰ تا ۳۶۵ روز</x:t>
        </x:is>
      </x:c>
      <x:c r="G2" s="4" t="inlineStr">
        <x:is>
          <x:t xml:space="preserve">روزانه (ساعت ۰۶:۰۰ صبح) با تلورانس تاخیر حداکثر ۴ ساعت.</x:t>
        </x:is>
      </x:c>
      <x:c r="H2" s="4" t="inlineStr">
        <x:is>
          <x:t xml:space="preserve">KPI-01: درآمد خالص تحقق‌یافته (Net Revenue)؛ KPI-04: سود ناخالص سهمی (Contribution Margin)؛ KPI-05: بازدهی کلان هزینه‌های بازاریابی (MER)؛ KPI-06: ارزش طول عمر دندان‌پزشک (Customer Lifetime Value - CLV)؛ KPI-07: هزینه ترکیبی جذب مشتری (Blended CAC)؛ KPI-08: نسبت ارزش طول عمر به هزینه جذب (LTV:CAC Ratio)؛ KPI-09: دوره بازگشت هزینه جذب دندان‌پزشک (CAC Payback Period)؛ KPI-28: نرخ تکرار خرید کلینیک‌ها (Repeat Purchase Rate)؛ KPI-80: درآمد خالص پس از مرجوعی (Net Revenue Post-Refunds)</x:t>
        </x:is>
      </x:c>
      <x:c r="I2" s="4" t="inlineStr">
        <x:is>
          <x:t xml:space="preserve">KPI-01→KPI-34؛ KPI-04→KPI-45؛ KPI-05→—؛ KPI-06→KPI-57؛ KPI-07→KPI-20؛ KPI-08→KPI-57/KPI-20؛ KPI-09→KPI-52؛ KPI-28→KPI-53؛ KPI-80→KPI-34</x:t>
        </x:is>
      </x:c>
      <x:c r="J2" s="4" t="inlineStr">
        <x:is>
          <x:t xml:space="preserve">بازه زمانی: ماه جاری، فصل جاری، سال مالی، دوره سفارشی با مقایسه با دوره مشابه سال قبل (YoY).؛ رده بیزینس: کل سازمان، لاین تجهیزات دندان‌پزشکی (Equipment)، لاین مواد مصرفی (Consumables).؛ مناطق جغرافیایی کلان: تهران و حومه، کلان‌شهرهای درجه یک، سایر استان‌های کشور.</x:t>
        </x:is>
      </x:c>
      <x:c r="K2" s="4" t="inlineStr">
        <x:is>
          <x:t xml:space="preserve">REP-01: گزارش جامع عملکرد ترکیبی کانال‌ها؛ REP-06: گزارش مالی و سودآوری سهمی به تفکیک کانال؛ REP-21: تحلیل کوهورت تکرار خرید دندان‌پزشکان؛ REP-33: گزارش کلان هیئت‌مدیره و سرمایه‌گذاران</x:t>
        </x:is>
      </x:c>
      <x:c r="L2" s="4" t="inlineStr">
        <x:is>
          <x:t xml:space="preserve">REP-02؛ REP-33؛ REP-21؛ REP-01</x:t>
        </x:is>
      </x:c>
      <x:c r="M2" s="30" t="str">
        <x:v>DASH-EXEC-01</x:v>
      </x:c>
      <x:c r="N2" s="30" t="str">
        <x:v>W5</x:v>
      </x:c>
      <x:c r="O2" s="30" t="str">
        <x:v>BI Lead</x:v>
      </x:c>
      <x:c r="P2" s="30" t="str">
        <x:v>Proposed</x:v>
      </x:c>
      <x:c r="Q2" s="30" t="str">
        <x:v>نیازمند تکمیل و تأیید مالک</x:v>
      </x:c>
      <x:c r="R2" s="30" t="str">
        <x:v>نیازمند تکمیل و تأیید مالک</x:v>
      </x:c>
      <x:c r="S2" s="30" t="str">
        <x:v>نیازمند تکمیل و تأیید مالک</x:v>
      </x:c>
      <x:c r="T2" s="30" t="str">
        <x:v>نیازمند تکمیل و تأیید مالک</x:v>
      </x:c>
    </x:row>
    <x:row r="3">
      <x:c r="A3" s="6" t="inlineStr">
        <x:is>
          <x:t xml:space="preserve">DASH-CMO-02</x:t>
        </x:is>
      </x:c>
      <x:c r="B3" s="6" t="inlineStr">
        <x:is>
          <x:t xml:space="preserve">**Tier 2**</x:t>
        </x:is>
      </x:c>
      <x:c r="C3" s="6" t="inlineStr">
        <x:is>
          <x:t xml:space="preserve">داشبورد تخصیص بودجه و بازاریابی</x:t>
        </x:is>
      </x:c>
      <x:c r="D3" s="6" t="inlineStr">
        <x:is>
          <x:t xml:space="preserve">مدیر ارشد بازاریابی (CMO)، مدیر رشد</x:t>
        </x:is>
      </x:c>
      <x:c r="E3" s="6" t="inlineStr">
        <x:is>
          <x:t xml:space="preserve">هفتگی و ماهانه</x:t>
        </x:is>
      </x:c>
      <x:c r="F3" s="6" t="inlineStr">
        <x:is>
          <x:t xml:space="preserve">۷ تا ۹۰ روز</x:t>
        </x:is>
      </x:c>
      <x:c r="G3" s="6" t="inlineStr">
        <x:is>
          <x:t xml:space="preserve">هر ۴ ساعت یک‌بار، با همگام‌سازی کامل شبانه در ساعت ۰۲:۰۰ بامداد.</x:t>
        </x:is>
      </x:c>
      <x:c r="H3" s="6" t="inlineStr">
        <x:is>
          <x:t xml:space="preserve">KPI-02: بازگشت هزینه تبلیغات (ROAS)؛ KPI-03: سود به ازای هزینه تبلیغات (POAS)؛ KPI-10: هزینه جذب سرنخ واجد شرایط بازاریابی (Cost per MQL)؛ KPI-11: هزینه جذب سرنخ واجد شرایط فروش (Cost per SQL)؛ KPI-12: نرخ تبدیل سرنخ خام به MQL؛ KPI-13: نرخ تبدیل MQL به SQL؛ KPI-14: میانگین زمان بسته‌شدن معامله تجهیزات (Sales Velocity Days)؛ KPI-29: سرعت پاسخ‌گویی به لید کلینیک (Lead Response Time SLA)؛ KPI-31: درصد جذب سهمیه مشتری جدید ماهانه (New Account Acquisition Rate)؛ KPI-67: سهم ترافیک ورودی ارگانیک در برابر پولی؛ KPI-77: انحراف سرعت مصرف بودجه از برنامه (Budget Pacing Deviation)</x:t>
        </x:is>
      </x:c>
      <x:c r="I3" s="6" t="inlineStr">
        <x:is>
          <x:t xml:space="preserve">KPI-02→KPI-40؛ KPI-03→KPI-47؛ KPI-10→KPI-16؛ KPI-11→KPI-19؛ KPI-12→KPI-28؛ KPI-13→KPI-29؛ KPI-14→KPI-32؛ KPI-29→KPI-32؛ KPI-31→KPI-20؛ KPI-67→KPI-63؛ KPI-77→KPI-58</x:t>
        </x:is>
      </x:c>
      <x:c r="J3" s="6" t="inlineStr">
        <x:is>
          <x:t xml:space="preserve">پلتفرم تبلیغاتی: گوگل ادز، متا / اینستاگرام، پیامک و ریتارگتینگ، مدیا ادز، بازاریابی معرف.؛ مرحله قیف فروش: Top of Funnel (آگاهی)، Middle of Funnel (لید)، Bottom of Funnel (فروش قطعی).؛ بخش مشتری: مطب‌های انفرادی، کلینیک‌های چندتخصصی، مراکز درمانی و بیمارستان‌ها.؛ نوع کمپین: کمپین‌های کاتالوگ مواد مصرفی در برابر کمپین‌های جذب لید یونیت و تجهیزات.</x:t>
        </x:is>
      </x:c>
      <x:c r="K3" s="6" t="inlineStr">
        <x:is>
          <x:t xml:space="preserve">REP-02: گزارش تحلیل اتریبیوشن چندلمسی (MTA)؛ REP-04: گزارش قیف تبدیل لید به معامله B2B؛ REP-09: گزارش عملکرد کمپین‌های سرچ گوگل بر اساس هدف؛ REP-17: گزارش اثربخشی پایپ‌لاین تیم فروش B2B؛ REP-34: گزارش تخصیص بهینه بودجه بازاریابی</x:t>
        </x:is>
      </x:c>
      <x:c r="L3" s="6" t="inlineStr">
        <x:is>
          <x:t xml:space="preserve">REP-30؛ REP-16؛ REP-04؛ REP-15؛ REP-32</x:t>
        </x:is>
      </x:c>
      <x:c r="M3" s="30" t="str">
        <x:v>DASH-CMO-02</x:v>
      </x:c>
      <x:c r="N3" s="30" t="str">
        <x:v>W5</x:v>
      </x:c>
      <x:c r="O3" s="30" t="str">
        <x:v>BI Lead</x:v>
      </x:c>
      <x:c r="P3" s="30" t="str">
        <x:v>Proposed</x:v>
      </x:c>
      <x:c r="Q3" s="30" t="str">
        <x:v>نیازمند تکمیل و تأیید مالک</x:v>
      </x:c>
      <x:c r="R3" s="30" t="str">
        <x:v>نیازمند تکمیل و تأیید مالک</x:v>
      </x:c>
      <x:c r="S3" s="30" t="str">
        <x:v>نیازمند تکمیل و تأیید مالک</x:v>
      </x:c>
      <x:c r="T3" s="30" t="str">
        <x:v>نیازمند تکمیل و تأیید مالک</x:v>
      </x:c>
    </x:row>
    <x:row r="4">
      <x:c r="A4" s="4" t="inlineStr">
        <x:is>
          <x:t xml:space="preserve">DASH-PERF-03</x:t>
        </x:is>
      </x:c>
      <x:c r="B4" s="4" t="inlineStr">
        <x:is>
          <x:t xml:space="preserve">**Tier 3**</x:t>
        </x:is>
      </x:c>
      <x:c r="C4" s="4" t="inlineStr">
        <x:is>
          <x:t xml:space="preserve">داشبورد عملیاتی و پایش کمپین‌ها</x:t>
        </x:is>
      </x:c>
      <x:c r="D4" s="4" t="inlineStr">
        <x:is>
          <x:t xml:space="preserve">کارشناسان پرفورمنس مارکتینگ، مدیا بایینگ</x:t>
        </x:is>
      </x:c>
      <x:c r="E4" s="4" t="inlineStr">
        <x:is>
          <x:t xml:space="preserve">بلادرنگ، ساعتی و روزانه</x:t>
        </x:is>
      </x:c>
      <x:c r="F4" s="4" t="inlineStr">
        <x:is>
          <x:t xml:space="preserve">۱ تا ۳۰ روز</x:t>
        </x:is>
      </x:c>
      <x:c r="G4" s="4" t="inlineStr">
        <x:is>
          <x:t xml:space="preserve">تقریباً بلادرنگ (Near Real-Time — هر ۱۵ دقیقه یک‌بار برای هزینه‌ها و تبدیل‌ها).</x:t>
        </x:is>
      </x:c>
      <x:c r="H4" s="4" t="inlineStr">
        <x:is>
          <x:t xml:space="preserve">KPI-15: میانگین ارزش سفارش فاکتور (Average Order Value - AOV)؛ KPI-17: نرخ کلیک از آگهی به صفحه فرود (CTR)؛ KPI-18: میانگین هزینه به ازای هر کلیک معتبر (CPC)؛ KPI-19: نرخ تبدیل صفحه فرود به اکشن هدف (Landing Page CVR)؛ KPI-20: نرخ رهاسازی سبد سفارش دندان‌پزشک (Cart Abandonment Rate)؛ KPI-24: نرخ مشاهده ۳ ثانیه‌ای ویدیو / قلاب (Video Hook Rate)؛ KPI-25: نرخ تکمیل یا ماندگاری تماشای ویدیو (Video Hold Rate)؛ KPI-26: شاخص خستگی و فرسایش کریتیو تبلیغاتی (Creative Fatigue Index)؛ KPI-45: کیفیت تطابق سیگنال‌های پیشرفته کاربر (Event Match Quality Score)؛ KPI-46: میانگین زمان بارگذاری صفحه فرود به ثانیه (Page Load Time)</x:t>
        </x:is>
      </x:c>
      <x:c r="I4" s="4" t="inlineStr">
        <x:is>
          <x:t xml:space="preserve">KPI-15→KPI-35؛ KPI-17→KPI-06؛ KPI-18→KPI-08؛ KPI-19→KPI-31؛ KPI-20→KPI-25؛ KPI-24→KPI-60؛ KPI-25→KPI-61؛ KPI-26→KPI-62؛ KPI-45→KPI-65؛ KPI-46→KPI-21</x:t>
        </x:is>
      </x:c>
      <x:c r="J4" s="4" t="inlineStr">
        <x:is>
          <x:t xml:space="preserve">تاریخ و بازه زمانی: امروز، دیروز، ۷ روز گذشته، بازه انتخابی تا سطح ساعات شبانه‌روز (Hour of Day).؛ حساب تبلیغاتی: اکانت‌های گوگل ادز تیتانا، بیزینس منیجرهای اینستاگرام، پنل‌های بومی.؛ دستگاه کاربر: موبایل، دسکتاپ، سیستم‌عامل‌های مختلف.؛ نوع آگهی: ویدیویی ریلز، اسلایدی کاتالوگ، سرچ متنی، لندینگ‌های ویژه جشنواره‌ها.</x:t>
        </x:is>
      </x:c>
      <x:c r="K4" s="4" t="inlineStr">
        <x:is>
          <x:t xml:space="preserve">REP-08: گزارش فرسایش کریتیوها و عملکرد محتوای تبلیغاتی؛ REP-10: گزارش سلامت و کیفیت داده‌های تبدیل CAPI؛ REP-13: گزارش کلمات کلیدی گران‌قیمت و منفی در سرچ گوگل؛ REP-14: گزارش آزمایش‌های A/B صفحات فرود و نرخ تبدیل؛ REP-16: مانیتورینگ سلامت صفحات و خطاهای سرور و ترکینگ</x:t>
        </x:is>
      </x:c>
      <x:c r="L4" s="4" t="inlineStr">
        <x:is>
          <x:t xml:space="preserve">REP-08؛ REP-36؛ REP-04؛ REP-35؛ REP-36</x:t>
        </x:is>
      </x:c>
      <x:c r="M4" s="30" t="str">
        <x:v>DASH-PERF-03</x:v>
      </x:c>
      <x:c r="N4" s="30" t="str">
        <x:v>W5</x:v>
      </x:c>
      <x:c r="O4" s="30" t="str">
        <x:v>BI Lead</x:v>
      </x:c>
      <x:c r="P4" s="30" t="str">
        <x:v>Proposed</x:v>
      </x:c>
      <x:c r="Q4" s="30" t="str">
        <x:v>نیازمند تکمیل و تأیید مالک</x:v>
      </x:c>
      <x:c r="R4" s="30" t="str">
        <x:v>نیازمند تکمیل و تأیید مالک</x:v>
      </x:c>
      <x:c r="S4" s="30" t="str">
        <x:v>نیازمند تکمیل و تأیید مالک</x:v>
      </x:c>
      <x:c r="T4" s="30" t="str">
        <x:v>نیازمند تکمیل و تأیید مالک</x:v>
      </x:c>
    </x:row>
    <x:row r="5">
      <x:c r="M5" s="30" t="str">
        <x:v>DASH-ROW-4</x:v>
      </x:c>
      <x:c r="N5" s="30" t="str">
        <x:v>W5</x:v>
      </x:c>
      <x:c r="O5" s="30" t="str">
        <x:v>BI Lead</x:v>
      </x:c>
      <x:c r="P5" s="30" t="str">
        <x:v>Proposed</x:v>
      </x:c>
      <x:c r="Q5" s="30" t="str">
        <x:v>نیازمند تکمیل و تأیید مالک</x:v>
      </x:c>
      <x:c r="R5" s="30" t="str">
        <x:v>نیازمند تکمیل و تأیید مالک</x:v>
      </x:c>
      <x:c r="S5" s="30" t="str">
        <x:v>نیازمند تکمیل و تأیید مالک</x:v>
      </x:c>
      <x:c r="T5" s="30" t="str">
        <x:v>نیازمند تکمیل و تأیید مالک</x:v>
      </x:c>
    </x:row>
    <x:row r="6" ht="30" customHeight="1">
      <x:c r="A6" s="5" t="inlineStr">
        <x:is>
          <x:t xml:space="preserve">Dashboard_Code</x:t>
        </x:is>
      </x:c>
      <x:c r="B6" s="5" t="inlineStr">
        <x:is>
          <x:t xml:space="preserve">Tier</x:t>
        </x:is>
      </x:c>
      <x:c r="C6" s="5" t="inlineStr">
        <x:is>
          <x:t xml:space="preserve">Zone_Code</x:t>
        </x:is>
      </x:c>
      <x:c r="D6" s="5" t="inlineStr">
        <x:is>
          <x:t xml:space="preserve">Zone_Position_FA</x:t>
        </x:is>
      </x:c>
      <x:c r="E6" s="5" t="inlineStr">
        <x:is>
          <x:t xml:space="preserve">Zone_Description_FA</x:t>
        </x:is>
      </x:c>
      <x:c r="F6" s="5" t="inlineStr">
        <x:is>
          <x:t xml:space="preserve">Mapped_KPIs_Legacy</x:t>
        </x:is>
      </x:c>
      <x:c r="G6" s="5" t="inlineStr">
        <x:is>
          <x:t xml:space="preserve">Official_KPI_Mapping</x:t>
        </x:is>
      </x:c>
      <x:c r="H6" s="5" t="inlineStr">
        <x:is>
          <x:t xml:space="preserve">Underlying_Reports</x:t>
        </x:is>
      </x:c>
      <x:c r="I6" s="5" t="inlineStr">
        <x:is>
          <x:t xml:space="preserve">Refresh_FA</x:t>
        </x:is>
      </x:c>
      <x:c r="J6" s="5" t="inlineStr">
        <x:is>
          <x:t xml:space="preserve">Audience_FA</x:t>
        </x:is>
      </x:c>
      <x:c r="M6" s="30" t="str">
        <x:v>Dashboard_Code</x:v>
      </x:c>
      <x:c r="N6" s="30" t="str">
        <x:v>W5</x:v>
      </x:c>
      <x:c r="O6" s="30" t="str">
        <x:v>BI Lead</x:v>
      </x:c>
      <x:c r="P6" s="30" t="str">
        <x:v>Proposed</x:v>
      </x:c>
      <x:c r="Q6" s="30" t="str">
        <x:v>نیازمند تکمیل و تأیید مالک</x:v>
      </x:c>
      <x:c r="R6" s="30" t="str">
        <x:v>نیازمند تکمیل و تأیید مالک</x:v>
      </x:c>
      <x:c r="S6" s="30" t="str">
        <x:v>نیازمند تکمیل و تأیید مالک</x:v>
      </x:c>
      <x:c r="T6" s="30" t="str">
        <x:v>نیازمند تکمیل و تأیید مالک</x:v>
      </x:c>
    </x:row>
    <x:row r="7">
      <x:c r="A7" s="4" t="inlineStr">
        <x:is>
          <x:t xml:space="preserve">DASH-EXEC-01</x:t>
        </x:is>
      </x:c>
      <x:c r="B7" s="4" t="inlineStr">
        <x:is>
          <x:t xml:space="preserve">**Tier 1**</x:t>
        </x:is>
      </x:c>
      <x:c r="C7" s="4" t="inlineStr">
        <x:is>
          <x:t xml:space="preserve">منطقه A</x:t>
        </x:is>
      </x:c>
      <x:c r="D7" s="4" t="inlineStr">
        <x:is>
          <x:t xml:space="preserve">بالای صفحه - نوار کارت‌های شاخص کلیدی</x:t>
        </x:is>
      </x:c>
      <x:c r="E7" s="4" t="inlineStr">
        <x:is>
          <x:t xml:space="preserve">۴ ویجت افقی با سایز درشت شامل: درآمد خالص ماهانه (Net Revenue)، سود ناخالص سهمی (Contribution Margin)، نسبت بازدهی بازاریابی (MER)، و نرخ رشد درآمد سالانه (YoY Growth).</x:t>
        </x:is>
      </x:c>
      <x:c r="F7" s="4" t="inlineStr">
        <x:is>
          <x:t xml:space="preserve">KPI-01؛ KPI-04؛ KPI-05؛ KPI-06؛ KPI-07؛ KPI-08؛ KPI-09؛ KPI-28؛ KPI-80</x:t>
        </x:is>
      </x:c>
      <x:c r="G7" s="4" t="inlineStr">
        <x:is>
          <x:t xml:space="preserve">KPI-01→KPI-34؛ KPI-04→KPI-45؛ KPI-05→—؛ KPI-06→KPI-57؛ KPI-07→KPI-20؛ KPI-08→KPI-57/KPI-20؛ KPI-09→KPI-52؛ KPI-28→KPI-53؛ KPI-80→KPI-34</x:t>
        </x:is>
      </x:c>
      <x:c r="H7" s="4" t="inlineStr">
        <x:is>
          <x:t xml:space="preserve">REP-01 → REP-02؛ REP-06 → REP-33؛ REP-21 → REP-21؛ REP-33 → REP-01</x:t>
        </x:is>
      </x:c>
      <x:c r="I7" s="4" t="inlineStr">
        <x:is>
          <x:t xml:space="preserve">روزانه (ساعت ۰۶:۰۰ صبح) با تلورانس تاخیر حداکثر ۴ ساعت.</x:t>
        </x:is>
      </x:c>
      <x:c r="J7" s="4" t="inlineStr">
        <x:is>
          <x:t xml:space="preserve">مدیرعامل (CEO)، هیئت‌مدیره، سرمایه‌گذاران</x:t>
        </x:is>
      </x:c>
      <x:c r="M7" s="30" t="str">
        <x:v>DASH-EXEC-01</x:v>
      </x:c>
      <x:c r="N7" s="30" t="str">
        <x:v>W5</x:v>
      </x:c>
      <x:c r="O7" s="30" t="str">
        <x:v>BI Lead</x:v>
      </x:c>
      <x:c r="P7" s="30" t="str">
        <x:v>Proposed</x:v>
      </x:c>
      <x:c r="Q7" s="30" t="str">
        <x:v>نیازمند تکمیل و تأیید مالک</x:v>
      </x:c>
      <x:c r="R7" s="30" t="str">
        <x:v>نیازمند تکمیل و تأیید مالک</x:v>
      </x:c>
      <x:c r="S7" s="30" t="str">
        <x:v>نیازمند تکمیل و تأیید مالک</x:v>
      </x:c>
      <x:c r="T7" s="30" t="str">
        <x:v>نیازمند تکمیل و تأیید مالک</x:v>
      </x:c>
    </x:row>
    <x:row r="8">
      <x:c r="A8" s="6" t="inlineStr">
        <x:is>
          <x:t xml:space="preserve">DASH-EXEC-01</x:t>
        </x:is>
      </x:c>
      <x:c r="B8" s="6" t="inlineStr">
        <x:is>
          <x:t xml:space="preserve">**Tier 1**</x:t>
        </x:is>
      </x:c>
      <x:c r="C8" s="6" t="inlineStr">
        <x:is>
          <x:t xml:space="preserve">منطقه B</x:t>
        </x:is>
      </x:c>
      <x:c r="D8" s="6" t="inlineStr">
        <x:is>
          <x:t xml:space="preserve">سمت راست - روند زمانی کلان</x:t>
        </x:is>
      </x:c>
      <x:c r="E8" s="6" t="inlineStr">
        <x:is>
          <x:t xml:space="preserve">نمودار خطی ترکیبی (Combo Chart) مقایسه درآمد روزانه تحقق‌یافته در برابر هدف بودجه‌ریزی‌شده (Actual vs. Target Revenue) به همراه خط سود خالص.</x:t>
        </x:is>
      </x:c>
      <x:c r="F8" s="6" t="inlineStr">
        <x:is>
          <x:t xml:space="preserve">KPI-01؛ KPI-04؛ KPI-05؛ KPI-06؛ KPI-07؛ KPI-08؛ KPI-09؛ KPI-28؛ KPI-80</x:t>
        </x:is>
      </x:c>
      <x:c r="G8" s="6" t="inlineStr">
        <x:is>
          <x:t xml:space="preserve">KPI-01→KPI-34؛ KPI-04→KPI-45؛ KPI-05→—؛ KPI-06→KPI-57؛ KPI-07→KPI-20؛ KPI-08→KPI-57/KPI-20؛ KPI-09→KPI-52؛ KPI-28→KPI-53؛ KPI-80→KPI-34</x:t>
        </x:is>
      </x:c>
      <x:c r="H8" s="6" t="inlineStr">
        <x:is>
          <x:t xml:space="preserve">REP-01 → REP-02؛ REP-06 → REP-33؛ REP-21 → REP-21؛ REP-33 → REP-01</x:t>
        </x:is>
      </x:c>
      <x:c r="I8" s="6" t="inlineStr">
        <x:is>
          <x:t xml:space="preserve">روزانه (ساعت ۰۶:۰۰ صبح) با تلورانس تاخیر حداکثر ۴ ساعت.</x:t>
        </x:is>
      </x:c>
      <x:c r="J8" s="6" t="inlineStr">
        <x:is>
          <x:t xml:space="preserve">مدیرعامل (CEO)، هیئت‌مدیره، سرمایه‌گذاران</x:t>
        </x:is>
      </x:c>
      <x:c r="M8" s="30" t="str">
        <x:v>DASH-EXEC-01</x:v>
      </x:c>
      <x:c r="N8" s="30" t="str">
        <x:v>W5</x:v>
      </x:c>
      <x:c r="O8" s="30" t="str">
        <x:v>BI Lead</x:v>
      </x:c>
      <x:c r="P8" s="30" t="str">
        <x:v>Proposed</x:v>
      </x:c>
      <x:c r="Q8" s="30" t="str">
        <x:v>نیازمند تکمیل و تأیید مالک</x:v>
      </x:c>
      <x:c r="R8" s="30" t="str">
        <x:v>نیازمند تکمیل و تأیید مالک</x:v>
      </x:c>
      <x:c r="S8" s="30" t="str">
        <x:v>نیازمند تکمیل و تأیید مالک</x:v>
      </x:c>
      <x:c r="T8" s="30" t="str">
        <x:v>نیازمند تکمیل و تأیید مالک</x:v>
      </x:c>
    </x:row>
    <x:row r="9">
      <x:c r="A9" s="4" t="inlineStr">
        <x:is>
          <x:t xml:space="preserve">DASH-EXEC-01</x:t>
        </x:is>
      </x:c>
      <x:c r="B9" s="4" t="inlineStr">
        <x:is>
          <x:t xml:space="preserve">**Tier 1**</x:t>
        </x:is>
      </x:c>
      <x:c r="C9" s="4" t="inlineStr">
        <x:is>
          <x:t xml:space="preserve">منطقه C</x:t>
        </x:is>
      </x:c>
      <x:c r="D9" s="4" t="inlineStr">
        <x:is>
          <x:t xml:space="preserve">سمت چپ - ساختار درآمد و سود سبد کالا</x:t>
        </x:is>
      </x:c>
      <x:c r="E9" s="4" t="inlineStr">
        <x:is>
          <x:t xml:space="preserve">نمودار میله‌ای انباشته (Stacked Bar) توزیع درآمد و حاشیه سود به تفکیک دو رده اصلی «تجهیزات سرمایه‌ای کلینیک» و «مواد مصرفی دندان‌پزشکی».</x:t>
        </x:is>
      </x:c>
      <x:c r="F9" s="4" t="inlineStr">
        <x:is>
          <x:t xml:space="preserve">KPI-01؛ KPI-04؛ KPI-05؛ KPI-06؛ KPI-07؛ KPI-08؛ KPI-09؛ KPI-28؛ KPI-80</x:t>
        </x:is>
      </x:c>
      <x:c r="G9" s="4" t="inlineStr">
        <x:is>
          <x:t xml:space="preserve">KPI-01→KPI-34؛ KPI-04→KPI-45؛ KPI-05→—؛ KPI-06→KPI-57؛ KPI-07→KPI-20؛ KPI-08→KPI-57/KPI-20؛ KPI-09→KPI-52؛ KPI-28→KPI-53؛ KPI-80→KPI-34</x:t>
        </x:is>
      </x:c>
      <x:c r="H9" s="4" t="inlineStr">
        <x:is>
          <x:t xml:space="preserve">REP-01 → REP-02؛ REP-06 → REP-33؛ REP-21 → REP-21؛ REP-33 → REP-01</x:t>
        </x:is>
      </x:c>
      <x:c r="I9" s="4" t="inlineStr">
        <x:is>
          <x:t xml:space="preserve">روزانه (ساعت ۰۶:۰۰ صبح) با تلورانس تاخیر حداکثر ۴ ساعت.</x:t>
        </x:is>
      </x:c>
      <x:c r="J9" s="4" t="inlineStr">
        <x:is>
          <x:t xml:space="preserve">مدیرعامل (CEO)، هیئت‌مدیره، سرمایه‌گذاران</x:t>
        </x:is>
      </x:c>
      <x:c r="M9" s="30" t="str">
        <x:v>DASH-EXEC-01</x:v>
      </x:c>
      <x:c r="N9" s="30" t="str">
        <x:v>W5</x:v>
      </x:c>
      <x:c r="O9" s="30" t="str">
        <x:v>BI Lead</x:v>
      </x:c>
      <x:c r="P9" s="30" t="str">
        <x:v>Proposed</x:v>
      </x:c>
      <x:c r="Q9" s="30" t="str">
        <x:v>نیازمند تکمیل و تأیید مالک</x:v>
      </x:c>
      <x:c r="R9" s="30" t="str">
        <x:v>نیازمند تکمیل و تأیید مالک</x:v>
      </x:c>
      <x:c r="S9" s="30" t="str">
        <x:v>نیازمند تکمیل و تأیید مالک</x:v>
      </x:c>
      <x:c r="T9" s="30" t="str">
        <x:v>نیازمند تکمیل و تأیید مالک</x:v>
      </x:c>
    </x:row>
    <x:row r="10">
      <x:c r="A10" s="6" t="inlineStr">
        <x:is>
          <x:t xml:space="preserve">DASH-EXEC-01</x:t>
        </x:is>
      </x:c>
      <x:c r="B10" s="6" t="inlineStr">
        <x:is>
          <x:t xml:space="preserve">**Tier 1**</x:t>
        </x:is>
      </x:c>
      <x:c r="C10" s="6" t="inlineStr">
        <x:is>
          <x:t xml:space="preserve">منطقه D</x:t>
        </x:is>
      </x:c>
      <x:c r="D10" s="6" t="inlineStr">
        <x:is>
          <x:t xml:space="preserve">پایین صفحه - ماتریس سلامت مشتری و کانال‌ها</x:t>
        </x:is>
      </x:c>
      <x:c r="E10" s="6" t="inlineStr">
        <x:is>
          <x:t xml:space="preserve">جدول خلاصه روند کوهورت ارزش طول عمر مشتریان (LTV Progression) و نسبت LTV به CAC در کانال‌های اصلی.</x:t>
        </x:is>
      </x:c>
      <x:c r="F10" s="6" t="inlineStr">
        <x:is>
          <x:t xml:space="preserve">KPI-01؛ KPI-04؛ KPI-05؛ KPI-06؛ KPI-07؛ KPI-08؛ KPI-09؛ KPI-28؛ KPI-80</x:t>
        </x:is>
      </x:c>
      <x:c r="G10" s="6" t="inlineStr">
        <x:is>
          <x:t xml:space="preserve">KPI-01→KPI-34؛ KPI-04→KPI-45؛ KPI-05→—؛ KPI-06→KPI-57؛ KPI-07→KPI-20؛ KPI-08→KPI-57/KPI-20؛ KPI-09→KPI-52؛ KPI-28→KPI-53؛ KPI-80→KPI-34</x:t>
        </x:is>
      </x:c>
      <x:c r="H10" s="6" t="inlineStr">
        <x:is>
          <x:t xml:space="preserve">REP-01 → REP-02؛ REP-06 → REP-33؛ REP-21 → REP-21؛ REP-33 → REP-01</x:t>
        </x:is>
      </x:c>
      <x:c r="I10" s="6" t="inlineStr">
        <x:is>
          <x:t xml:space="preserve">روزانه (ساعت ۰۶:۰۰ صبح) با تلورانس تاخیر حداکثر ۴ ساعت.</x:t>
        </x:is>
      </x:c>
      <x:c r="J10" s="6" t="inlineStr">
        <x:is>
          <x:t xml:space="preserve">مدیرعامل (CEO)، هیئت‌مدیره، سرمایه‌گذاران</x:t>
        </x:is>
      </x:c>
      <x:c r="M10" s="30" t="str">
        <x:v>DASH-EXEC-01</x:v>
      </x:c>
      <x:c r="N10" s="30" t="str">
        <x:v>W5</x:v>
      </x:c>
      <x:c r="O10" s="30" t="str">
        <x:v>BI Lead</x:v>
      </x:c>
      <x:c r="P10" s="30" t="str">
        <x:v>Proposed</x:v>
      </x:c>
      <x:c r="Q10" s="30" t="str">
        <x:v>نیازمند تکمیل و تأیید مالک</x:v>
      </x:c>
      <x:c r="R10" s="30" t="str">
        <x:v>نیازمند تکمیل و تأیید مالک</x:v>
      </x:c>
      <x:c r="S10" s="30" t="str">
        <x:v>نیازمند تکمیل و تأیید مالک</x:v>
      </x:c>
      <x:c r="T10" s="30" t="str">
        <x:v>نیازمند تکمیل و تأیید مالک</x:v>
      </x:c>
    </x:row>
    <x:row r="11">
      <x:c r="A11" s="4" t="inlineStr">
        <x:is>
          <x:t xml:space="preserve">DASH-CMO-02</x:t>
        </x:is>
      </x:c>
      <x:c r="B11" s="4" t="inlineStr">
        <x:is>
          <x:t xml:space="preserve">**Tier 2**</x:t>
        </x:is>
      </x:c>
      <x:c r="C11" s="4" t="inlineStr">
        <x:is>
          <x:t xml:space="preserve">منطقه A</x:t>
        </x:is>
      </x:c>
      <x:c r="D11" s="4" t="inlineStr">
        <x:is>
          <x:t xml:space="preserve">ردیف اول - کنترل بودجه و سرعت مصرف</x:t>
        </x:is>
      </x:c>
      <x:c r="E11" s="4" t="inlineStr">
        <x:is>
          <x:t xml:space="preserve">۳ گیج بار (Gauge Charts) نمایش‌دهنده درصد مصرف بودجه ماهانه (Budget Pacing)، انحراف هزینه تا پایان ماه، و شاخص کل POAS و ROAS ترکیبی.</x:t>
        </x:is>
      </x:c>
      <x:c r="F11" s="4" t="inlineStr">
        <x:is>
          <x:t xml:space="preserve">KPI-02؛ KPI-03؛ KPI-10؛ KPI-11؛ KPI-12؛ KPI-13؛ KPI-14؛ KPI-29؛ KPI-31؛ KPI-67؛ KPI-77</x:t>
        </x:is>
      </x:c>
      <x:c r="G11" s="4" t="inlineStr">
        <x:is>
          <x:t xml:space="preserve">KPI-02→KPI-40؛ KPI-03→KPI-47؛ KPI-10→KPI-16؛ KPI-11→KPI-19؛ KPI-12→KPI-28؛ KPI-13→KPI-29؛ KPI-14→KPI-32؛ KPI-29→KPI-32؛ KPI-31→KPI-20؛ KPI-67→KPI-63؛ KPI-77→KPI-58</x:t>
        </x:is>
      </x:c>
      <x:c r="H11" s="4" t="inlineStr">
        <x:is>
          <x:t xml:space="preserve">REP-02 → REP-30؛ REP-04 → REP-16؛ REP-09 → REP-04؛ REP-17 → REP-15؛ REP-34 → REP-32</x:t>
        </x:is>
      </x:c>
      <x:c r="I11" s="4" t="inlineStr">
        <x:is>
          <x:t xml:space="preserve">هر ۴ ساعت یک‌بار، با همگام‌سازی کامل شبانه در ساعت ۰۲:۰۰ بامداد.</x:t>
        </x:is>
      </x:c>
      <x:c r="J11" s="4" t="inlineStr">
        <x:is>
          <x:t xml:space="preserve">مدیر ارشد بازاریابی (CMO)، مدیر رشد</x:t>
        </x:is>
      </x:c>
      <x:c r="M11" s="30" t="str">
        <x:v>DASH-CMO-02</x:v>
      </x:c>
      <x:c r="N11" s="30" t="str">
        <x:v>W5</x:v>
      </x:c>
      <x:c r="O11" s="30" t="str">
        <x:v>BI Lead</x:v>
      </x:c>
      <x:c r="P11" s="30" t="str">
        <x:v>Proposed</x:v>
      </x:c>
      <x:c r="Q11" s="30" t="str">
        <x:v>نیازمند تکمیل و تأیید مالک</x:v>
      </x:c>
      <x:c r="R11" s="30" t="str">
        <x:v>نیازمند تکمیل و تأیید مالک</x:v>
      </x:c>
      <x:c r="S11" s="30" t="str">
        <x:v>نیازمند تکمیل و تأیید مالک</x:v>
      </x:c>
      <x:c r="T11" s="30" t="str">
        <x:v>نیازمند تکمیل و تأیید مالک</x:v>
      </x:c>
    </x:row>
    <x:row r="12">
      <x:c r="A12" s="6" t="inlineStr">
        <x:is>
          <x:t xml:space="preserve">DASH-CMO-02</x:t>
        </x:is>
      </x:c>
      <x:c r="B12" s="6" t="inlineStr">
        <x:is>
          <x:t xml:space="preserve">**Tier 2**</x:t>
        </x:is>
      </x:c>
      <x:c r="C12" s="6" t="inlineStr">
        <x:is>
          <x:t xml:space="preserve">منطقه B</x:t>
        </x:is>
      </x:c>
      <x:c r="D12" s="6" t="inlineStr">
        <x:is>
          <x:t xml:space="preserve">ردیف دوم - ماتریس مقایسه‌ای کانال‌ها</x:t>
        </x:is>
      </x:c>
      <x:c r="E12" s="6" t="inlineStr">
        <x:is>
          <x:t xml:space="preserve">جدول چندبعدی عملکرد کانال‌ها (Channel Scorecard) شامل فیلدهای هزینه، تعداد لید ورودی، لید واجد شرایط (MQL)، معاملات نهایی، درآمد منسوب (MTA) و حاشیه سود.</x:t>
        </x:is>
      </x:c>
      <x:c r="F12" s="6" t="inlineStr">
        <x:is>
          <x:t xml:space="preserve">KPI-02؛ KPI-03؛ KPI-10؛ KPI-11؛ KPI-12؛ KPI-13؛ KPI-14؛ KPI-29؛ KPI-31؛ KPI-67؛ KPI-77</x:t>
        </x:is>
      </x:c>
      <x:c r="G12" s="6" t="inlineStr">
        <x:is>
          <x:t xml:space="preserve">KPI-02→KPI-40؛ KPI-03→KPI-47؛ KPI-10→KPI-16؛ KPI-11→KPI-19؛ KPI-12→KPI-28؛ KPI-13→KPI-29؛ KPI-14→KPI-32؛ KPI-29→KPI-32؛ KPI-31→KPI-20؛ KPI-67→KPI-63؛ KPI-77→KPI-58</x:t>
        </x:is>
      </x:c>
      <x:c r="H12" s="6" t="inlineStr">
        <x:is>
          <x:t xml:space="preserve">REP-02 → REP-30؛ REP-04 → REP-16؛ REP-09 → REP-04؛ REP-17 → REP-15؛ REP-34 → REP-32</x:t>
        </x:is>
      </x:c>
      <x:c r="I12" s="6" t="inlineStr">
        <x:is>
          <x:t xml:space="preserve">هر ۴ ساعت یک‌بار، با همگام‌سازی کامل شبانه در ساعت ۰۲:۰۰ بامداد.</x:t>
        </x:is>
      </x:c>
      <x:c r="J12" s="6" t="inlineStr">
        <x:is>
          <x:t xml:space="preserve">مدیر ارشد بازاریابی (CMO)، مدیر رشد</x:t>
        </x:is>
      </x:c>
      <x:c r="M12" s="30" t="str">
        <x:v>DASH-CMO-02</x:v>
      </x:c>
      <x:c r="N12" s="30" t="str">
        <x:v>W5</x:v>
      </x:c>
      <x:c r="O12" s="30" t="str">
        <x:v>BI Lead</x:v>
      </x:c>
      <x:c r="P12" s="30" t="str">
        <x:v>Proposed</x:v>
      </x:c>
      <x:c r="Q12" s="30" t="str">
        <x:v>نیازمند تکمیل و تأیید مالک</x:v>
      </x:c>
      <x:c r="R12" s="30" t="str">
        <x:v>نیازمند تکمیل و تأیید مالک</x:v>
      </x:c>
      <x:c r="S12" s="30" t="str">
        <x:v>نیازمند تکمیل و تأیید مالک</x:v>
      </x:c>
      <x:c r="T12" s="30" t="str">
        <x:v>نیازمند تکمیل و تأیید مالک</x:v>
      </x:c>
    </x:row>
    <x:row r="13">
      <x:c r="A13" s="4" t="inlineStr">
        <x:is>
          <x:t xml:space="preserve">DASH-CMO-02</x:t>
        </x:is>
      </x:c>
      <x:c r="B13" s="4" t="inlineStr">
        <x:is>
          <x:t xml:space="preserve">**Tier 2**</x:t>
        </x:is>
      </x:c>
      <x:c r="C13" s="4" t="inlineStr">
        <x:is>
          <x:t xml:space="preserve">منطقه C</x:t>
        </x:is>
      </x:c>
      <x:c r="D13" s="4" t="inlineStr">
        <x:is>
          <x:t xml:space="preserve">ردیف سوم - پایپ‌لاین فروش تجهیزات</x:t>
        </x:is>
      </x:c>
      <x:c r="E13" s="4" t="inlineStr">
        <x:is>
          <x:t xml:space="preserve">نمودار قیفی (Funnel Chart) نمایش ریزش در مراحل: بازدید لندینگ -&gt; ثبت لید -&gt; تایید نظام پزشکی (MQL) -&gt; جلسه دمو/مشاوره (SQL) -&gt; صدور پیش‌فاکتور -&gt; بسته‌شدن فاکتور فروش.</x:t>
        </x:is>
      </x:c>
      <x:c r="F13" s="4" t="inlineStr">
        <x:is>
          <x:t xml:space="preserve">KPI-02؛ KPI-03؛ KPI-10؛ KPI-11؛ KPI-12؛ KPI-13؛ KPI-14؛ KPI-29؛ KPI-31؛ KPI-67؛ KPI-77</x:t>
        </x:is>
      </x:c>
      <x:c r="G13" s="4" t="inlineStr">
        <x:is>
          <x:t xml:space="preserve">KPI-02→KPI-40؛ KPI-03→KPI-47؛ KPI-10→KPI-16؛ KPI-11→KPI-19؛ KPI-12→KPI-28؛ KPI-13→KPI-29؛ KPI-14→KPI-32؛ KPI-29→KPI-32؛ KPI-31→KPI-20؛ KPI-67→KPI-63؛ KPI-77→KPI-58</x:t>
        </x:is>
      </x:c>
      <x:c r="H13" s="4" t="inlineStr">
        <x:is>
          <x:t xml:space="preserve">REP-02 → REP-30؛ REP-04 → REP-16؛ REP-09 → REP-04؛ REP-17 → REP-15؛ REP-34 → REP-32</x:t>
        </x:is>
      </x:c>
      <x:c r="I13" s="4" t="inlineStr">
        <x:is>
          <x:t xml:space="preserve">هر ۴ ساعت یک‌بار، با همگام‌سازی کامل شبانه در ساعت ۰۲:۰۰ بامداد.</x:t>
        </x:is>
      </x:c>
      <x:c r="J13" s="4" t="inlineStr">
        <x:is>
          <x:t xml:space="preserve">مدیر ارشد بازاریابی (CMO)، مدیر رشد</x:t>
        </x:is>
      </x:c>
      <x:c r="M13" s="30" t="str">
        <x:v>DASH-CMO-02</x:v>
      </x:c>
      <x:c r="N13" s="30" t="str">
        <x:v>W5</x:v>
      </x:c>
      <x:c r="O13" s="30" t="str">
        <x:v>BI Lead</x:v>
      </x:c>
      <x:c r="P13" s="30" t="str">
        <x:v>Proposed</x:v>
      </x:c>
      <x:c r="Q13" s="30" t="str">
        <x:v>نیازمند تکمیل و تأیید مالک</x:v>
      </x:c>
      <x:c r="R13" s="30" t="str">
        <x:v>نیازمند تکمیل و تأیید مالک</x:v>
      </x:c>
      <x:c r="S13" s="30" t="str">
        <x:v>نیازمند تکمیل و تأیید مالک</x:v>
      </x:c>
      <x:c r="T13" s="30" t="str">
        <x:v>نیازمند تکمیل و تأیید مالک</x:v>
      </x:c>
    </x:row>
    <x:row r="14">
      <x:c r="A14" s="6" t="inlineStr">
        <x:is>
          <x:t xml:space="preserve">DASH-CMO-02</x:t>
        </x:is>
      </x:c>
      <x:c r="B14" s="6" t="inlineStr">
        <x:is>
          <x:t xml:space="preserve">**Tier 2**</x:t>
        </x:is>
      </x:c>
      <x:c r="C14" s="6" t="inlineStr">
        <x:is>
          <x:t xml:space="preserve">منطقه D</x:t>
        </x:is>
      </x:c>
      <x:c r="D14" s="6" t="inlineStr">
        <x:is>
          <x:t xml:space="preserve">ردیف چهارم - سهم نمایش و رقابت</x:t>
        </x:is>
      </x:c>
      <x:c r="E14" s="6" t="inlineStr">
        <x:is>
          <x:t xml:space="preserve">نمودار راداری و نواری سهم بازار کلیدواژه‌های تجهیزات (Impression Share) و نرخ برنده شدن در مزایده‌های ادز.</x:t>
        </x:is>
      </x:c>
      <x:c r="F14" s="6" t="inlineStr">
        <x:is>
          <x:t xml:space="preserve">KPI-02؛ KPI-03؛ KPI-10؛ KPI-11؛ KPI-12؛ KPI-13؛ KPI-14؛ KPI-29؛ KPI-31؛ KPI-67؛ KPI-77</x:t>
        </x:is>
      </x:c>
      <x:c r="G14" s="6" t="inlineStr">
        <x:is>
          <x:t xml:space="preserve">KPI-02→KPI-40؛ KPI-03→KPI-47؛ KPI-10→KPI-16؛ KPI-11→KPI-19؛ KPI-12→KPI-28؛ KPI-13→KPI-29؛ KPI-14→KPI-32؛ KPI-29→KPI-32؛ KPI-31→KPI-20؛ KPI-67→KPI-63؛ KPI-77→KPI-58</x:t>
        </x:is>
      </x:c>
      <x:c r="H14" s="6" t="inlineStr">
        <x:is>
          <x:t xml:space="preserve">REP-02 → REP-30؛ REP-04 → REP-16؛ REP-09 → REP-04؛ REP-17 → REP-15؛ REP-34 → REP-32</x:t>
        </x:is>
      </x:c>
      <x:c r="I14" s="6" t="inlineStr">
        <x:is>
          <x:t xml:space="preserve">هر ۴ ساعت یک‌بار، با همگام‌سازی کامل شبانه در ساعت ۰۲:۰۰ بامداد.</x:t>
        </x:is>
      </x:c>
      <x:c r="J14" s="6" t="inlineStr">
        <x:is>
          <x:t xml:space="preserve">مدیر ارشد بازاریابی (CMO)، مدیر رشد</x:t>
        </x:is>
      </x:c>
      <x:c r="M14" s="30" t="str">
        <x:v>DASH-CMO-02</x:v>
      </x:c>
      <x:c r="N14" s="30" t="str">
        <x:v>W5</x:v>
      </x:c>
      <x:c r="O14" s="30" t="str">
        <x:v>BI Lead</x:v>
      </x:c>
      <x:c r="P14" s="30" t="str">
        <x:v>Proposed</x:v>
      </x:c>
      <x:c r="Q14" s="30" t="str">
        <x:v>نیازمند تکمیل و تأیید مالک</x:v>
      </x:c>
      <x:c r="R14" s="30" t="str">
        <x:v>نیازمند تکمیل و تأیید مالک</x:v>
      </x:c>
      <x:c r="S14" s="30" t="str">
        <x:v>نیازمند تکمیل و تأیید مالک</x:v>
      </x:c>
      <x:c r="T14" s="30" t="str">
        <x:v>نیازمند تکمیل و تأیید مالک</x:v>
      </x:c>
    </x:row>
    <x:row r="15">
      <x:c r="A15" s="4" t="inlineStr">
        <x:is>
          <x:t xml:space="preserve">DASH-PERF-03</x:t>
        </x:is>
      </x:c>
      <x:c r="B15" s="4" t="inlineStr">
        <x:is>
          <x:t xml:space="preserve">**Tier 3**</x:t>
        </x:is>
      </x:c>
      <x:c r="C15" s="4" t="inlineStr">
        <x:is>
          <x:t xml:space="preserve">منطقه A</x:t>
        </x:is>
      </x:c>
      <x:c r="D15" s="4" t="inlineStr">
        <x:is>
          <x:t xml:space="preserve">ردیف اول - وضعیت اضطراری و آلارم‌ها</x:t>
        </x:is>
      </x:c>
      <x:c r="E15" s="4" t="inlineStr">
        <x:is>
          <x:t xml:space="preserve">بنرهای اعلان وضعیت قرمز/زرد (Active Alert Tickers) نمایش‌دهنده نقایص افت شدید نرخ تبدیل، ادست‌های بدون هزینه یا خطاهای وب‌سرویس درگاه.</x:t>
        </x:is>
      </x:c>
      <x:c r="F15" s="4" t="inlineStr">
        <x:is>
          <x:t xml:space="preserve">KPI-15؛ KPI-17؛ KPI-18؛ KPI-19؛ KPI-20؛ KPI-24؛ KPI-25؛ KPI-26؛ KPI-45؛ KPI-46</x:t>
        </x:is>
      </x:c>
      <x:c r="G15" s="4" t="inlineStr">
        <x:is>
          <x:t xml:space="preserve">KPI-15→KPI-35؛ KPI-17→KPI-06؛ KPI-18→KPI-08؛ KPI-19→KPI-31؛ KPI-20→KPI-25؛ KPI-24→KPI-60؛ KPI-25→KPI-61؛ KPI-26→KPI-62؛ KPI-45→KPI-65؛ KPI-46→KPI-21</x:t>
        </x:is>
      </x:c>
      <x:c r="H15" s="4" t="inlineStr">
        <x:is>
          <x:t xml:space="preserve">REP-08 → REP-08؛ REP-10 → REP-36؛ REP-13 → REP-04؛ REP-14 → REP-35؛ REP-16 → REP-36</x:t>
        </x:is>
      </x:c>
      <x:c r="I15" s="4" t="inlineStr">
        <x:is>
          <x:t xml:space="preserve">تقریباً بلادرنگ (Near Real-Time — هر ۱۵ دقیقه یک‌بار برای هزینه‌ها و تبدیل‌ها).</x:t>
        </x:is>
      </x:c>
      <x:c r="J15" s="4" t="inlineStr">
        <x:is>
          <x:t xml:space="preserve">کارشناسان پرفورمنس مارکتینگ، مدیا بایینگ</x:t>
        </x:is>
      </x:c>
      <x:c r="M15" s="30" t="str">
        <x:v>DASH-PERF-03</x:v>
      </x:c>
      <x:c r="N15" s="30" t="str">
        <x:v>W5</x:v>
      </x:c>
      <x:c r="O15" s="30" t="str">
        <x:v>BI Lead</x:v>
      </x:c>
      <x:c r="P15" s="30" t="str">
        <x:v>Proposed</x:v>
      </x:c>
      <x:c r="Q15" s="30" t="str">
        <x:v>نیازمند تکمیل و تأیید مالک</x:v>
      </x:c>
      <x:c r="R15" s="30" t="str">
        <x:v>نیازمند تکمیل و تأیید مالک</x:v>
      </x:c>
      <x:c r="S15" s="30" t="str">
        <x:v>نیازمند تکمیل و تأیید مالک</x:v>
      </x:c>
      <x:c r="T15" s="30" t="str">
        <x:v>نیازمند تکمیل و تأیید مالک</x:v>
      </x:c>
    </x:row>
    <x:row r="16">
      <x:c r="A16" s="6" t="inlineStr">
        <x:is>
          <x:t xml:space="preserve">DASH-PERF-03</x:t>
        </x:is>
      </x:c>
      <x:c r="B16" s="6" t="inlineStr">
        <x:is>
          <x:t xml:space="preserve">**Tier 3**</x:t>
        </x:is>
      </x:c>
      <x:c r="C16" s="6" t="inlineStr">
        <x:is>
          <x:t xml:space="preserve">منطقه B</x:t>
        </x:is>
      </x:c>
      <x:c r="D16" s="6" t="inlineStr">
        <x:is>
          <x:t xml:space="preserve">ردیف دوم - ماتریس عملکرد آگهی‌ها در سطح خرد</x:t>
        </x:is>
      </x:c>
      <x:c r="E16" s="6" t="inlineStr">
        <x:is>
          <x:t xml:space="preserve">جدول تعاملی (Drill-down Data Grid) شامل ستون‌های: پلتفرم، نام کمپین، نام ادست، شناسه کریتیو، ایمپرشن، CTR، CPC، نرخ پرش (Bounce Rate)، خریدهای ثبت‌شده، هزینه، ROAS و حاشیه سود لحظه‌ای.</x:t>
        </x:is>
      </x:c>
      <x:c r="F16" s="6" t="inlineStr">
        <x:is>
          <x:t xml:space="preserve">KPI-15؛ KPI-17؛ KPI-18؛ KPI-19؛ KPI-20؛ KPI-24؛ KPI-25؛ KPI-26؛ KPI-45؛ KPI-46</x:t>
        </x:is>
      </x:c>
      <x:c r="G16" s="6" t="inlineStr">
        <x:is>
          <x:t xml:space="preserve">KPI-15→KPI-35؛ KPI-17→KPI-06؛ KPI-18→KPI-08؛ KPI-19→KPI-31؛ KPI-20→KPI-25؛ KPI-24→KPI-60؛ KPI-25→KPI-61؛ KPI-26→KPI-62؛ KPI-45→KPI-65؛ KPI-46→KPI-21</x:t>
        </x:is>
      </x:c>
      <x:c r="H16" s="6" t="inlineStr">
        <x:is>
          <x:t xml:space="preserve">REP-08 → REP-08؛ REP-10 → REP-36؛ REP-13 → REP-04؛ REP-14 → REP-35؛ REP-16 → REP-36</x:t>
        </x:is>
      </x:c>
      <x:c r="I16" s="6" t="inlineStr">
        <x:is>
          <x:t xml:space="preserve">تقریباً بلادرنگ (Near Real-Time — هر ۱۵ دقیقه یک‌بار برای هزینه‌ها و تبدیل‌ها).</x:t>
        </x:is>
      </x:c>
      <x:c r="J16" s="6" t="inlineStr">
        <x:is>
          <x:t xml:space="preserve">کارشناسان پرفورمنس مارکتینگ، مدیا بایینگ</x:t>
        </x:is>
      </x:c>
      <x:c r="M16" s="30" t="str">
        <x:v>DASH-PERF-03</x:v>
      </x:c>
      <x:c r="N16" s="30" t="str">
        <x:v>W5</x:v>
      </x:c>
      <x:c r="O16" s="30" t="str">
        <x:v>BI Lead</x:v>
      </x:c>
      <x:c r="P16" s="30" t="str">
        <x:v>Proposed</x:v>
      </x:c>
      <x:c r="Q16" s="30" t="str">
        <x:v>نیازمند تکمیل و تأیید مالک</x:v>
      </x:c>
      <x:c r="R16" s="30" t="str">
        <x:v>نیازمند تکمیل و تأیید مالک</x:v>
      </x:c>
      <x:c r="S16" s="30" t="str">
        <x:v>نیازمند تکمیل و تأیید مالک</x:v>
      </x:c>
      <x:c r="T16" s="30" t="str">
        <x:v>نیازمند تکمیل و تأیید مالک</x:v>
      </x:c>
    </x:row>
    <x:row r="17">
      <x:c r="A17" s="4" t="inlineStr">
        <x:is>
          <x:t xml:space="preserve">DASH-PERF-03</x:t>
        </x:is>
      </x:c>
      <x:c r="B17" s="4" t="inlineStr">
        <x:is>
          <x:t xml:space="preserve">**Tier 3**</x:t>
        </x:is>
      </x:c>
      <x:c r="C17" s="4" t="inlineStr">
        <x:is>
          <x:t xml:space="preserve">منطقه C</x:t>
        </x:is>
      </x:c>
      <x:c r="D17" s="4" t="inlineStr">
        <x:is>
          <x:t xml:space="preserve">ردیف سوم - عملکرد محتواهای تبلیغاتی و فرسایش خلاقه</x:t>
        </x:is>
      </x:c>
      <x:c r="E17" s="4" t="inlineStr">
        <x:is>
          <x:t xml:space="preserve">جدول تصویری کریتیوها شامل پیش‌نمایش تصویر/ویدیو، تاریخ راه‌اندازی، نرخ قلاب ۳ ثانیه‌ای (Hook Rate)، نرخ نگه‌داشت مخاطب (Hold Rate) و نمره کیفیت محتوا.</x:t>
        </x:is>
      </x:c>
      <x:c r="F17" s="4" t="inlineStr">
        <x:is>
          <x:t xml:space="preserve">KPI-15؛ KPI-17؛ KPI-18؛ KPI-19؛ KPI-20؛ KPI-24؛ KPI-25؛ KPI-26؛ KPI-45؛ KPI-46</x:t>
        </x:is>
      </x:c>
      <x:c r="G17" s="4" t="inlineStr">
        <x:is>
          <x:t xml:space="preserve">KPI-15→KPI-35؛ KPI-17→KPI-06؛ KPI-18→KPI-08؛ KPI-19→KPI-31؛ KPI-20→KPI-25؛ KPI-24→KPI-60؛ KPI-25→KPI-61؛ KPI-26→KPI-62؛ KPI-45→KPI-65؛ KPI-46→KPI-21</x:t>
        </x:is>
      </x:c>
      <x:c r="H17" s="4" t="inlineStr">
        <x:is>
          <x:t xml:space="preserve">REP-08 → REP-08؛ REP-10 → REP-36؛ REP-13 → REP-04؛ REP-14 → REP-35؛ REP-16 → REP-36</x:t>
        </x:is>
      </x:c>
      <x:c r="I17" s="4" t="inlineStr">
        <x:is>
          <x:t xml:space="preserve">تقریباً بلادرنگ (Near Real-Time — هر ۱۵ دقیقه یک‌بار برای هزینه‌ها و تبدیل‌ها).</x:t>
        </x:is>
      </x:c>
      <x:c r="J17" s="4" t="inlineStr">
        <x:is>
          <x:t xml:space="preserve">کارشناسان پرفورمنس مارکتینگ، مدیا بایینگ</x:t>
        </x:is>
      </x:c>
      <x:c r="M17" s="30" t="str">
        <x:v>DASH-PERF-03</x:v>
      </x:c>
      <x:c r="N17" s="30" t="str">
        <x:v>W5</x:v>
      </x:c>
      <x:c r="O17" s="30" t="str">
        <x:v>BI Lead</x:v>
      </x:c>
      <x:c r="P17" s="30" t="str">
        <x:v>Proposed</x:v>
      </x:c>
      <x:c r="Q17" s="30" t="str">
        <x:v>نیازمند تکمیل و تأیید مالک</x:v>
      </x:c>
      <x:c r="R17" s="30" t="str">
        <x:v>نیازمند تکمیل و تأیید مالک</x:v>
      </x:c>
      <x:c r="S17" s="30" t="str">
        <x:v>نیازمند تکمیل و تأیید مالک</x:v>
      </x:c>
      <x:c r="T17" s="30" t="str">
        <x:v>نیازمند تکمیل و تأیید مالک</x:v>
      </x:c>
    </x:row>
    <x:row r="18">
      <x:c r="A18" s="6" t="inlineStr">
        <x:is>
          <x:t xml:space="preserve">DASH-PERF-03</x:t>
        </x:is>
      </x:c>
      <x:c r="B18" s="6" t="inlineStr">
        <x:is>
          <x:t xml:space="preserve">**Tier 3**</x:t>
        </x:is>
      </x:c>
      <x:c r="C18" s="6" t="inlineStr">
        <x:is>
          <x:t xml:space="preserve">منطقه D</x:t>
        </x:is>
      </x:c>
      <x:c r="D18" s="6" t="inlineStr">
        <x:is>
          <x:t xml:space="preserve">ردیف چهارم - پایش سلامت فنی و ردیابی CAPI</x:t>
        </x:is>
      </x:c>
      <x:c r="E18" s="6" t="inlineStr">
        <x:is>
          <x:t xml:space="preserve">نمودار خطی مقایسه رخدادهای ثبت‌شده فرانت‌اند با رخدادهای دریافتی در سرور (Match Quality Score) و زمان لودینگ لندینگ‌پیج‌ها به تفکیک ثانیه.</x:t>
        </x:is>
      </x:c>
      <x:c r="F18" s="6" t="inlineStr">
        <x:is>
          <x:t xml:space="preserve">KPI-15؛ KPI-17؛ KPI-18؛ KPI-19؛ KPI-20؛ KPI-24؛ KPI-25؛ KPI-26؛ KPI-45؛ KPI-46</x:t>
        </x:is>
      </x:c>
      <x:c r="G18" s="6" t="inlineStr">
        <x:is>
          <x:t xml:space="preserve">KPI-15→KPI-35؛ KPI-17→KPI-06؛ KPI-18→KPI-08؛ KPI-19→KPI-31؛ KPI-20→KPI-25؛ KPI-24→KPI-60؛ KPI-25→KPI-61؛ KPI-26→KPI-62؛ KPI-45→KPI-65؛ KPI-46→KPI-21</x:t>
        </x:is>
      </x:c>
      <x:c r="H18" s="6" t="inlineStr">
        <x:is>
          <x:t xml:space="preserve">REP-08 → REP-08؛ REP-10 → REP-36؛ REP-13 → REP-04؛ REP-14 → REP-35؛ REP-16 → REP-36</x:t>
        </x:is>
      </x:c>
      <x:c r="I18" s="6" t="inlineStr">
        <x:is>
          <x:t xml:space="preserve">تقریباً بلادرنگ (Near Real-Time — هر ۱۵ دقیقه یک‌بار برای هزینه‌ها و تبدیل‌ها).</x:t>
        </x:is>
      </x:c>
      <x:c r="J18" s="6" t="inlineStr">
        <x:is>
          <x:t xml:space="preserve">کارشناسان پرفورمنس مارکتینگ، مدیا بایینگ</x:t>
        </x:is>
      </x:c>
      <x:c r="M18" s="30" t="str">
        <x:v>DASH-PERF-03</x:v>
      </x:c>
      <x:c r="N18" s="30" t="str">
        <x:v>W5</x:v>
      </x:c>
      <x:c r="O18" s="30" t="str">
        <x:v>BI Lead</x:v>
      </x:c>
      <x:c r="P18" s="30" t="str">
        <x:v>Proposed</x:v>
      </x:c>
      <x:c r="Q18" s="30" t="str">
        <x:v>نیازمند تکمیل و تأیید مالک</x:v>
      </x:c>
      <x:c r="R18" s="30" t="str">
        <x:v>نیازمند تکمیل و تأیید مالک</x:v>
      </x:c>
      <x:c r="S18" s="30" t="str">
        <x:v>نیازمند تکمیل و تأیید مالک</x:v>
      </x:c>
      <x:c r="T18" s="30" t="str">
        <x:v>نیازمند تکمیل و تأیید مالک</x:v>
      </x:c>
    </x:row>
  </x:sheetData>
  <x:dataValidations count="1">
    <x:dataValidation type="list" sqref="P2:P18">
      <x:formula1>"Proposed,Ready,In Progress,Implemented,Tested,Blocked"</x:formula1>
    </x:dataValidation>
  </x:dataValidations>
  <x:pageMargins left="0.7" right="0.7" top="0.75" bottom="0.75" header="0.3" footer="0.3"/>
  <x:tableParts count="3">
    <x:tablePart xmlns:r="http://schemas.openxmlformats.org/officeDocument/2006/relationships" r:id="R2ca7c939373d4f53"/>
    <x:tablePart xmlns:r="http://schemas.openxmlformats.org/officeDocument/2006/relationships" r:id="R852ac07d5af34432"/>
    <x:tablePart xmlns:r="http://schemas.openxmlformats.org/officeDocument/2006/relationships" r:id="Rd713be32354a4660"/>
  </x:tableParts>
</x:worksheet>
</file>

<file path=xl/worksheets/sheet13.xml><?xml version="1.0" encoding="utf-8"?>
<x:worksheet xmlns:x="http://schemas.openxmlformats.org/spreadsheetml/2006/main">
  <x:sheetPr>
    <x:tabColor rgb="FF1F4E78"/>
  </x:sheetPr>
  <x:sheetViews>
    <x:sheetView workbookViewId="0">
      <x:pane xSplit="2" ySplit="1" topLeftCell="C2" activePane="bottomRight" state="frozen"/>
    </x:sheetView>
  </x:sheetViews>
  <x:sheetFormatPr baseColWidth="8" defaultRowHeight="15"/>
  <x:cols>
    <x:col min="1" max="1" width="9" customWidth="1"/>
    <x:col min="2" max="2" width="34" customWidth="1"/>
    <x:col min="3" max="3" width="28" customWidth="1"/>
    <x:col min="4" max="4" width="26" customWidth="1"/>
    <x:col min="5" max="5" width="14" customWidth="1"/>
    <x:col min="6" max="6" width="24" customWidth="1"/>
    <x:col min="7" max="7" width="44" customWidth="1"/>
    <x:col min="8" max="8" width="20" customWidth="1"/>
    <x:col min="9" max="9" width="34" customWidth="1"/>
    <x:col min="10" max="10" width="34" customWidth="1"/>
    <x:col min="11" max="11" width="56" customWidth="1"/>
    <x:col min="12" max="12" width="11"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s>
  <x:sheetData>
    <x:row r="1" ht="30" customHeight="1">
      <x:c r="A1" s="5" t="inlineStr">
        <x:is>
          <x:t xml:space="preserve">Alert_ID</x:t>
        </x:is>
      </x:c>
      <x:c r="B1" s="5" t="inlineStr">
        <x:is>
          <x:t xml:space="preserve">Title_FA</x:t>
        </x:is>
      </x:c>
      <x:c r="C1" s="5" t="inlineStr">
        <x:is>
          <x:t xml:space="preserve">Title_EN</x:t>
        </x:is>
      </x:c>
      <x:c r="D1" s="5" t="inlineStr">
        <x:is>
          <x:t xml:space="preserve">Watched_Metric_Legacy</x:t>
        </x:is>
      </x:c>
      <x:c r="E1" s="5" t="inlineStr">
        <x:is>
          <x:t xml:space="preserve">Severity</x:t>
        </x:is>
      </x:c>
      <x:c r="F1" s="5" t="inlineStr">
        <x:is>
          <x:t xml:space="preserve">Detection_Mechanism</x:t>
        </x:is>
      </x:c>
      <x:c r="G1" s="5" t="inlineStr">
        <x:is>
          <x:t xml:space="preserve">Trigger_Condition_FA</x:t>
        </x:is>
      </x:c>
      <x:c r="H1" s="5" t="inlineStr">
        <x:is>
          <x:t xml:space="preserve">Check_Frequency</x:t>
        </x:is>
      </x:c>
      <x:c r="I1" s="5" t="inlineStr">
        <x:is>
          <x:t xml:space="preserve">Notification_Channels</x:t>
        </x:is>
      </x:c>
      <x:c r="J1" s="5" t="inlineStr">
        <x:is>
          <x:t xml:space="preserve">Escalation_Path_FA</x:t>
        </x:is>
      </x:c>
      <x:c r="K1" s="5" t="inlineStr">
        <x:is>
          <x:t xml:space="preserve">Remediation_Runbook_FA</x:t>
        </x:is>
      </x:c>
      <x:c r="L1" s="5" t="inlineStr">
        <x:is>
          <x:t xml:space="preserve">Status</x:t>
        </x:is>
      </x:c>
      <x:c r="M1" s="27" t="str">
        <x:v>Alert_ID_Link</x:v>
      </x:c>
      <x:c r="N1" s="27" t="str">
        <x:v>Implementation_Wave</x:v>
      </x:c>
      <x:c r="O1" s="27" t="str">
        <x:v>Owner</x:v>
      </x:c>
      <x:c r="P1" s="27" t="str">
        <x:v>Status</x:v>
      </x:c>
      <x:c r="Q1" s="27" t="str">
        <x:v>Cooldown_Period</x:v>
      </x:c>
      <x:c r="R1" s="27" t="str">
        <x:v>False_Positive_Risk</x:v>
      </x:c>
      <x:c r="S1" s="27" t="str">
        <x:v>Testing_Method</x:v>
      </x:c>
    </x:row>
    <x:row r="2">
      <x:c r="A2" s="17" t="inlineStr">
        <x:is>
          <x:t xml:space="preserve">ALT-01</x:t>
        </x:is>
      </x:c>
      <x:c r="B2" s="4" t="inlineStr">
        <x:is>
          <x:t xml:space="preserve">افت ناگهانی رخدادهای تبدیل خرید در وب‌سایت</x:t>
        </x:is>
      </x:c>
      <x:c r="C2" s="4" t="inlineStr">
        <x:is>
          <x:t xml:space="preserve">Sudden Purchase Conversion Drop</x:t>
        </x:is>
      </x:c>
      <x:c r="D2" s="4" t="inlineStr">
        <x:is>
          <x:t xml:space="preserve">KPI-19 (Conversion Rate) و تعداد رخدادهای Purchase (EVT-13)</x:t>
        </x:is>
      </x:c>
      <x:c r="E2" s="17" t="inlineStr">
        <x:is>
          <x:t xml:space="preserve">P1 - بحرانی (Critical)</x:t>
        </x:is>
      </x:c>
      <x:c r="F2" s="4" t="inlineStr">
        <x:is>
          <x:t xml:space="preserve">قاعده آماری Z-Score و مقایسه متحرک با میانگین ۷ روز گذشته در همان ساعت</x:t>
        </x:is>
      </x:c>
      <x:c r="G2" s="4" t="inlineStr">
        <x:is>
          <x:t xml:space="preserve">افت بیش از ۳۵٪ در تعداد خریدهای موفق در بازه متحرک ۳ ساعته نسبت به روز مشابه هفته قبل (با شرط وجود ترافیک عادی)</x:t>
        </x:is>
      </x:c>
      <x:c r="H2" s="4" t="inlineStr">
        <x:is>
          <x:t xml:space="preserve">ساعتی (بررسی در هر ساعت بر پایه بازه لغزان ۳ ساعته)</x:t>
        </x:is>
      </x:c>
      <x:c r="I2" s="4" t="inlineStr">
        <x:is>
          <x:t xml:space="preserve">پیامک فوری به مدیر فنی و پرفورمنس + پیام در بات تلگرام اضطراری + بنر قرمز در داشبورد عملیاتی</x:t>
        </x:is>
      </x:c>
      <x:c r="J2" s="4" t="inlineStr">
        <x:is>
          <x:t xml:space="preserve">مهندس ارشد ترکینگ و لید پرفورمنس مارکتینگ (Escalation به CTO پس از ۳۰ دقیقه)</x:t>
        </x:is>
      </x:c>
      <x:c r="K2" s="4" t="inlineStr">
        <x:is>
          <x:t xml:space="preserve">بررسی فوری دسترسی‌پذیری و سلامت درگاه‌های پرداخت اینترنتی بانکی و شاپرک.؛ تست دستی خرید آزمایشی (Test Purchase) در محیط لایو جهت احراز صحت مرحله Checkout و درگاه.؛ بررسی لاگ‌های سرور بک‌اند و خطاهای ۵۰۰ یا قطعی دیتابیس در زمان تسویه.؛ در صورت خرابی فنی درگاه، سوئیچ فوری ترافیک به درگاه پرداخت دوم (بانک پشتیبان) و مانیتورینگ بازگشت نرخ تبدیل.؛ در صورت تداوم نقص، توقف موقت کمپین‌های با ترافیک بالا تا رفع عیب.</x:t>
        </x:is>
      </x:c>
      <x:c r="L2" s="17" t="inlineStr">
        <x:is>
          <x:t xml:space="preserve">Proposed</x:t>
        </x:is>
      </x:c>
      <x:c r="M2" s="30" t="str">
        <x:v>ALT-01</x:v>
      </x:c>
      <x:c r="N2" s="30" t="str">
        <x:v>W5</x:v>
      </x:c>
      <x:c r="O2" s="30" t="str">
        <x:v>Performance Marketing Lead</x:v>
      </x:c>
      <x:c r="P2" s="30" t="str">
        <x:v>Proposed</x:v>
      </x:c>
      <x:c r="Q2" s="30" t="str">
        <x:v>60 min</x:v>
      </x:c>
      <x:c r="R2" s="30" t="str">
        <x:v>Medium</x:v>
      </x:c>
      <x:c r="S2" s="30" t="str">
        <x:v>نیازمند تکمیل و تأیید مالک</x:v>
      </x:c>
    </x:row>
    <x:row r="3">
      <x:c r="A3" s="19" t="inlineStr">
        <x:is>
          <x:t xml:space="preserve">ALT-02</x:t>
        </x:is>
      </x:c>
      <x:c r="B3" s="6" t="inlineStr">
        <x:is>
          <x:t xml:space="preserve">افت شدید کیفیت سیگنال و خطای تطابق ترکینگ CAPI</x:t>
        </x:is>
      </x:c>
      <x:c r="C3" s="6" t="inlineStr">
        <x:is>
          <x:t xml:space="preserve">Meta CAPI &amp; Server-Side Signal Quality Degradation</x:t>
        </x:is>
      </x:c>
      <x:c r="D3" s="6" t="inlineStr">
        <x:is>
          <x:t xml:space="preserve">KPI-45 (Event Match Quality Score) و نرخ خطای ترکینگ سرور</x:t>
        </x:is>
      </x:c>
      <x:c r="E3" s="19" t="inlineStr">
        <x:is>
          <x:t xml:space="preserve">P1 - بحرانی (Critical)</x:t>
        </x:is>
      </x:c>
      <x:c r="F3" s="6" t="inlineStr">
        <x:is>
          <x:t xml:space="preserve">حد آستانه استاتیک و نرخ ریزش سیگنال (Drop Rate)</x:t>
        </x:is>
      </x:c>
      <x:c r="G3" s="6" t="inlineStr">
        <x:is>
          <x:t xml:space="preserve">کاهش امتیاز تطابق رویدادهای خرید (Purchase EMQ) به کمتر از ۶.۰ از ۱۰، یا افت دریافت بیش از ۳۰ درصدی ایونت‌های سرور نسبت به کلاینت در ۲ ساعت متوالی</x:t>
        </x:is>
      </x:c>
      <x:c r="H3" s="6" t="inlineStr">
        <x:is>
          <x:t xml:space="preserve">هر ۲ ساعت یک‌بار</x:t>
        </x:is>
      </x:c>
      <x:c r="I3" s="6" t="inlineStr">
        <x:is>
          <x:t xml:space="preserve">ایمیل به تیم مهندسی داده + پیام بات تلگرام فنی</x:t>
        </x:is>
      </x:c>
      <x:c r="J3" s="6" t="inlineStr">
        <x:is>
          <x:t xml:space="preserve">مهندس زیرساخت داده و ردیابی (Escalation به CMO پس از ۴ ساعت)</x:t>
        </x:is>
      </x:c>
      <x:c r="K3" s="6" t="inlineStr">
        <x:is>
          <x:t xml:space="preserve">بازبینی کانتینر Server-Side GTM و بررسی خطاهای ۴xx یا ۵xx در کلاینت ورودی.؛ اعتبارسنجی ارسال صحیح پارامترهای پیشرفته کاربری (شماره تماس هش‌شده، ایمیل، Client ID و FBP/FBC).؛ بررسی تاریخ انقضای توکن دسترسی گراف API متا (Meta Graph Access Token) و تمدید در صورت انقضا.؛ تست ارسال رویداد از طریق محیط Test Events در پنل Meta Events Manager.</x:t>
        </x:is>
      </x:c>
      <x:c r="L3" s="19" t="inlineStr">
        <x:is>
          <x:t xml:space="preserve">Proposed</x:t>
        </x:is>
      </x:c>
      <x:c r="M3" s="30" t="str">
        <x:v>ALT-02</x:v>
      </x:c>
      <x:c r="N3" s="30" t="str">
        <x:v>W5</x:v>
      </x:c>
      <x:c r="O3" s="30" t="str">
        <x:v>Performance Marketing Lead</x:v>
      </x:c>
      <x:c r="P3" s="30" t="str">
        <x:v>Proposed</x:v>
      </x:c>
      <x:c r="Q3" s="30" t="str">
        <x:v>60 min</x:v>
      </x:c>
      <x:c r="R3" s="30" t="str">
        <x:v>Medium</x:v>
      </x:c>
      <x:c r="S3" s="30" t="str">
        <x:v>نیازمند تکمیل و تأیید مالک</x:v>
      </x:c>
    </x:row>
    <x:row r="4">
      <x:c r="A4" s="17" t="inlineStr">
        <x:is>
          <x:t xml:space="preserve">ALT-03</x:t>
        </x:is>
      </x:c>
      <x:c r="B4" s="4" t="inlineStr">
        <x:is>
          <x:t xml:space="preserve">جهش غیرعادی در سرعت مصرف بودجه و ریسک اضافه مصرف</x:t>
        </x:is>
      </x:c>
      <x:c r="C4" s="4" t="inlineStr">
        <x:is>
          <x:t xml:space="preserve">Budget Overspend Surge Alert</x:t>
        </x:is>
      </x:c>
      <x:c r="D4" s="4" t="inlineStr">
        <x:is>
          <x:t xml:space="preserve">KPI-77 (Budget Pacing Deviation) و نرخ هزینه ساعتی (Hourly Spend Velocity)</x:t>
        </x:is>
      </x:c>
      <x:c r="E4" s="17" t="inlineStr">
        <x:is>
          <x:t xml:space="preserve">P1 - بحرانی (Critical)</x:t>
        </x:is>
      </x:c>
      <x:c r="F4" s="4" t="inlineStr">
        <x:is>
          <x:t xml:space="preserve">مقایسه با سقف مجاز بودجه ساعتی مصوب (Threshold + Slope)</x:t>
        </x:is>
      </x:c>
      <x:c r="G4" s="4" t="inlineStr">
        <x:is>
          <x:t xml:space="preserve">مصرف بیش از ۶۰٪ بودجه روزانه کمپین تا پیش از ساعت ۱۱:۰۰ صبح، یا شتاب هزینه ۳ برابری نسبت به الگوی نرمال بدون افزایش متناسب تبدیل‌ها</x:t>
        </x:is>
      </x:c>
      <x:c r="H4" s="4" t="inlineStr">
        <x:is>
          <x:t xml:space="preserve">ساعتی (Hourly)</x:t>
        </x:is>
      </x:c>
      <x:c r="I4" s="4" t="inlineStr">
        <x:is>
          <x:t xml:space="preserve">پیامک اضطراری به کارشناس مدیا بایینگ + پیام بات تلگرام</x:t>
        </x:is>
      </x:c>
      <x:c r="J4" s="4" t="inlineStr">
        <x:is>
          <x:t xml:space="preserve">کارشناس مدیا بایینگ مسوول اکانت (Escalation به لید پرفورمنس پس از ۱۵ دقیقه)</x:t>
        </x:is>
      </x:c>
      <x:c r="K4" s="4" t="inlineStr">
        <x:is>
          <x:t xml:space="preserve">ورود سریع به پنل ادز و بررسی وضعیت فعال بودن مزایده‌های خودکار و سقف بودجه روزانه کمپین‌ها.؛ کنترل تغییرات اخیر در استراتژی بید (مانند خروج ناخواسته از tCPA به Maximize Clicks).؛ کاهش سریع بودجه روزانه کمپین پرمصرف یا تنظیم موقت سقف بید (Bid Cap).؛ بررسی شبکه توزیع آگهی (مانند فعال شدن ناخواسته Google Search Partners یا Display Network در کمپین سرچ).</x:t>
        </x:is>
      </x:c>
      <x:c r="L4" s="17" t="inlineStr">
        <x:is>
          <x:t xml:space="preserve">Proposed</x:t>
        </x:is>
      </x:c>
      <x:c r="M4" s="30" t="str">
        <x:v>ALT-03</x:v>
      </x:c>
      <x:c r="N4" s="30" t="str">
        <x:v>W5</x:v>
      </x:c>
      <x:c r="O4" s="30" t="str">
        <x:v>Performance Marketing Lead</x:v>
      </x:c>
      <x:c r="P4" s="30" t="str">
        <x:v>Proposed</x:v>
      </x:c>
      <x:c r="Q4" s="30" t="str">
        <x:v>60 min</x:v>
      </x:c>
      <x:c r="R4" s="30" t="str">
        <x:v>Medium</x:v>
      </x:c>
      <x:c r="S4" s="30" t="str">
        <x:v>نیازمند تکمیل و تأیید مالک</x:v>
      </x:c>
    </x:row>
    <x:row r="5">
      <x:c r="A5" s="19" t="inlineStr">
        <x:is>
          <x:t xml:space="preserve">ALT-04</x:t>
        </x:is>
      </x:c>
      <x:c r="B5" s="6" t="inlineStr">
        <x:is>
          <x:t xml:space="preserve">جهش شدید در هزینه جذب لید واجد شرایط بازاریابی</x:t>
        </x:is>
      </x:c>
      <x:c r="C5" s="6" t="inlineStr">
        <x:is>
          <x:t xml:space="preserve">Cost per MQL Surge Alert</x:t>
        </x:is>
      </x:c>
      <x:c r="D5" s="6" t="inlineStr">
        <x:is>
          <x:t xml:space="preserve">KPI-10 (Cost per MQL) و KPI-12 (Lead to MQL Rate)</x:t>
        </x:is>
      </x:c>
      <x:c r="E5" s="19" t="inlineStr">
        <x:is>
          <x:t xml:space="preserve">P2 - هشدار جدی (Warning)</x:t>
        </x:is>
      </x:c>
      <x:c r="F5" s="6" t="inlineStr">
        <x:is>
          <x:t xml:space="preserve">قاعده میانگین متحرک ۷ روزه (Rolling 7-Day Average + 2 Standard Deviations)</x:t>
        </x:is>
      </x:c>
      <x:c r="G5" s="6" t="inlineStr">
        <x:is>
          <x:t xml:space="preserve">افزایش هزینه به ازای هر MQL به میزان بیش از ۴۰٪ بالاتر از میانگین تاریخی ۷ روز گذشته در دو روز پیاپی</x:t>
        </x:is>
      </x:c>
      <x:c r="H5" s="6" t="inlineStr">
        <x:is>
          <x:t xml:space="preserve">روزانه (بررسی در ساعت ۰۸:۰۰ صبح)</x:t>
        </x:is>
      </x:c>
      <x:c r="I5" s="6" t="inlineStr">
        <x:is>
          <x:t xml:space="preserve">پیام بات تلگرام مارکتینگ + تیکت وظیفه در تسک منیجر</x:t>
        </x:is>
      </x:c>
      <x:c r="J5" s="6" t="inlineStr">
        <x:is>
          <x:t xml:space="preserve">کارشناس لیدجنریشن و سرپرست پرفورمنس</x:t>
        </x:is>
      </x:c>
      <x:c r="K5" s="6" t="inlineStr">
        <x:is>
          <x:t xml:space="preserve">بررسی کیفیت لیدهای ورودی در CRM و شناسایی فرم‌های تبلیغاتی مسبب افت کیفیت.؛ ارزیابی نرخ رد صلاحیت لیدها (Disqualification Rate) و تفکیک علل بر اساس تخصص یا بودجه کلینیک.؛ اضافه کردن فیلدهای اعتبارسنجی بیشتر در لیدفرم (مانند اجباری کردن شماره نظام پزشکی).؛ بازنگری در سگمنت‌های مخاطب و حذف گروه‌های سنی یا علایق نامرتبط در متا ادز.</x:t>
        </x:is>
      </x:c>
      <x:c r="L5" s="19" t="inlineStr">
        <x:is>
          <x:t xml:space="preserve">Proposed</x:t>
        </x:is>
      </x:c>
      <x:c r="M5" s="30" t="str">
        <x:v>ALT-04</x:v>
      </x:c>
      <x:c r="N5" s="30" t="str">
        <x:v>W5</x:v>
      </x:c>
      <x:c r="O5" s="30" t="str">
        <x:v>Performance Marketing Lead</x:v>
      </x:c>
      <x:c r="P5" s="30" t="str">
        <x:v>Proposed</x:v>
      </x:c>
      <x:c r="Q5" s="30" t="str">
        <x:v>60 min</x:v>
      </x:c>
      <x:c r="R5" s="30" t="str">
        <x:v>Medium</x:v>
      </x:c>
      <x:c r="S5" s="30" t="str">
        <x:v>نیازمند تکمیل و تأیید مالک</x:v>
      </x:c>
    </x:row>
    <x:row r="6">
      <x:c r="A6" s="17" t="inlineStr">
        <x:is>
          <x:t xml:space="preserve">ALT-05</x:t>
        </x:is>
      </x:c>
      <x:c r="B6" s="4" t="inlineStr">
        <x:is>
          <x:t xml:space="preserve">جهش در زمان بارگذاری صفحه فرود و نرخ پرش کاربران</x:t>
        </x:is>
      </x:c>
      <x:c r="C6" s="4" t="inlineStr">
        <x:is>
          <x:t xml:space="preserve">Landing Page Latency &amp; Bounce Rate Spike</x:t>
        </x:is>
      </x:c>
      <x:c r="D6" s="4" t="inlineStr">
        <x:is>
          <x:t xml:space="preserve">KPI-46 (Page Load Time) و نرخ پرش صفحه فرود</x:t>
        </x:is>
      </x:c>
      <x:c r="E6" s="17" t="inlineStr">
        <x:is>
          <x:t xml:space="preserve">P1 - بحرانی (Critical)</x:t>
        </x:is>
      </x:c>
      <x:c r="F6" s="4" t="inlineStr">
        <x:is>
          <x:t xml:space="preserve">سنسور مانیتورینگ عملکرد فنی (Synthetic Monitoring Threshold)</x:t>
        </x:is>
      </x:c>
      <x:c r="G6" s="4" t="inlineStr">
        <x:is>
          <x:t xml:space="preserve">افزایش میانگین زمان بارگذاری لندینگ‌پیج‌های پرهزینه به بیش از ۴.۵ ثانیه از داخل شبکه اینترنت ایران، یا افزایش نرخ پرش به بالای ۶۵٪</x:t>
        </x:is>
      </x:c>
      <x:c r="H6" s="4" t="inlineStr">
        <x:is>
          <x:t xml:space="preserve">هر ۳۰ دقیقه یک‌بار</x:t>
        </x:is>
      </x:c>
      <x:c r="I6" s="4" t="inlineStr">
        <x:is>
          <x:t xml:space="preserve">پیامک فوری به تیم DevOps و مهندس زیرساخت + پیام تلگرام</x:t>
        </x:is>
      </x:c>
      <x:c r="J6" s="4" t="inlineStr">
        <x:is>
          <x:t xml:space="preserve">مهندس زیرساخت فنی وب‌سایت تیتانا (Escalation به CTO)</x:t>
        </x:is>
      </x:c>
      <x:c r="K6" s="4" t="inlineStr">
        <x:is>
          <x:t xml:space="preserve">بررسی وضعیت شبکه CDN و توزیع کش سرورهای لبه در ایران.؛ کنترل بار روی پایگاه داده و مصرف CPU/RAM وب‌سرور لندینگ‌ها.؛ بهینه‌سازی و فشرده‌سازی بنرها و فایل‌های سنگین تازه بارگذاری‌شده روی صفحه.؛ اجرای تست لایو GTmetrix و PageSpeed جهت شناسایی قطعی اسکریپت‌های ثالث مسدودکننده (Render-blocking).</x:t>
        </x:is>
      </x:c>
      <x:c r="L6" s="17" t="inlineStr">
        <x:is>
          <x:t xml:space="preserve">Proposed</x:t>
        </x:is>
      </x:c>
      <x:c r="M6" s="30" t="str">
        <x:v>ALT-05</x:v>
      </x:c>
      <x:c r="N6" s="30" t="str">
        <x:v>W5</x:v>
      </x:c>
      <x:c r="O6" s="30" t="str">
        <x:v>Performance Marketing Lead</x:v>
      </x:c>
      <x:c r="P6" s="30" t="str">
        <x:v>Proposed</x:v>
      </x:c>
      <x:c r="Q6" s="30" t="str">
        <x:v>60 min</x:v>
      </x:c>
      <x:c r="R6" s="30" t="str">
        <x:v>Medium</x:v>
      </x:c>
      <x:c r="S6" s="30" t="str">
        <x:v>نیازمند تکمیل و تأیید مالک</x:v>
      </x:c>
    </x:row>
    <x:row r="7">
      <x:c r="A7" s="19" t="inlineStr">
        <x:is>
          <x:t xml:space="preserve">ALT-06</x:t>
        </x:is>
      </x:c>
      <x:c r="B7" s="6" t="inlineStr">
        <x:is>
          <x:t xml:space="preserve">جهش ناگهانی هزینه به ازای هر کلیک در کمپین‌های سرچ</x:t>
        </x:is>
      </x:c>
      <x:c r="C7" s="6" t="inlineStr">
        <x:is>
          <x:t xml:space="preserve">CPC Surge in Search Campaigns</x:t>
        </x:is>
      </x:c>
      <x:c r="D7" s="6" t="inlineStr">
        <x:is>
          <x:t xml:space="preserve">KPI-18 (Cost per Click - CPC)</x:t>
        </x:is>
      </x:c>
      <x:c r="E7" s="19" t="inlineStr">
        <x:is>
          <x:t xml:space="preserve">P2 - هشدار جدی (Warning)</x:t>
        </x:is>
      </x:c>
      <x:c r="F7" s="6" t="inlineStr">
        <x:is>
          <x:t xml:space="preserve">انحراف آماری از میانگین هفته قبل (Percentage Delta)</x:t>
        </x:is>
      </x:c>
      <x:c r="G7" s="6" t="inlineStr">
        <x:is>
          <x:t xml:space="preserve">افزایش میانگین CPC کمپین‌های سرچ تجهیزات به میزان بیش از ۴۵٪ بالاتر از بنچ‌مارک در یک پنجره ۲۴ ساعته</x:t>
        </x:is>
      </x:c>
      <x:c r="H7" s="6" t="inlineStr">
        <x:is>
          <x:t xml:space="preserve">روزانه</x:t>
        </x:is>
      </x:c>
      <x:c r="I7" s="6" t="inlineStr">
        <x:is>
          <x:t xml:space="preserve">پیام بات تلگرام به کارشناس سرچ ادز</x:t>
        </x:is>
      </x:c>
      <x:c r="J7" s="6" t="inlineStr">
        <x:is>
          <x:t xml:space="preserve">متخصص گوگل ادز تیتانا</x:t>
        </x:is>
      </x:c>
      <x:c r="K7" s="6" t="inlineStr">
        <x:is>
          <x:t xml:space="preserve">بررسی گزارش Auction Insights در گوگل ادز جهت شناسایی ورود رقبای جدید به مزایده یا افزایش تهاجمی بید آنها.؛ کنترل نمرات کیفیت (Quality Score) کلمات کلیدی اصلی و بررسی افت احتمالی در ربط آگهی یا تجربه لندینگ.؛ تغییر استراتژی بیدینگ از Maximize Clicks به Target CPA یا افزودن سقف حداکثر CPC (Bid Limit).؛ حذف کلمات عمومی بسیار گران و تمرکز بر عبارات طولانی تخصصی (Long-tail Dental Keywords).</x:t>
        </x:is>
      </x:c>
      <x:c r="L7" s="19" t="inlineStr">
        <x:is>
          <x:t xml:space="preserve">Proposed</x:t>
        </x:is>
      </x:c>
      <x:c r="M7" s="30" t="str">
        <x:v>ALT-06</x:v>
      </x:c>
      <x:c r="N7" s="30" t="str">
        <x:v>W5</x:v>
      </x:c>
      <x:c r="O7" s="30" t="str">
        <x:v>Performance Marketing Lead</x:v>
      </x:c>
      <x:c r="P7" s="30" t="str">
        <x:v>Proposed</x:v>
      </x:c>
      <x:c r="Q7" s="30" t="str">
        <x:v>60 min</x:v>
      </x:c>
      <x:c r="R7" s="30" t="str">
        <x:v>Medium</x:v>
      </x:c>
      <x:c r="S7" s="30" t="str">
        <x:v>نیازمند تکمیل و تأیید مالک</x:v>
      </x:c>
    </x:row>
    <x:row r="8">
      <x:c r="A8" s="17" t="inlineStr">
        <x:is>
          <x:t xml:space="preserve">ALT-07</x:t>
        </x:is>
      </x:c>
      <x:c r="B8" s="4" t="inlineStr">
        <x:is>
          <x:t xml:space="preserve">فرسایش شدید محتوای تبلیغاتی و افت ماندگاری ویدیو</x:t>
        </x:is>
      </x:c>
      <x:c r="C8" s="4" t="inlineStr">
        <x:is>
          <x:t xml:space="preserve">Creative Fatigue &amp; Ad Engagement Decay Alert</x:t>
        </x:is>
      </x:c>
      <x:c r="D8" s="4" t="inlineStr">
        <x:is>
          <x:t xml:space="preserve">KPI-26 (Creative Fatigue Index) و KPI-24 (Video Hook Rate)</x:t>
        </x:is>
      </x:c>
      <x:c r="E8" s="17" t="inlineStr">
        <x:is>
          <x:t xml:space="preserve">P2 - هشدار جدی (Warning)</x:t>
        </x:is>
      </x:c>
      <x:c r="F8" s="4" t="inlineStr">
        <x:is>
          <x:t xml:space="preserve">ترکیب فرکانس نمایش و شیب منفی CTR در بازه زمانی (Slope Tracking)</x:t>
        </x:is>
      </x:c>
      <x:c r="G8" s="4" t="inlineStr">
        <x:is>
          <x:t xml:space="preserve">افزایش فرکانس نمایش یک آگهی به بالای ۴.۰ همراه با افت بیش از ۲۵٪ در نرخ CTR و هوک ۳ ثانیه‌ای طی ۵ روز متوالی</x:t>
        </x:is>
      </x:c>
      <x:c r="H8" s="4" t="inlineStr">
        <x:is>
          <x:t xml:space="preserve">هفتگی (دوشنبه‌ها)</x:t>
        </x:is>
      </x:c>
      <x:c r="I8" s="4" t="inlineStr">
        <x:is>
          <x:t xml:space="preserve">پیام در کانال کریتیو مارکتینگ + تیکت تولید محتوا</x:t>
        </x:is>
      </x:c>
      <x:c r="J8" s="4" t="inlineStr">
        <x:is>
          <x:t xml:space="preserve">تیم استراتژی محتوا و کارشناس پرفورمنس</x:t>
        </x:is>
      </x:c>
      <x:c r="K8" s="4" t="inlineStr">
        <x:is>
          <x:t xml:space="preserve">تعویض فوری هوک و ۳ ثانیه ابتدایی ویدیوی تبلیغاتی با نسخه‌های آلترناتیو.؛ گسترش مخاطبان هدف از طریق تلفیق گروه‌های مخاطب یا راه‌اندازی کمپین Broad.؛ اختصاص بودجه آگهی فرسوده‌شده به کریتیوهای نسل جدید و آزمایش مفاهیم محتوایی تازه.؛ انتقال آگهی مذکور به فاز استراحت مخاطبان به مدت دست‌کم ۲ هفته.</x:t>
        </x:is>
      </x:c>
      <x:c r="L8" s="17" t="inlineStr">
        <x:is>
          <x:t xml:space="preserve">Proposed</x:t>
        </x:is>
      </x:c>
      <x:c r="M8" s="30" t="str">
        <x:v>ALT-07</x:v>
      </x:c>
      <x:c r="N8" s="30" t="str">
        <x:v>W5</x:v>
      </x:c>
      <x:c r="O8" s="30" t="str">
        <x:v>Performance Marketing Lead</x:v>
      </x:c>
      <x:c r="P8" s="30" t="str">
        <x:v>Proposed</x:v>
      </x:c>
      <x:c r="Q8" s="30" t="str">
        <x:v>60 min</x:v>
      </x:c>
      <x:c r="R8" s="30" t="str">
        <x:v>Medium</x:v>
      </x:c>
      <x:c r="S8" s="30" t="str">
        <x:v>نیازمند تکمیل و تأیید مالک</x:v>
      </x:c>
    </x:row>
    <x:row r="9">
      <x:c r="A9" s="19" t="inlineStr">
        <x:is>
          <x:t xml:space="preserve">ALT-08</x:t>
        </x:is>
      </x:c>
      <x:c r="B9" s="6" t="inlineStr">
        <x:is>
          <x:t xml:space="preserve">سقوط سهم نمایش در کلمات کلیدی برند و رده‌های اصلی</x:t>
        </x:is>
      </x:c>
      <x:c r="C9" s="6" t="inlineStr">
        <x:is>
          <x:t xml:space="preserve">Search Impression Share Collapse Alert</x:t>
        </x:is>
      </x:c>
      <x:c r="D9" s="6" t="inlineStr">
        <x:is>
          <x:t xml:space="preserve">Search Lost IS (Budget) و Search Lost IS (Rank)</x:t>
        </x:is>
      </x:c>
      <x:c r="E9" s="19" t="inlineStr">
        <x:is>
          <x:t xml:space="preserve">P2 - هشدار جدی (Warning)</x:t>
        </x:is>
      </x:c>
      <x:c r="F9" s="6" t="inlineStr">
        <x:is>
          <x:t xml:space="preserve">حد آستانه مطلق (Absolute Threshold)</x:t>
        </x:is>
      </x:c>
      <x:c r="G9" s="6" t="inlineStr">
        <x:is>
          <x:t xml:space="preserve">افت سهم نمایش در کمپین محافظت از نام برند تیتانا (Brand Protection) به کمتر از ۸۵٪، یا افت در عبارات تجهیزات کلیدی به زیر ۵۰٪</x:t>
        </x:is>
      </x:c>
      <x:c r="H9" s="6" t="inlineStr">
        <x:is>
          <x:t xml:space="preserve">روزانه</x:t>
        </x:is>
      </x:c>
      <x:c r="I9" s="6" t="inlineStr">
        <x:is>
          <x:t xml:space="preserve">ایمیل و بات تلگرام ادز</x:t>
        </x:is>
      </x:c>
      <x:c r="J9" s="6" t="inlineStr">
        <x:is>
          <x:t xml:space="preserve">متخصص گوگل ادز</x:t>
        </x:is>
      </x:c>
      <x:c r="K9" s="6" t="inlineStr">
        <x:is>
          <x:t xml:space="preserve">بررسی گزارش Search Lost IS: اگر علت بودجه است (Lost IS Budget)، افزایش سریع بودجه روزانه.؛ اگر علت رتبه آگهی است (Lost IS Rank)، بازنگری در متن آگهی‌ها، استنکاف از کلمات نامربوط و بازبینی بید رتبه‌بندی.؛ بررسی فعالیت تبلیغاتی متجاوزانه رقبا روی کلمات کلیدی اختصاصی تیتانا و تدوین کمپین متقابل.</x:t>
        </x:is>
      </x:c>
      <x:c r="L9" s="19" t="inlineStr">
        <x:is>
          <x:t xml:space="preserve">Proposed</x:t>
        </x:is>
      </x:c>
      <x:c r="M9" s="30" t="str">
        <x:v>ALT-08</x:v>
      </x:c>
      <x:c r="N9" s="30" t="str">
        <x:v>W5</x:v>
      </x:c>
      <x:c r="O9" s="30" t="str">
        <x:v>Performance Marketing Lead</x:v>
      </x:c>
      <x:c r="P9" s="30" t="str">
        <x:v>Proposed</x:v>
      </x:c>
      <x:c r="Q9" s="30" t="str">
        <x:v>60 min</x:v>
      </x:c>
      <x:c r="R9" s="30" t="str">
        <x:v>Medium</x:v>
      </x:c>
      <x:c r="S9" s="30" t="str">
        <x:v>نیازمند تکمیل و تأیید مالک</x:v>
      </x:c>
    </x:row>
    <x:row r="10">
      <x:c r="A10" s="17" t="inlineStr">
        <x:is>
          <x:t xml:space="preserve">ALT-09</x:t>
        </x:is>
      </x:c>
      <x:c r="B10" s="4" t="inlineStr">
        <x:is>
          <x:t xml:space="preserve">جهش در نرخ رهاسازی سبد سفارش کلینیک‌ها</x:t>
        </x:is>
      </x:c>
      <x:c r="C10" s="4" t="inlineStr">
        <x:is>
          <x:t xml:space="preserve">Cart Abandonment Rate Anomaly</x:t>
        </x:is>
      </x:c>
      <x:c r="D10" s="4" t="inlineStr">
        <x:is>
          <x:t xml:space="preserve">KPI-20 (Cart Abandonment Rate)</x:t>
        </x:is>
      </x:c>
      <x:c r="E10" s="17" t="inlineStr">
        <x:is>
          <x:t xml:space="preserve">P2 - هشدار جدی (Warning)</x:t>
        </x:is>
      </x:c>
      <x:c r="F10" s="4" t="inlineStr">
        <x:is>
          <x:t xml:space="preserve">انحراف معیار آماری (Moving Average + 1.5 Std Dev)</x:t>
        </x:is>
      </x:c>
      <x:c r="G10" s="4" t="inlineStr">
        <x:is>
          <x:t xml:space="preserve">افزایش نرخ رهاسازی سبد به بالای ۸۵٪ در یک بازه ۲۴ ساعته به همراه بیش از ۵۰ سبد رهاشده در روز</x:t>
        </x:is>
      </x:c>
      <x:c r="H10" s="4" t="inlineStr">
        <x:is>
          <x:t xml:space="preserve">روزانه</x:t>
        </x:is>
      </x:c>
      <x:c r="I10" s="4" t="inlineStr">
        <x:is>
          <x:t xml:space="preserve">پیام بات تلگرام به تیم CRO و فروش</x:t>
        </x:is>
      </x:c>
      <x:c r="J10" s="4" t="inlineStr">
        <x:is>
          <x:t xml:space="preserve">متخصص بهینه‌سازی نرخ تبدیل (CRO) و مدیر فروش آنلاین</x:t>
        </x:is>
      </x:c>
      <x:c r="K10" s="4" t="inlineStr">
        <x:is>
          <x:t xml:space="preserve">تست کامل مراحل تسویه‌حساب کاربری از افزودن تا مرحله محاسبه هزینه حمل و مالیات.؛ بررسی هزینه‌های حمل تجهیزات؛ اطمینان از عدم جهش ناگهانی تعرفه‌های کرایه باربری در سیستم.؛ فعال‌سازی اتوماسیون فوری پیامک یادآوری سبد با پیشنهاد مشاوره رایگان تلفنی ظرف ۱ ساعت پس از رهاسازی.؛ بررسی درستی عملکرد سیستم اعمال کدهای تخفیف و بن‌های وفاداری.</x:t>
        </x:is>
      </x:c>
      <x:c r="L10" s="17" t="inlineStr">
        <x:is>
          <x:t xml:space="preserve">Proposed</x:t>
        </x:is>
      </x:c>
      <x:c r="M10" s="30" t="str">
        <x:v>ALT-09</x:v>
      </x:c>
      <x:c r="N10" s="30" t="str">
        <x:v>W5</x:v>
      </x:c>
      <x:c r="O10" s="30" t="str">
        <x:v>Performance Marketing Lead</x:v>
      </x:c>
      <x:c r="P10" s="30" t="str">
        <x:v>Proposed</x:v>
      </x:c>
      <x:c r="Q10" s="30" t="str">
        <x:v>60 min</x:v>
      </x:c>
      <x:c r="R10" s="30" t="str">
        <x:v>Medium</x:v>
      </x:c>
      <x:c r="S10" s="30" t="str">
        <x:v>نیازمند تکمیل و تأیید مالک</x:v>
      </x:c>
    </x:row>
    <x:row r="11">
      <x:c r="A11" s="19" t="inlineStr">
        <x:is>
          <x:t xml:space="preserve">ALT-10</x:t>
        </x:is>
      </x:c>
      <x:c r="B11" s="6" t="inlineStr">
        <x:is>
          <x:t xml:space="preserve">نقض توافق سطح خدمات سرعت پاسخ به لید تجهیزات</x:t>
        </x:is>
      </x:c>
      <x:c r="C11" s="6" t="inlineStr">
        <x:is>
          <x:t xml:space="preserve">Lead Response Time SLA Breach Alert</x:t>
        </x:is>
      </x:c>
      <x:c r="D11" s="6" t="inlineStr">
        <x:is>
          <x:t xml:space="preserve">KPI-29 (Lead Response Time SLA) و زمان انتظار در صف</x:t>
        </x:is>
      </x:c>
      <x:c r="E11" s="19" t="inlineStr">
        <x:is>
          <x:t xml:space="preserve">P1 - بحرانی (Critical)</x:t>
        </x:is>
      </x:c>
      <x:c r="F11" s="6" t="inlineStr">
        <x:is>
          <x:t xml:space="preserve">حد آستانه زمانی ایستا (Static Time Threshold)</x:t>
        </x:is>
      </x:c>
      <x:c r="G11" s="6" t="inlineStr">
        <x:is>
          <x:t xml:space="preserve">تعلل بیش از ۳۰ دقیقه در برقراری اولین تماس تلفنی با سرنخ‌های متقاضی یونیت و دستگاه‌های سرمایه‌ای در ساعات کاری</x:t>
        </x:is>
      </x:c>
      <x:c r="H11" s="6" t="inlineStr">
        <x:is>
          <x:t xml:space="preserve">بلادرنگ (Real-Time — بررسی هر ۱۰ دقیقه)</x:t>
        </x:is>
      </x:c>
      <x:c r="I11" s="6" t="inlineStr">
        <x:is>
          <x:t xml:space="preserve">پیامک مستقیم به سوپروایزر کال‌سنتر و مدیر فروش B2B</x:t>
        </x:is>
      </x:c>
      <x:c r="J11" s="6" t="inlineStr">
        <x:is>
          <x:t xml:space="preserve">سرپرست تیم تماس و فروش تلفنی تیتانا</x:t>
        </x:is>
      </x:c>
      <x:c r="K11" s="6" t="inlineStr">
        <x:is>
          <x:t xml:space="preserve">تخصیص خودکار و فوری سرنخ به کارشناس پشتیبان (Overflow Sales Rep).؛ بررسی صف ورودی سیستم سانترال VoIP و علت عدم در دسترس بودن کارشناسان مسوول.؛ در صورت عدم پاسخ در ساعات غیرکاری، ارسال فوری پیامک تعاملی تایید دریافت استعلام با امکان انتخاب زمان جلسه دمو.</x:t>
        </x:is>
      </x:c>
      <x:c r="L11" s="19" t="inlineStr">
        <x:is>
          <x:t xml:space="preserve">Proposed</x:t>
        </x:is>
      </x:c>
      <x:c r="M11" s="30" t="str">
        <x:v>ALT-10</x:v>
      </x:c>
      <x:c r="N11" s="30" t="str">
        <x:v>W5</x:v>
      </x:c>
      <x:c r="O11" s="30" t="str">
        <x:v>Performance Marketing Lead</x:v>
      </x:c>
      <x:c r="P11" s="30" t="str">
        <x:v>Proposed</x:v>
      </x:c>
      <x:c r="Q11" s="30" t="str">
        <x:v>60 min</x:v>
      </x:c>
      <x:c r="R11" s="30" t="str">
        <x:v>Medium</x:v>
      </x:c>
      <x:c r="S11" s="30" t="str">
        <x:v>نیازمند تکمیل و تأیید مالک</x:v>
      </x:c>
    </x:row>
    <x:row r="12">
      <x:c r="A12" s="17" t="inlineStr">
        <x:is>
          <x:t xml:space="preserve">ALT-11</x:t>
        </x:is>
      </x:c>
      <x:c r="B12" s="4" t="inlineStr">
        <x:is>
          <x:t xml:space="preserve">جهش غیرعادی در ترافیک نامعتبر یا کلیک مشکوک ربات‌ها</x:t>
        </x:is>
      </x:c>
      <x:c r="C12" s="4" t="inlineStr">
        <x:is>
          <x:t xml:space="preserve">Invalid Traffic &amp; Click Fraud Spike</x:t>
        </x:is>
      </x:c>
      <x:c r="D12" s="4" t="inlineStr">
        <x:is>
          <x:t xml:space="preserve">KPI-36 (Invalid Traffic &amp; Bot Share)</x:t>
        </x:is>
      </x:c>
      <x:c r="E12" s="17" t="inlineStr">
        <x:is>
          <x:t xml:space="preserve">P1 - بحرانی (Critical)</x:t>
        </x:is>
      </x:c>
      <x:c r="F12" s="4" t="inlineStr">
        <x:is>
          <x:t xml:space="preserve">تحلیل آماری نرخ کلیک غیرعادی در بازه کوتاه و تطبیق IP/User-Agent</x:t>
        </x:is>
      </x:c>
      <x:c r="G12" s="4" t="inlineStr">
        <x:is>
          <x:t xml:space="preserve">ثبت بیش از ۵۰ کلیک متوالی از رنج IP مشترک یا دیتاسنتری ظرف ۱۰ دقیقه، یا ثبت سهم کلیک‌های نامعتبر بالای ۱۲٪ در گزارش ادز</x:t>
        </x:is>
      </x:c>
      <x:c r="H12" s="4" t="inlineStr">
        <x:is>
          <x:t xml:space="preserve">ساعتی (Near Real-Time)</x:t>
        </x:is>
      </x:c>
      <x:c r="I12" s="4" t="inlineStr">
        <x:is>
          <x:t xml:space="preserve">پیامک به لید پرفورمنس + پیام در کانال امنیت سیستم</x:t>
        </x:is>
      </x:c>
      <x:c r="J12" s="4" t="inlineStr">
        <x:is>
          <x:t xml:space="preserve">تیم مهندسی امنیت وب و متخصص پرفورمنس</x:t>
        </x:is>
      </x:c>
      <x:c r="K12" s="4" t="inlineStr">
        <x:is>
          <x:t xml:space="preserve">استخراج سریع ساب‌نت یا ASN مربوط به آدرس‌های IP مخرب از لاگ‌های سرور.؛ مسدودسازی بلادرنگ IPها در سطح لایه وب‌سرویس و فایروال کلادفلار/آروان.؛ اضافه کردن رنج‌های IP به لیست IP Exclusion در تنظیمات کمپین‌های گوگل ادز.؛ ثبت تیکت رسمی به پشتیبانی پلتفرم ادز جهت استرداد هزینه کلیک‌های نامعتبر (Click Fraud Refund Request).</x:t>
        </x:is>
      </x:c>
      <x:c r="L12" s="17" t="inlineStr">
        <x:is>
          <x:t xml:space="preserve">Proposed</x:t>
        </x:is>
      </x:c>
      <x:c r="M12" s="30" t="str">
        <x:v>ALT-11</x:v>
      </x:c>
      <x:c r="N12" s="30" t="str">
        <x:v>W5</x:v>
      </x:c>
      <x:c r="O12" s="30" t="str">
        <x:v>Performance Marketing Lead</x:v>
      </x:c>
      <x:c r="P12" s="30" t="str">
        <x:v>Proposed</x:v>
      </x:c>
      <x:c r="Q12" s="30" t="str">
        <x:v>60 min</x:v>
      </x:c>
      <x:c r="R12" s="30" t="str">
        <x:v>Medium</x:v>
      </x:c>
      <x:c r="S12" s="30" t="str">
        <x:v>نیازمند تکمیل و تأیید مالک</x:v>
      </x:c>
    </x:row>
    <x:row r="13">
      <x:c r="A13" s="19" t="inlineStr">
        <x:is>
          <x:t xml:space="preserve">ALT-12</x:t>
        </x:is>
      </x:c>
      <x:c r="B13" s="6" t="inlineStr">
        <x:is>
          <x:t xml:space="preserve">افت شدید امتیاز کیفیت کلمات کلیدی تجهیزات</x:t>
        </x:is>
      </x:c>
      <x:c r="C13" s="6" t="inlineStr">
        <x:is>
          <x:t xml:space="preserve">Google Ads Quality Score Degradation</x:t>
        </x:is>
      </x:c>
      <x:c r="D13" s="6" t="inlineStr">
        <x:is>
          <x:t xml:space="preserve">Quality Score (1-10) در جدول Keyword</x:t>
        </x:is>
      </x:c>
      <x:c r="E13" s="19" t="inlineStr">
        <x:is>
          <x:t xml:space="preserve">P3 - اطلاع‌رسانی و بهبود (Info)</x:t>
        </x:is>
      </x:c>
      <x:c r="F13" s="6" t="inlineStr">
        <x:is>
          <x:t xml:space="preserve">قاعده حد آستانه کیفی (Rule-based Threshold)</x:t>
        </x:is>
      </x:c>
      <x:c r="G13" s="6" t="inlineStr">
        <x:is>
          <x:t xml:space="preserve">کاهش امتیاز کیفیت کلمات کلیدی دارای بیش از ۱۰٪ هزینه کل اکانت به زیر امتیاز ۵ از ۱۰</x:t>
        </x:is>
      </x:c>
      <x:c r="H13" s="6" t="inlineStr">
        <x:is>
          <x:t xml:space="preserve">هفتگی</x:t>
        </x:is>
      </x:c>
      <x:c r="I13" s="6" t="inlineStr">
        <x:is>
          <x:t xml:space="preserve">ایمیل تحلیلی هفتگی به بهینه‌ساز ادز</x:t>
        </x:is>
      </x:c>
      <x:c r="J13" s="6" t="inlineStr">
        <x:is>
          <x:t xml:space="preserve">کارشناس گوگل ادز</x:t>
        </x:is>
      </x:c>
      <x:c r="K13" s="6" t="inlineStr">
        <x:is>
          <x:t xml:space="preserve">بررسی سه‌گانه اجزای نمره کیفیت: CTR مورد انتظار، ربط آگهی، و تجربه صفحه فرود.؛ در صورت ضعف ربط آگهی، اصلاح کپی رایتینگ و تعبیه کلیدواژه در تیتر آگهی (Ad Headlines).؛ در صورت ضعف صفحه فرود، غنی‌سازی متن لندینگ با جدول مشخصات فنی کالا و بهینه‌سازی سرعت.</x:t>
        </x:is>
      </x:c>
      <x:c r="L13" s="19" t="inlineStr">
        <x:is>
          <x:t xml:space="preserve">Proposed</x:t>
        </x:is>
      </x:c>
      <x:c r="M13" s="30" t="str">
        <x:v>ALT-12</x:v>
      </x:c>
      <x:c r="N13" s="30" t="str">
        <x:v>W5</x:v>
      </x:c>
      <x:c r="O13" s="30" t="str">
        <x:v>Performance Marketing Lead</x:v>
      </x:c>
      <x:c r="P13" s="30" t="str">
        <x:v>Proposed</x:v>
      </x:c>
      <x:c r="Q13" s="30" t="str">
        <x:v>60 min</x:v>
      </x:c>
      <x:c r="R13" s="30" t="str">
        <x:v>Medium</x:v>
      </x:c>
      <x:c r="S13" s="30" t="str">
        <x:v>نیازمند تکمیل و تأیید مالک</x:v>
      </x:c>
    </x:row>
    <x:row r="14">
      <x:c r="A14" s="17" t="inlineStr">
        <x:is>
          <x:t xml:space="preserve">ALT-13</x:t>
        </x:is>
      </x:c>
      <x:c r="B14" s="4" t="inlineStr">
        <x:is>
          <x:t xml:space="preserve">ناموجودی انبار کالاهای دارای کمپین تبلیغاتی فعال</x:t>
        </x:is>
      </x:c>
      <x:c r="C14" s="4" t="inlineStr">
        <x:is>
          <x:t xml:space="preserve">Zero-Inventory Active Ad Alert</x:t>
        </x:is>
      </x:c>
      <x:c r="D14" s="4" t="inlineStr">
        <x:is>
          <x:t xml:space="preserve">inventory_available_stock = 0 برای SKUهای با Ad Spend فعال</x:t>
        </x:is>
      </x:c>
      <x:c r="E14" s="17" t="inlineStr">
        <x:is>
          <x:t xml:space="preserve">P1 - بحرانی (Critical)</x:t>
        </x:is>
      </x:c>
      <x:c r="F14" s="4" t="inlineStr">
        <x:is>
          <x:t xml:space="preserve">تقاطع بلادرنگ داده انبار WMS با لیست آگهی‌های فعال در ادز</x:t>
        </x:is>
      </x:c>
      <x:c r="G14" s="4" t="inlineStr">
        <x:is>
          <x:t xml:space="preserve">رسیدن موجودی قابل‌فروش یک کالا در انبار به صفر، در حالی که آگهی اختصاصی آن کالا همچنان فعال بوده و هزینه ایجاد می‌کند</x:t>
        </x:is>
      </x:c>
      <x:c r="H14" s="4" t="inlineStr">
        <x:is>
          <x:t xml:space="preserve">هر ۱۵ دقیقه یک‌بار (پایش خودکار وب‌هوک انبار)</x:t>
        </x:is>
      </x:c>
      <x:c r="I14" s="4" t="inlineStr">
        <x:is>
          <x:t xml:space="preserve">توقف خودکار اسکریپتی ادز + پیامک به کارشناس مدیا و مسوول خرید کالا</x:t>
        </x:is>
      </x:c>
      <x:c r="J14" s="4" t="inlineStr">
        <x:is>
          <x:t xml:space="preserve">اسکریپت اتوماسیون تیتانا و کارشناس پرفورمنس</x:t>
        </x:is>
      </x:c>
      <x:c r="K14" s="4" t="inlineStr">
        <x:is>
          <x:t xml:space="preserve">توقف فوری و خودکار آگهی مربوطه از طریق اسکریپت اختصاصی API.؛ نمایش بنر «اطلاع به من پس از موجود شدن» در صفحه کالای وب‌سایت.؛ هماهنگی با تیم بازرگانی جهت بررسی زمان رسیدن پارت جدید کالا از گمرک.؛ انتقال بودجه تبلیغاتی این کالا به اقلام معادل موجود و جایگزین در انبار.</x:t>
        </x:is>
      </x:c>
      <x:c r="L14" s="17" t="inlineStr">
        <x:is>
          <x:t xml:space="preserve">Proposed</x:t>
        </x:is>
      </x:c>
      <x:c r="M14" s="30" t="str">
        <x:v>ALT-13</x:v>
      </x:c>
      <x:c r="N14" s="30" t="str">
        <x:v>W5</x:v>
      </x:c>
      <x:c r="O14" s="30" t="str">
        <x:v>Performance Marketing Lead</x:v>
      </x:c>
      <x:c r="P14" s="30" t="str">
        <x:v>Proposed</x:v>
      </x:c>
      <x:c r="Q14" s="30" t="str">
        <x:v>60 min</x:v>
      </x:c>
      <x:c r="R14" s="30" t="str">
        <x:v>Medium</x:v>
      </x:c>
      <x:c r="S14" s="30" t="str">
        <x:v>نیازمند تکمیل و تأیید مالک</x:v>
      </x:c>
    </x:row>
    <x:row r="15">
      <x:c r="A15" s="19" t="inlineStr">
        <x:is>
          <x:t xml:space="preserve">ALT-14</x:t>
        </x:is>
      </x:c>
      <x:c r="B15" s="6" t="inlineStr">
        <x:is>
          <x:t xml:space="preserve">افزایش غیرعادی نرخ لغو و مرجوعی سفارش‌های تجهیزات</x:t>
        </x:is>
      </x:c>
      <x:c r="C15" s="6" t="inlineStr">
        <x:is>
          <x:t xml:space="preserve">Order Return &amp; Refund Spike Alert</x:t>
        </x:is>
      </x:c>
      <x:c r="D15" s="6" t="inlineStr">
        <x:is>
          <x:t xml:space="preserve">KPI-81 (Return &amp; Refund Rate)</x:t>
        </x:is>
      </x:c>
      <x:c r="E15" s="19" t="inlineStr">
        <x:is>
          <x:t xml:space="preserve">P2 - هشدار جدی (Warning)</x:t>
        </x:is>
      </x:c>
      <x:c r="F15" s="6" t="inlineStr">
        <x:is>
          <x:t xml:space="preserve">حد آستانه متحرک هفتگی</x:t>
        </x:is>
      </x:c>
      <x:c r="G15" s="6" t="inlineStr">
        <x:is>
          <x:t xml:space="preserve">افزایش نرخ مرجوعی اقلام یک دسته کالایی به بیش از ۶٪ کل ارزش فروش هفتگی، یا ثبت ۳ مرجوعی دستگاه سنگین در یک هفته</x:t>
        </x:is>
      </x:c>
      <x:c r="H15" s="6" t="inlineStr">
        <x:is>
          <x:t xml:space="preserve">هفتگی</x:t>
        </x:is>
      </x:c>
      <x:c r="I15" s="6" t="inlineStr">
        <x:is>
          <x:t xml:space="preserve">ایمیل به مدیر کنترل کیفیت، مدیر خدمات پس از فروش و مدیر مالی</x:t>
        </x:is>
      </x:c>
      <x:c r="J15" s="6" t="inlineStr">
        <x:is>
          <x:t xml:space="preserve">مدیر خدمات پس از فروش و بازرگانی تیتانا</x:t>
        </x:is>
      </x:c>
      <x:c r="K15" s="6" t="inlineStr">
        <x:is>
          <x:t xml:space="preserve">بررسی ریز علل مرجوعی در جدول رکوردهای Refund (نقص بسته‌بندی، خرابی در حمل، مغایرت مشخصات فنی).؛ بازرسی فیزیکی از پارت کالاهای موجود در انبار توسط تکنسین فنی.؛ تعلیق موقت فروش آنلاین SKUهای دارای نقص تا اعلام نظر مهندسی پزشکی شرکت تامین‌کننده.؛ تماس مستقیم مدیر ارتباط با مشتریان با پزشکان شاکی جهت جبران خسارت و حفظ رضایت.</x:t>
        </x:is>
      </x:c>
      <x:c r="L15" s="19" t="inlineStr">
        <x:is>
          <x:t xml:space="preserve">Proposed</x:t>
        </x:is>
      </x:c>
      <x:c r="M15" s="30" t="str">
        <x:v>ALT-14</x:v>
      </x:c>
      <x:c r="N15" s="30" t="str">
        <x:v>W5</x:v>
      </x:c>
      <x:c r="O15" s="30" t="str">
        <x:v>Performance Marketing Lead</x:v>
      </x:c>
      <x:c r="P15" s="30" t="str">
        <x:v>Proposed</x:v>
      </x:c>
      <x:c r="Q15" s="30" t="str">
        <x:v>60 min</x:v>
      </x:c>
      <x:c r="R15" s="30" t="str">
        <x:v>Medium</x:v>
      </x:c>
      <x:c r="S15" s="30" t="str">
        <x:v>نیازمند تکمیل و تأیید مالک</x:v>
      </x:c>
    </x:row>
    <x:row r="16">
      <x:c r="A16" s="17" t="inlineStr">
        <x:is>
          <x:t xml:space="preserve">ALT-15</x:t>
        </x:is>
      </x:c>
      <x:c r="B16" s="4" t="inlineStr">
        <x:is>
          <x:t xml:space="preserve">انحراف منفی شدید در سرعت مصرف بودجه کلان</x:t>
        </x:is>
      </x:c>
      <x:c r="C16" s="4" t="inlineStr">
        <x:is>
          <x:t xml:space="preserve">Budget Underspend &amp; Delivery Pacing Stagnation</x:t>
        </x:is>
      </x:c>
      <x:c r="D16" s="4" t="inlineStr">
        <x:is>
          <x:t xml:space="preserve">KPI-77 (Budget Pacing Deviation)</x:t>
        </x:is>
      </x:c>
      <x:c r="E16" s="17" t="inlineStr">
        <x:is>
          <x:t xml:space="preserve">P2 - هشدار جدی (Warning)</x:t>
        </x:is>
      </x:c>
      <x:c r="F16" s="4" t="inlineStr">
        <x:is>
          <x:t xml:space="preserve">محاسبه درصد تحقق بودجه تجمعی ماهانه (Target Spend vs. Actual)</x:t>
        </x:is>
      </x:c>
      <x:c r="G16" s="4" t="inlineStr">
        <x:is>
          <x:t xml:space="preserve">مصرف کمتر از ۷۵٪ بودجه برنامه‌ریزی‌شده تا نیمه ماه تقویمی به دلیل محدودیت‌های تایید پلتفرم، سقف بید یا مخاطب محدود</x:t>
        </x:is>
      </x:c>
      <x:c r="H16" s="4" t="inlineStr">
        <x:is>
          <x:t xml:space="preserve">هفتگی</x:t>
        </x:is>
      </x:c>
      <x:c r="I16" s="4" t="inlineStr">
        <x:is>
          <x:t xml:space="preserve">پیام بات تلگرام به مدیر بازاریابی (CMO)</x:t>
        </x:is>
      </x:c>
      <x:c r="J16" s="4" t="inlineStr">
        <x:is>
          <x:t xml:space="preserve">مدیر ارشد بازاریابی و لید پرفورمنس</x:t>
        </x:is>
      </x:c>
      <x:c r="K16" s="4" t="inlineStr">
        <x:is>
          <x:t xml:space="preserve">بررسی علت کندی تحویل (Delivery Stagnation) در پلتفرم‌ها (مانند سقف ترافیک مخاطب، بیدهای بسیار پایین، یا رد شدن تبلیغات).؛ گسترش هدف‌گیری جغرافیایی یا جمعیتی در ادز.؛ راه‌اندازی کانال‌های تکمیلی (مانند کمپین‌های پیامکی هوشمند به کلینیک‌ها یا اینفلوئنسر مارکتینگ).؛ بازتنظیم سقف بودجه روزانه و آزادسازی محدودیت‌های بید در کمپین‌های موفق با سقف پتانسیل بالا.</x:t>
        </x:is>
      </x:c>
      <x:c r="L16" s="17" t="inlineStr">
        <x:is>
          <x:t xml:space="preserve">Proposed</x:t>
        </x:is>
      </x:c>
      <x:c r="M16" s="30" t="str">
        <x:v>ALT-15</x:v>
      </x:c>
      <x:c r="N16" s="30" t="str">
        <x:v>W5</x:v>
      </x:c>
      <x:c r="O16" s="30" t="str">
        <x:v>Performance Marketing Lead</x:v>
      </x:c>
      <x:c r="P16" s="30" t="str">
        <x:v>Proposed</x:v>
      </x:c>
      <x:c r="Q16" s="30" t="str">
        <x:v>60 min</x:v>
      </x:c>
      <x:c r="R16" s="30" t="str">
        <x:v>Medium</x:v>
      </x:c>
      <x:c r="S16" s="30" t="str">
        <x:v>نیازمند تکمیل و تأیید مالک</x:v>
      </x:c>
    </x:row>
    <x:row r="17">
      <x:c r="A17" s="19" t="inlineStr">
        <x:is>
          <x:t xml:space="preserve">ALT-16</x:t>
        </x:is>
      </x:c>
      <x:c r="B17" s="6" t="inlineStr">
        <x:is>
          <x:t xml:space="preserve">ریزش ناگهانی سفارش‌های مجدد کلینیک‌های طلایی و VIP</x:t>
        </x:is>
      </x:c>
      <x:c r="C17" s="6" t="inlineStr">
        <x:is>
          <x:t xml:space="preserve">High-Tier Repeat Churn Anomaly Alert</x:t>
        </x:is>
      </x:c>
      <x:c r="D17" s="6" t="inlineStr">
        <x:is>
          <x:t xml:space="preserve">KPI-28 (Repeat Purchase Rate) و روزهای سپری‌شده از آخرین خرید (Recency Days)</x:t>
        </x:is>
      </x:c>
      <x:c r="E17" s="19" t="inlineStr">
        <x:is>
          <x:t xml:space="preserve">P1 - بحرانی (Critical)</x:t>
        </x:is>
      </x:c>
      <x:c r="F17" s="6" t="inlineStr">
        <x:is>
          <x:t xml:space="preserve">مدل پیش‌بینی احتمال ریزش و پایش فرکانس دوره‌ای خرید مطب‌ها</x:t>
        </x:is>
      </x:c>
      <x:c r="G17" s="6" t="inlineStr">
        <x:is>
          <x:t xml:space="preserve">سپری شدن بیش از ۴۵ روز از تاریخ پیش‌بینی‌شده خرید مجدد برای حداقل ۵ کلینیک بزرگ رده Gold/VIP بدون ثبت سفارش جدید</x:t>
        </x:is>
      </x:c>
      <x:c r="H17" s="6" t="inlineStr">
        <x:is>
          <x:t xml:space="preserve">هفتگی (شنبه‌ها)</x:t>
        </x:is>
      </x:c>
      <x:c r="I17" s="6" t="inlineStr">
        <x:is>
          <x:t xml:space="preserve">ارسال لیست سفارشی به مدیر فروش کلیدی (Key Account Manager) و CRM</x:t>
        </x:is>
      </x:c>
      <x:c r="J17" s="6" t="inlineStr">
        <x:is>
          <x:t xml:space="preserve">مدیر روابط با مشتریان سازمانی (Key Account Director)</x:t>
        </x:is>
      </x:c>
      <x:c r="K17" s="6" t="inlineStr">
        <x:is>
          <x:t xml:space="preserve">بررسی پرونده ۵ کلینیک در CRM جهت شناسایی شکایات احتمالی اخیر از خدمات یا تحویل کالا.؛ اختصاص کارشناس فروش ویژه جهت تماس حضوری یا تلفنی و ارائه بسته شارژ اختصاصی با شرایط پرداخت منعطف.؛ بررسی فعالیت تبلیغاتی و آفرهای رقبای مستقیم برای آن کلینیک‌ها.؛ ارائه اعتبار خرید ویژه یا بسته هدیه مواد مصرفی پرکاربرد به مطب توسط مدیرعامل.</x:t>
        </x:is>
      </x:c>
      <x:c r="L17" s="19" t="inlineStr">
        <x:is>
          <x:t xml:space="preserve">Proposed</x:t>
        </x:is>
      </x:c>
      <x:c r="M17" s="30" t="str">
        <x:v>ALT-16</x:v>
      </x:c>
      <x:c r="N17" s="30" t="str">
        <x:v>W5</x:v>
      </x:c>
      <x:c r="O17" s="30" t="str">
        <x:v>Performance Marketing Lead</x:v>
      </x:c>
      <x:c r="P17" s="30" t="str">
        <x:v>Proposed</x:v>
      </x:c>
      <x:c r="Q17" s="30" t="str">
        <x:v>60 min</x:v>
      </x:c>
      <x:c r="R17" s="30" t="str">
        <x:v>Medium</x:v>
      </x:c>
      <x:c r="S17" s="30" t="str">
        <x:v>نیازمند تکمیل و تأیید مالک</x:v>
      </x:c>
    </x:row>
  </x:sheetData>
  <x:conditionalFormatting sqref="L2:L17">
    <x:cfRule type="cellIs" dxfId="0" priority="1" operator="equal">
      <x:formula>"Blocked"</x:formula>
    </x:cfRule>
    <x:cfRule type="cellIs" dxfId="4" priority="2" operator="equal">
      <x:formula>"In Progress"</x:formula>
    </x:cfRule>
    <x:cfRule type="cellIs" dxfId="3" priority="3" operator="equal">
      <x:formula>"Tested"</x:formula>
    </x:cfRule>
    <x:cfRule type="cellIs" dxfId="5" priority="4" operator="equal">
      <x:formula>"Ready"</x:formula>
    </x:cfRule>
    <x:cfRule type="cellIs" dxfId="6" priority="5" operator="equal">
      <x:formula>"Proposed"</x:formula>
    </x:cfRule>
  </x:conditionalFormatting>
  <x:conditionalFormatting sqref="E2:E17">
    <x:cfRule type="expression" dxfId="0" priority="6">
      <x:formula>ISNUMBER(SEARCH("P1",E2))</x:formula>
    </x:cfRule>
    <x:cfRule type="expression" dxfId="1" priority="7">
      <x:formula>ISNUMBER(SEARCH("P2",E2))</x:formula>
    </x:cfRule>
    <x:cfRule type="expression" dxfId="2" priority="8">
      <x:formula>ISNUMBER(SEARCH("P3",E2))</x:formula>
    </x:cfRule>
  </x:conditionalFormatting>
  <x:dataValidations count="2">
    <x:dataValidation type="list" allowBlank="1" showDropDown="0" showInputMessage="0" showErrorMessage="1" errorTitle="مقدار نامعتبر" error="مقدار از لیست مجاز انتخاب شود" promptTitle="فهرست" prompt="از فهرست کشویی انتخاب کنید" sqref="L2:L17">
      <x:formula1>=_LISTS!$C$2:$C$6</x:formula1>
    </x:dataValidation>
    <x:dataValidation type="list" sqref="P2:P17">
      <x:formula1>"Proposed,Ready,In Progress,Implemented,Tested,Blocked"</x:formula1>
    </x:dataValidation>
  </x:dataValidations>
  <x:pageMargins left="0.7" right="0.7" top="0.75" bottom="0.75" header="0.3" footer="0.3"/>
  <x:tableParts count="2">
    <x:tablePart xmlns:r="http://schemas.openxmlformats.org/officeDocument/2006/relationships" r:id="R8e8e497aee044241"/>
    <x:tablePart xmlns:r="http://schemas.openxmlformats.org/officeDocument/2006/relationships" r:id="R6520faf755bd44b3"/>
  </x:tableParts>
</x:worksheet>
</file>

<file path=xl/worksheets/sheet14.xml><?xml version="1.0" encoding="utf-8"?>
<x:worksheet xmlns:x="http://schemas.openxmlformats.org/spreadsheetml/2006/main">
  <x:sheetPr>
    <x:tabColor rgb="FF1F4E78"/>
  </x:sheetPr>
  <x:sheetViews>
    <x:sheetView workbookViewId="0">
      <x:pane xSplit="2" ySplit="1" topLeftCell="C2" activePane="bottomRight" state="frozen"/>
    </x:sheetView>
  </x:sheetViews>
  <x:sheetFormatPr baseColWidth="8" defaultRowHeight="15"/>
  <x:cols>
    <x:col min="1" max="1" width="9" customWidth="1"/>
    <x:col min="2" max="2" width="34" customWidth="1"/>
    <x:col min="3" max="3" width="30" customWidth="1"/>
    <x:col min="4" max="4" width="44" customWidth="1"/>
    <x:col min="5" max="5" width="40" customWidth="1"/>
    <x:col min="6" max="6" width="40" customWidth="1"/>
    <x:col min="7" max="7" width="36" customWidth="1"/>
    <x:col min="8" max="8" width="40" customWidth="1"/>
    <x:col min="9" max="9" width="36" customWidth="1"/>
    <x:col min="10" max="10" width="4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s>
  <x:sheetData>
    <x:row r="1" ht="30" customHeight="1">
      <x:c r="A1" s="5" t="inlineStr">
        <x:is>
          <x:t xml:space="preserve">Model_ID</x:t>
        </x:is>
      </x:c>
      <x:c r="B1" s="5" t="inlineStr">
        <x:is>
          <x:t xml:space="preserve">Name_FA</x:t>
        </x:is>
      </x:c>
      <x:c r="C1" s="5" t="inlineStr">
        <x:is>
          <x:t xml:space="preserve">Name_EN</x:t>
        </x:is>
      </x:c>
      <x:c r="D1" s="5" t="inlineStr">
        <x:is>
          <x:t xml:space="preserve">Business_Objective_FA</x:t>
        </x:is>
      </x:c>
      <x:c r="E1" s="5" t="inlineStr">
        <x:is>
          <x:t xml:space="preserve">Methodology_FA</x:t>
        </x:is>
      </x:c>
      <x:c r="F1" s="5" t="inlineStr">
        <x:is>
          <x:t xml:space="preserve">Input_Features_FA</x:t>
        </x:is>
      </x:c>
      <x:c r="G1" s="5" t="inlineStr">
        <x:is>
          <x:t xml:space="preserve">Preprocessing_FA</x:t>
        </x:is>
      </x:c>
      <x:c r="H1" s="5" t="inlineStr">
        <x:is>
          <x:t xml:space="preserve">Output_Delivery_FA</x:t>
        </x:is>
      </x:c>
      <x:c r="I1" s="5" t="inlineStr">
        <x:is>
          <x:t xml:space="preserve">Evaluation_Metrics_FA</x:t>
        </x:is>
      </x:c>
      <x:c r="J1" s="5" t="inlineStr">
        <x:is>
          <x:t xml:space="preserve">Constraints_Risks_FA</x:t>
        </x:is>
      </x:c>
      <x:c r="K1" s="27" t="str">
        <x:v>Model_ID_Link</x:v>
      </x:c>
      <x:c r="L1" s="27" t="str">
        <x:v>Implementation_Wave</x:v>
      </x:c>
      <x:c r="M1" s="27" t="str">
        <x:v>Priority</x:v>
      </x:c>
      <x:c r="N1" s="27" t="str">
        <x:v>Model_Owner</x:v>
      </x:c>
      <x:c r="O1" s="27" t="str">
        <x:v>Status</x:v>
      </x:c>
      <x:c r="P1" s="27" t="str">
        <x:v>Minimum_Data_Volume</x:v>
      </x:c>
      <x:c r="Q1" s="27" t="str">
        <x:v>Monitoring_Metric</x:v>
      </x:c>
      <x:c r="R1" s="27" t="str">
        <x:v>Retraining_Condition</x:v>
      </x:c>
    </x:row>
    <x:row r="2">
      <x:c r="A2" s="17" t="inlineStr">
        <x:is>
          <x:t xml:space="preserve">MOD-01</x:t>
        </x:is>
      </x:c>
      <x:c r="B2" s="4" t="inlineStr">
        <x:is>
          <x:t xml:space="preserve">مدل‌سازی آمیخته بازاریابی بایزی</x:t>
        </x:is>
      </x:c>
      <x:c r="C2" s="4" t="inlineStr">
        <x:is>
          <x:t xml:space="preserve">MMM</x:t>
        </x:is>
      </x:c>
      <x:c r="D2" s="4" t="inlineStr">
        <x:is>
          <x:t xml:space="preserve">تفکیک سهم کانال‌های آنلاین و آفلاین (کنگره‌ها، اسپانسرشیپ، ادز پولی) در فروش کلان، تخمین اشباع و اثر تاخیری (Adstock) بدون وابستگی به کوکی‌ها.</x:t>
        </x:is>
      </x:c>
      <x:c r="E2" s="4" t="inlineStr">
        <x:is>
          <x:t xml:space="preserve">رگرسیون پویای بایزی (Bayesian Additive Regression) با کتابخانه‌های LightweightMMM یا Robyn با توزیع پیشین (Prior) نیمه‌نرمال.</x:t>
        </x:is>
      </x:c>
      <x:c r="F2" s="4" t="inlineStr">
        <x:is>
          <x:t xml:space="preserve">هزینه هفتگی به تفکیک کانال، ایمپرشن/کلیک، فروش هفتگی تجهیزات و مواد، متغیرهای کلان (تورم، نرخ ارز آزاد، تعطیلات رسمی).</x:t>
        </x:is>
      </x:c>
      <x:c r="G2" s="4" t="inlineStr">
        <x:is>
          <x:t xml:space="preserve">تبدیل Adstock هندسی یا ویبل، برازش منحنی بازده نزولی تپه‌ای (Hill Transformation)، نرمال‌سازی متغیرها با MinMax Scaler.</x:t>
        </x:is>
      </x:c>
      <x:c r="H2" s="4" t="inlineStr">
        <x:is>
          <x:t xml:space="preserve">سهم درصد انتساب هر رسانه به درآمد کلان (Decomposition)، تخمین بازگشت نهایی سرمایه (mROAS) و پیشنهاد توزیع بهینه بودجه.</x:t>
        </x:is>
      </x:c>
      <x:c r="I2" s="4" t="inlineStr">
        <x:is>
          <x:t xml:space="preserve">معیار خطای میانگین مربعات درصد (MAPE &lt; 10%)، R-squared، بازبینی با تست‌های واقعی لیفت جغرافیایی (Cross-Validation against Geo-Lift).</x:t>
        </x:is>
      </x:c>
      <x:c r="J2" s="4" t="inlineStr">
        <x:is>
          <x:t xml:space="preserve">نیاز به دست‌کم ۹۰ تا ۱۰۴ هفته داده تاریخی مستمر؛ هم‌خطی شدید هزینه‌ها در کمپین‌های همزمان؛ عدم تفکیک رفتار فردی کاربران.</x:t>
        </x:is>
      </x:c>
      <x:c r="K2" s="30" t="str">
        <x:v>MOD-01</x:v>
      </x:c>
      <x:c r="L2" s="30" t="str">
        <x:v>W6</x:v>
      </x:c>
      <x:c r="M2" s="30" t="str">
        <x:v>High</x:v>
      </x:c>
      <x:c r="N2" s="30" t="str">
        <x:v>Data Scientist</x:v>
      </x:c>
      <x:c r="O2" s="30" t="str">
        <x:v>Proposed</x:v>
      </x:c>
      <x:c r="P2" s="30" t="str">
        <x:v>نیازمند تکمیل و تأیید مالک</x:v>
      </x:c>
      <x:c r="Q2" s="30" t="str">
        <x:v>نیازمند تکمیل و تأیید مالک</x:v>
      </x:c>
      <x:c r="R2" s="30" t="str">
        <x:v>نیازمند تکمیل و تأیید مالک</x:v>
      </x:c>
    </x:row>
    <x:row r="3">
      <x:c r="A3" s="19" t="inlineStr">
        <x:is>
          <x:t xml:space="preserve">MOD-02</x:t>
        </x:is>
      </x:c>
      <x:c r="B3" s="6" t="inlineStr">
        <x:is>
          <x:t xml:space="preserve">مدل اتریبیوشن چندلمسی مبتنی بر زنجیره مارکوف و مقادیر شاپلی</x:t>
        </x:is>
      </x:c>
      <x:c r="C3" s="6" t="inlineStr">
        <x:is>
          <x:t xml:space="preserve">MTA</x:t>
        </x:is>
      </x:c>
      <x:c r="D3" s="6" t="inlineStr">
        <x:is>
          <x:t xml:space="preserve">تخصیص وزن منصفانه ریاضی به تمامی کانال‌های لمس‌شده در سفر خرید دندان‌پزشک جهت جایگزینی مدل‌های ناعادلانه Last-Click.</x:t>
        </x:is>
      </x:c>
      <x:c r="E3" s="6" t="inlineStr">
        <x:is>
          <x:t xml:space="preserve">زنجیره مارکوف مرتبه اول/دوم (Removal Effect Calculation) و تئوری بازی‌های همکارانه مقادیر شاپلی (Shapley Values).</x:t>
        </x:is>
      </x:c>
      <x:c r="F3" s="6" t="inlineStr">
        <x:is>
          <x:t xml:space="preserve">جدول زنجیره تاچ‌پوینت‌ها (Touchpoint Journeys)، زمان هر تعامل، کانال، مدیوم، وضعیت نهایی تبدیل یا عدم تبدیل کاربر.</x:t>
        </x:is>
      </x:c>
      <x:c r="G3" s="6" t="inlineStr">
        <x:is>
          <x:t xml:space="preserve">پاک‌سازی مسیرهای حلقه‌ای و اسپم، ادغام سشن‌های متوالی در فاصله کوتاه، تعریف پنجره اتریبیوشن ۳۰ تا ۶۰ روزه برای B2B.</x:t>
        </x:is>
      </x:c>
      <x:c r="H3" s="6" t="inlineStr">
        <x:is>
          <x:t xml:space="preserve">جدول اوزان کسری کانال‌ها به ازای هر سفارش، گزارش ROAS مبتنی بر اتریبیوشن داده‌محور در انبار داده تیتانا.</x:t>
        </x:is>
      </x:c>
      <x:c r="I3" s="6" t="inlineStr">
        <x:is>
          <x:t xml:space="preserve">شاخص ثبات وزن‌ها (Weight Stability Index)، ارزیابی انطباق با آزمایش‌های توقف رسانه (Holdout Split Testing).</x:t>
        </x:is>
      </x:c>
      <x:c r="J3" s="6" t="inlineStr">
        <x:is>
          <x:t xml:space="preserve">محدودیت‌های ترکینگ کلاینت به دلیل ITP اپل و بلاکرهای مرورگر؛ نیاز به هویت‌سازی یکپارچه (Identity Resolution) پیشرفته.</x:t>
        </x:is>
      </x:c>
      <x:c r="K3" s="30" t="str">
        <x:v>MOD-02</x:v>
      </x:c>
      <x:c r="L3" s="30" t="str">
        <x:v>W6</x:v>
      </x:c>
      <x:c r="M3" s="30" t="str">
        <x:v>High</x:v>
      </x:c>
      <x:c r="N3" s="30" t="str">
        <x:v>Data Scientist</x:v>
      </x:c>
      <x:c r="O3" s="30" t="str">
        <x:v>Proposed</x:v>
      </x:c>
      <x:c r="P3" s="30" t="str">
        <x:v>نیازمند تکمیل و تأیید مالک</x:v>
      </x:c>
      <x:c r="Q3" s="30" t="str">
        <x:v>نیازمند تکمیل و تأیید مالک</x:v>
      </x:c>
      <x:c r="R3" s="30" t="str">
        <x:v>نیازمند تکمیل و تأیید مالک</x:v>
      </x:c>
    </x:row>
    <x:row r="4">
      <x:c r="A4" s="17" t="inlineStr">
        <x:is>
          <x:t xml:space="preserve">MOD-03</x:t>
        </x:is>
      </x:c>
      <x:c r="B4" s="4" t="inlineStr">
        <x:is>
          <x:t xml:space="preserve">مدل ارزش طول عمر مشتری با توزیع احتمالی BG/NBD و گاما-گاما</x:t>
        </x:is>
      </x:c>
      <x:c r="C4" s="4" t="inlineStr">
        <x:is>
          <x:t xml:space="preserve">BG/NBD &amp; Gamma-Gamma</x:t>
        </x:is>
      </x:c>
      <x:c r="D4" s="4" t="inlineStr">
        <x:is>
          <x:t xml:space="preserve">پیش‌بینی تعداد خریدهای آتی و میانگین ارزش مالی سفارش‌های هر مطب در افق ۱۲ تا ۳۶ ماه آینده جهت هدایت سقف CAC مجاز.</x:t>
        </x:is>
      </x:c>
      <x:c r="E4" s="4" t="inlineStr">
        <x:is>
          <x:t xml:space="preserve">مدل بتا-هندسی / دوجمله‌ای منفی (BG/NBD) برای تعداد خرید و مدل پویای Gamma-Gamma برای ارزش سبد خرید (Monetary Value).</x:t>
        </x:is>
      </x:c>
      <x:c r="F4" s="4" t="inlineStr">
        <x:is>
          <x:t xml:space="preserve">فرکانس خرید دندان‌پزشک (Frequency)، فاصله آخرین خرید تا انتها (Recency)، مدت عضویت (T)، میانگین ارزش ریالی سفارشات گذشته.</x:t>
        </x:is>
      </x:c>
      <x:c r="G4" s="4" t="inlineStr">
        <x:is>
          <x:t xml:space="preserve">فیلتر کردن خریدهای یک‌باره اتفاقی تجهیزات بزرگ از مواد، تنظیم پارامترهای توزیع با حداکثر درست‌نمایی (MLE).</x:t>
        </x:is>
      </x:c>
      <x:c r="H4" s="4" t="inlineStr">
        <x:is>
          <x:t xml:space="preserve">احتمال زنده بودن مشتری P(Alive)، تعداد خریدهای پیش‌بینی‌شده ۱۲ ماهه، ارزش پیش‌بینی‌شده CLV ریالی به تفکیک هر دندان‌پزشک.</x:t>
        </x:is>
      </x:c>
      <x:c r="I4" s="4" t="inlineStr">
        <x:is>
          <x:t xml:space="preserve">معیار ریشه میانگین مربعات خطا (RMSE) روی داده‌های آزمون تست یک‌ساله، ضریب رتبه‌بندی Spearman.</x:t>
        </x:is>
      </x:c>
      <x:c r="J4" s="4" t="inlineStr">
        <x:is>
          <x:t xml:space="preserve">رفتار متفاوت خرید دستگاه‌های سنگین (خرید هر چند سال یک‌بار) با مواد مصرفی؛ مدل باید به تفکیک لاین کالا تفکیک گردد.</x:t>
        </x:is>
      </x:c>
      <x:c r="K4" s="30" t="str">
        <x:v>MOD-03</x:v>
      </x:c>
      <x:c r="L4" s="30" t="str">
        <x:v>W6</x:v>
      </x:c>
      <x:c r="M4" s="30" t="str">
        <x:v>High</x:v>
      </x:c>
      <x:c r="N4" s="30" t="str">
        <x:v>Data Scientist</x:v>
      </x:c>
      <x:c r="O4" s="30" t="str">
        <x:v>Proposed</x:v>
      </x:c>
      <x:c r="P4" s="30" t="str">
        <x:v>نیازمند تکمیل و تأیید مالک</x:v>
      </x:c>
      <x:c r="Q4" s="30" t="str">
        <x:v>نیازمند تکمیل و تأیید مالک</x:v>
      </x:c>
      <x:c r="R4" s="30" t="str">
        <x:v>نیازمند تکمیل و تأیید مالک</x:v>
      </x:c>
    </x:row>
    <x:row r="5">
      <x:c r="A5" s="19" t="inlineStr">
        <x:is>
          <x:t xml:space="preserve">MOD-04</x:t>
        </x:is>
      </x:c>
      <x:c r="B5" s="6" t="inlineStr">
        <x:is>
          <x:t xml:space="preserve">مدل پیش‌بینی احتمال ریزش کلینیک‌ها و دندان‌پزشکان</x:t>
        </x:is>
      </x:c>
      <x:c r="C5" s="6" t="inlineStr">
        <x:is>
          <x:t xml:space="preserve">B2B Dental Clinic Churn Prediction Model</x:t>
        </x:is>
      </x:c>
      <x:c r="D5" s="6" t="inlineStr">
        <x:is>
          <x:t xml:space="preserve">شناسایی زودهنگام کلینیک‌هایی که در آستانه قطع خرید یا مراجعه به رقبا هستند جهت مداخله فعالانه تیم فروش.</x:t>
        </x:is>
      </x:c>
      <x:c r="E5" s="6" t="inlineStr">
        <x:is>
          <x:t xml:space="preserve">الگوریتم‌های درخت‌های تقویت‌شده گردیانتی XGBoost / LightGBM و طبقه‌بندی‌کننده رگرسیون لجستیک منظم.</x:t>
        </x:is>
      </x:c>
      <x:c r="F5" s="6" t="inlineStr">
        <x:is>
          <x:t xml:space="preserve">روزهای گذشته از آخرین سفارش، روند تغییر ارزش سفارش، فراوانی استعلام‌های بی‌پاسخ، شکایات ثبت‌شده، افت مصرف اقلام مصرفی.</x:t>
        </x:is>
      </x:c>
      <x:c r="G5" s="6" t="inlineStr">
        <x:is>
          <x:t xml:space="preserve">تعریف برچسب باینری Churn (عدم خرید در بازه ۹۰ روزه برای مشتری فعال مواد)، متعادل‌سازی داده با روش SMOTE.</x:t>
        </x:is>
      </x:c>
      <x:c r="H5" s="6" t="inlineStr">
        <x:is>
          <x:t xml:space="preserve">نمره احتمال ریزش (Churn Probability Score بین ۰ تا ۱)، لیست فاکتورهای تاثیرگذار بر ریزش هر کلینیک (SHAP Values).</x:t>
        </x:is>
      </x:c>
      <x:c r="I5" s="6" t="inlineStr">
        <x:is>
          <x:t xml:space="preserve">سطح زیر منحنی مشخصه عملکرد گیرنده (ROC-AUC &gt; 0.82)، ماتریس درهم‌ریختگی با تاکید بر بازیابی بالا (High Recall).</x:t>
        </x:is>
      </x:c>
      <x:c r="J5" s="6" t="inlineStr">
        <x:is>
          <x:t xml:space="preserve">سوگیری در فصول رکود (ماه رمضان یا تعطیلات نوروز)؛ نیاز به نرمال‌سازی فصلی پیش از تولید خروجی.</x:t>
        </x:is>
      </x:c>
      <x:c r="K5" s="30" t="str">
        <x:v>MOD-04</x:v>
      </x:c>
      <x:c r="L5" s="30" t="str">
        <x:v>W6</x:v>
      </x:c>
      <x:c r="M5" s="30" t="str">
        <x:v>High</x:v>
      </x:c>
      <x:c r="N5" s="30" t="str">
        <x:v>Data Scientist</x:v>
      </x:c>
      <x:c r="O5" s="30" t="str">
        <x:v>Proposed</x:v>
      </x:c>
      <x:c r="P5" s="30" t="str">
        <x:v>نیازمند تکمیل و تأیید مالک</x:v>
      </x:c>
      <x:c r="Q5" s="30" t="str">
        <x:v>نیازمند تکمیل و تأیید مالک</x:v>
      </x:c>
      <x:c r="R5" s="30" t="str">
        <x:v>نیازمند تکمیل و تأیید مالک</x:v>
      </x:c>
    </x:row>
    <x:row r="6">
      <x:c r="A6" s="17" t="inlineStr">
        <x:is>
          <x:t xml:space="preserve">MOD-05</x:t>
        </x:is>
      </x:c>
      <x:c r="B6" s="4" t="inlineStr">
        <x:is>
          <x:t xml:space="preserve">مدل امتیازدهی پیش‌بینانه سرنخ‌های ورودی B2B</x:t>
        </x:is>
      </x:c>
      <x:c r="C6" s="4" t="inlineStr">
        <x:is>
          <x:t xml:space="preserve">Predictive B2B Lead Scoring Model</x:t>
        </x:is>
      </x:c>
      <x:c r="D6" s="4" t="inlineStr">
        <x:is>
          <x:t xml:space="preserve">رتبه‌بندی خودکار لیدهای متقاضی تجهیزات بر اساس احتمال نهایی تبدیل به فاکتور خرید جهت اولویت‌بندی تماس کارشناسان فروش.</x:t>
        </x:is>
      </x:c>
      <x:c r="E6" s="4" t="inlineStr">
        <x:is>
          <x:t xml:space="preserve">طبقه‌بندی تصادفی جنگل (Random Forest) به همراه شبکه عصبی پرسپترون چندلایه (MLP).</x:t>
        </x:is>
      </x:c>
      <x:c r="F6" s="4" t="inlineStr">
        <x:is>
          <x:t xml:space="preserve">تخصص پزشک، منطقه جغرافیایی مطب، نوع فرم پرشده، زمان دانلود کاتالوگ، تعداد صفحات بازدیدشده در سایت، کانال ورود.</x:t>
        </x:is>
      </x:c>
      <x:c r="G6" s="4" t="inlineStr">
        <x:is>
          <x:t xml:space="preserve">کدگذاری One-Hot متغیرهای متنی، استخراج ویژگی‌های تعامل وب، مقیاس‌بندی متغیرهای پیوسته.</x:t>
        </x:is>
      </x:c>
      <x:c r="H6" s="4" t="inlineStr">
        <x:is>
          <x:t xml:space="preserve">امتیاز کیفی لید (Lead Score از ۱ تا ۱۰۰) و برچسب‌گذاری فوری به سه رده سرد، گرم و داغ (Cold/Warm/Hot) در CRM.</x:t>
        </x:is>
      </x:c>
      <x:c r="I6" s="4" t="inlineStr">
        <x:is>
          <x:t xml:space="preserve">معیار دقت و بازیابی Precision-Recall AUC (PR-AUC) و نرخ تبدیل دهک اول (Top Decile Conversion Lift).</x:t>
        </x:is>
      </x:c>
      <x:c r="J6" s="4" t="inlineStr">
        <x:is>
          <x:t xml:space="preserve">کمبود نمونه‌های تبدیل قطعی در فازهای ابتدایی؛ اتکای بیش از حد به داده‌های فرم که ممکن است توسط لید به اشتباه پر شده باشند.</x:t>
        </x:is>
      </x:c>
      <x:c r="K6" s="30" t="str">
        <x:v>MOD-05</x:v>
      </x:c>
      <x:c r="L6" s="30" t="str">
        <x:v>W6</x:v>
      </x:c>
      <x:c r="M6" s="30" t="str">
        <x:v>High</x:v>
      </x:c>
      <x:c r="N6" s="30" t="str">
        <x:v>Data Scientist</x:v>
      </x:c>
      <x:c r="O6" s="30" t="str">
        <x:v>Proposed</x:v>
      </x:c>
      <x:c r="P6" s="30" t="str">
        <x:v>نیازمند تکمیل و تأیید مالک</x:v>
      </x:c>
      <x:c r="Q6" s="30" t="str">
        <x:v>نیازمند تکمیل و تأیید مالک</x:v>
      </x:c>
      <x:c r="R6" s="30" t="str">
        <x:v>نیازمند تکمیل و تأیید مالک</x:v>
      </x:c>
    </x:row>
    <x:row r="7">
      <x:c r="A7" s="19" t="inlineStr">
        <x:is>
          <x:t xml:space="preserve">MOD-06</x:t>
        </x:is>
      </x:c>
      <x:c r="B7" s="6" t="inlineStr">
        <x:is>
          <x:t xml:space="preserve">مدل بهینه‌سازی و تخصیص پویای بودجه رسانه‌ای</x:t>
        </x:is>
      </x:c>
      <x:c r="C7" s="6" t="inlineStr">
        <x:is>
          <x:t xml:space="preserve">Dynamic Media Budget Allocation &amp; Optimization</x:t>
        </x:is>
      </x:c>
      <x:c r="D7" s="6" t="inlineStr">
        <x:is>
          <x:t xml:space="preserve">محاسبه ترکیب بهینه سرمایه‌گذاری بودجه میان کمپین‌ها و کانال‌ها بر اساس منحنی بازده نهایی نزولی جهت بیشینه‌سازی سود ناخالص.</x:t>
        </x:is>
      </x:c>
      <x:c r="E7" s="6" t="inlineStr">
        <x:is>
          <x:t xml:space="preserve">برنامه‌ریزی غیرخطی مقید (Constrained Nonlinear Programming - SLSQP) و الگوریتم‌های ژنتیک تلفیق‌شده با خروجی MMM.</x:t>
        </x:is>
      </x:c>
      <x:c r="F7" s="6" t="inlineStr">
        <x:is>
          <x:t xml:space="preserve">توابع پاسخ اشباع کانال‌ها (Hill Functions)، سقف بودجه مصوب ماهانه، محدودیت‌های قراردادی حداقل هزینه در کانال‌ها.</x:t>
        </x:is>
      </x:c>
      <x:c r="G7" s="6" t="inlineStr">
        <x:is>
          <x:t xml:space="preserve">استخراج پارامترهای کشش و شیب اشباع از ران‌های هفتگی مدل MMM، تعریف ماتریس قیدهای عملیاتی.</x:t>
        </x:is>
      </x:c>
      <x:c r="H7" s="6" t="inlineStr">
        <x:is>
          <x:t xml:space="preserve">جدول ریالی تخصیص بودجه هفتگی برای هر کانال به همراه شبیه‌سازی پیش‌بینی درآمد و حاشیه سود مورد انتظار.</x:t>
        </x:is>
      </x:c>
      <x:c r="I7" s="6" t="inlineStr">
        <x:is>
          <x:t xml:space="preserve">مقایسه درآمد سناریوی بهینه با تخصیص پیش‌فرض خطی، نرخ خطای تعهدات مالی.</x:t>
        </x:is>
      </x:c>
      <x:c r="J7" s="6" t="inlineStr">
        <x:is>
          <x:t xml:space="preserve">تغییرات پیش‌بینی‌نشده در ظرفیت جذب ترافیک پلتفرم‌ها (مانند اختلال در دسترسی به اینستاگرام) که کشش کانال را مختل می‌کند.</x:t>
        </x:is>
      </x:c>
      <x:c r="K7" s="30" t="str">
        <x:v>MOD-06</x:v>
      </x:c>
      <x:c r="L7" s="30" t="str">
        <x:v>W6</x:v>
      </x:c>
      <x:c r="M7" s="30" t="str">
        <x:v>High</x:v>
      </x:c>
      <x:c r="N7" s="30" t="str">
        <x:v>Data Scientist</x:v>
      </x:c>
      <x:c r="O7" s="30" t="str">
        <x:v>Proposed</x:v>
      </x:c>
      <x:c r="P7" s="30" t="str">
        <x:v>نیازمند تکمیل و تأیید مالک</x:v>
      </x:c>
      <x:c r="Q7" s="30" t="str">
        <x:v>نیازمند تکمیل و تأیید مالک</x:v>
      </x:c>
      <x:c r="R7" s="30" t="str">
        <x:v>نیازمند تکمیل و تأیید مالک</x:v>
      </x:c>
    </x:row>
    <x:row r="8">
      <x:c r="A8" s="17" t="inlineStr">
        <x:is>
          <x:t xml:space="preserve">MOD-07</x:t>
        </x:is>
      </x:c>
      <x:c r="B8" s="4" t="inlineStr">
        <x:is>
          <x:t xml:space="preserve">مدل سنجش لیفت افزایشی و آزمایش‌های جغرافیایی</x:t>
        </x:is>
      </x:c>
      <x:c r="C8" s="4" t="inlineStr">
        <x:is>
          <x:t xml:space="preserve">Geo-Lift &amp; Matched-Market Incrementality Model</x:t>
        </x:is>
      </x:c>
      <x:c r="D8" s="4" t="inlineStr">
        <x:is>
          <x:t xml:space="preserve">محاسبه اثر علی و خالص (Causal Incrementality) تبلیغات بر فروش از طریق مقایسه مناطق تست و کنترل استانی بدون نیاز به کوکی.</x:t>
        </x:is>
      </x:c>
      <x:c r="E8" s="4" t="inlineStr">
        <x:is>
          <x:t xml:space="preserve">مدل کنترل سنتتیک بیرونی (Synthetic Control Methods) و پکیج GeoLift فیسبوک مبتنی بر تقریب سری‌های زمانی (Ridge Regression).</x:t>
        </x:is>
      </x:c>
      <x:c r="F8" s="4" t="inlineStr">
        <x:is>
          <x:t xml:space="preserve">داده‌های فروش روزانه تجهیزات و مواد در ۳۱ استان کشور به مدت حداقل یک‌سال قبل از تست، لاگ هزینه تبلیغات منطقه‌ای.</x:t>
        </x:is>
      </x:c>
      <x:c r="G8" s="4" t="inlineStr">
        <x:is>
          <x:t xml:space="preserve">همبستگی‌سنجی بازارها، انتخاب بهینه استان‌های تست (مانند اصفهان و فارس) و بازارهای کنترل مشابه جهت ایجاد بازار سنتتیک.</x:t>
        </x:is>
      </x:c>
      <x:c r="H8" s="4" t="inlineStr">
        <x:is>
          <x:t xml:space="preserve">درصد افزایش خالص واقعی درآمد ناشی از تبلیغات (Incremental Lift %)، نسبت خالص هزینه به درآمد نهایی (iROAS).</x:t>
        </x:is>
      </x:c>
      <x:c r="I8" s="4" t="inlineStr">
        <x:is>
          <x:t xml:space="preserve">فاصله اطمینان آماری ۹۵٪، رد فرض صفر با P-value &lt; 0.05، خطای پیش‌بینی بازار سنتتیک در فاز قبل از آزمایش (Pre-treatment MAPE).</x:t>
        </x:is>
      </x:c>
      <x:c r="J8" s="4" t="inlineStr">
        <x:is>
          <x:t xml:space="preserve">نشت ترافیک و خرید میان استانی (پزشک در قم خرید می‌کند اما تحویل در تهران)؛ نیاز به پالایش بر اساس آدرس کلینیک.</x:t>
        </x:is>
      </x:c>
      <x:c r="K8" s="30" t="str">
        <x:v>MOD-07</x:v>
      </x:c>
      <x:c r="L8" s="30" t="str">
        <x:v>W6</x:v>
      </x:c>
      <x:c r="M8" s="30" t="str">
        <x:v>High</x:v>
      </x:c>
      <x:c r="N8" s="30" t="str">
        <x:v>Data Scientist</x:v>
      </x:c>
      <x:c r="O8" s="30" t="str">
        <x:v>Proposed</x:v>
      </x:c>
      <x:c r="P8" s="30" t="str">
        <x:v>نیازمند تکمیل و تأیید مالک</x:v>
      </x:c>
      <x:c r="Q8" s="30" t="str">
        <x:v>نیازمند تکمیل و تأیید مالک</x:v>
      </x:c>
      <x:c r="R8" s="30" t="str">
        <x:v>نیازمند تکمیل و تأیید مالک</x:v>
      </x:c>
    </x:row>
    <x:row r="9">
      <x:c r="A9" s="19" t="inlineStr">
        <x:is>
          <x:t xml:space="preserve">MOD-08</x:t>
        </x:is>
      </x:c>
      <x:c r="B9" s="6" t="inlineStr">
        <x:is>
          <x:t xml:space="preserve">مدل بهترین اقدام بعدی مبتنی بر یادگیری تقویتی</x:t>
        </x:is>
      </x:c>
      <x:c r="C9" s="6" t="inlineStr">
        <x:is>
          <x:t xml:space="preserve">NBA) Engine</x:t>
        </x:is>
      </x:c>
      <x:c r="D9" s="6" t="inlineStr">
        <x:is>
          <x:t xml:space="preserve">تعیین هوشمند اقدام ارتباطی بهینه با دندان‌پزشک در هر لحظه (ارسال پیامک آفر، تماس کارشناس فنی، دعوت به وبینار تخصصی یا توقف پیام).</x:t>
        </x:is>
      </x:c>
      <x:c r="E9" s="6" t="inlineStr">
        <x:is>
          <x:t xml:space="preserve">راهبردهای باندیچندگانه کانتکستوال (Contextual Multi-Armed Bandits - LinUCB) و درخت‌های تصمیم مارکوف.</x:t>
        </x:is>
      </x:c>
      <x:c r="F9" s="6" t="inlineStr">
        <x:is>
          <x:t xml:space="preserve">پروفایل تخصصی پزشک، تاریخچه تعاملات اخیر، وضعیت عضویت باشگاه، پاسخ به پیامک‌های قبلی، سبد خرید فعلی.</x:t>
        </x:is>
      </x:c>
      <x:c r="G9" s="6" t="inlineStr">
        <x:is>
          <x:t xml:space="preserve">کاهش بعد ماتریس تعاملات با روش امبدینگ، به‌روزرسانی آنلاین بردار پاداش در سیستم بر پایه رخدادهای کلیک یا خرید.</x:t>
        </x:is>
      </x:c>
      <x:c r="H9" s="6" t="inlineStr">
        <x:is>
          <x:t xml:space="preserve">تعیین اقدام منتخب (Action Code)، کانال ارسال و بهترین ساعت شبانه‌روز برای برقراری تماس یا دیسپچ پیامک.</x:t>
        </x:is>
      </x:c>
      <x:c r="I9" s="6" t="inlineStr">
        <x:is>
          <x:t xml:space="preserve">نرخ پذیرش اقدام (Action Acceptance Rate)، افزایش نرخ تبدیل در مقایسه با ارسال انبوه سنتی (A/B Test Lift).</x:t>
        </x:is>
      </x:c>
      <x:c r="J9" s="6" t="inlineStr">
        <x:is>
          <x:t xml:space="preserve">پدیده خستگی و ایجاد مزاحمت ارتباطی برای پزشکان؛ الزام به رعایت قید سختگیرانه حداکثر پیام در ماه (Fatigue Rules).</x:t>
        </x:is>
      </x:c>
      <x:c r="K9" s="30" t="str">
        <x:v>MOD-08</x:v>
      </x:c>
      <x:c r="L9" s="30" t="str">
        <x:v>W6</x:v>
      </x:c>
      <x:c r="M9" s="30" t="str">
        <x:v>High</x:v>
      </x:c>
      <x:c r="N9" s="30" t="str">
        <x:v>Data Scientist</x:v>
      </x:c>
      <x:c r="O9" s="30" t="str">
        <x:v>Proposed</x:v>
      </x:c>
      <x:c r="P9" s="30" t="str">
        <x:v>نیازمند تکمیل و تأیید مالک</x:v>
      </x:c>
      <x:c r="Q9" s="30" t="str">
        <x:v>نیازمند تکمیل و تأیید مالک</x:v>
      </x:c>
      <x:c r="R9" s="30" t="str">
        <x:v>نیازمند تکمیل و تأیید مالک</x:v>
      </x:c>
    </x:row>
    <x:row r="10">
      <x:c r="A10" s="17" t="inlineStr">
        <x:is>
          <x:t xml:space="preserve">MOD-09</x:t>
        </x:is>
      </x:c>
      <x:c r="B10" s="4" t="inlineStr">
        <x:is>
          <x:t xml:space="preserve">موتور پیشنهاد هوشمند کالای بعدی</x:t>
        </x:is>
      </x:c>
      <x:c r="C10" s="4" t="inlineStr">
        <x:is>
          <x:t xml:space="preserve">NBP) Recommender</x:t>
        </x:is>
      </x:c>
      <x:c r="D10" s="4" t="inlineStr">
        <x:is>
          <x:t xml:space="preserve">پیشنهاد خودکار اقلام مصرفی یا قطعات جانبی مرتبط در سبد خرید یا ایمیل‌های پیشنهاد خودکار به مطب‌ها.</x:t>
        </x:is>
      </x:c>
      <x:c r="E10" s="4" t="inlineStr">
        <x:is>
          <x:t xml:space="preserve">سیستم ترکیبی فیلترینگ مشارکتی ماتریسی (Matrix Factorization - ALS) و روش مبتنی بر گراف محتوای کالاها (Graph Neural Networks).</x:t>
        </x:is>
      </x:c>
      <x:c r="F10" s="4" t="inlineStr">
        <x:is>
          <x:t xml:space="preserve">ماتریس خرید قبلی کلینیک‌ها و محصولات، دسته‌بندی کاتالوگ، استانداردهای هم‌نشینی فنی تجهیزات دندان‌پزشکی.</x:t>
        </x:is>
      </x:c>
      <x:c r="G10" s="4" t="inlineStr">
        <x:is>
          <x:t xml:space="preserve">حذف اقلام ناموجود انبار از گراف پیشنهاد، وزن‌دهی بالاتر به خریدهای ۶ ماه اخیر نسبت به خریدهای قدیمی.</x:t>
        </x:is>
      </x:c>
      <x:c r="H10" s="4" t="inlineStr">
        <x:is>
          <x:t xml:space="preserve">لیست رتبه‌بندی‌شده ۵ کالای پیشنهادی دارای بیشترین احتمال خرید برای هر master_customer_id.</x:t>
        </x:is>
      </x:c>
      <x:c r="I10" s="4" t="inlineStr">
        <x:is>
          <x:t xml:space="preserve">میانگین رتبه متقابل (MRR)، دقت در K پیشنهاد اول (Precision@K)، سهم درآمد پیشنهادی در کل سفارشات سایت.</x:t>
        </x:is>
      </x:c>
      <x:c r="J10" s="4" t="inlineStr">
        <x:is>
          <x:t xml:space="preserve">پیشنهاد ابزارهای نامرتبط با تخصص دندان‌پزشک (مانند پیشنهاد براکت ارتودنسی به متخصص جراحی فک)؛ رفع با اعمال فیلتر تخصص.</x:t>
        </x:is>
      </x:c>
      <x:c r="K10" s="30" t="str">
        <x:v>MOD-09</x:v>
      </x:c>
      <x:c r="L10" s="30" t="str">
        <x:v>W6</x:v>
      </x:c>
      <x:c r="M10" s="30" t="str">
        <x:v>High</x:v>
      </x:c>
      <x:c r="N10" s="30" t="str">
        <x:v>Data Scientist</x:v>
      </x:c>
      <x:c r="O10" s="30" t="str">
        <x:v>Proposed</x:v>
      </x:c>
      <x:c r="P10" s="30" t="str">
        <x:v>نیازمند تکمیل و تأیید مالک</x:v>
      </x:c>
      <x:c r="Q10" s="30" t="str">
        <x:v>نیازمند تکمیل و تأیید مالک</x:v>
      </x:c>
      <x:c r="R10" s="30" t="str">
        <x:v>نیازمند تکمیل و تأیید مالک</x:v>
      </x:c>
    </x:row>
    <x:row r="11">
      <x:c r="A11" s="19" t="inlineStr">
        <x:is>
          <x:t xml:space="preserve">MOD-10</x:t>
        </x:is>
      </x:c>
      <x:c r="B11" s="6" t="inlineStr">
        <x:is>
          <x:t xml:space="preserve">مدل تحلیل تمایل به خرید مجدد مواد مصرفی</x:t>
        </x:is>
      </x:c>
      <x:c r="C11" s="6" t="inlineStr">
        <x:is>
          <x:t xml:space="preserve">Consumables Replenishment Propensity Model</x:t>
        </x:is>
      </x:c>
      <x:c r="D11" s="6" t="inlineStr">
        <x:is>
          <x:t xml:space="preserve">تخمین دقیق زمان اتمام مواد مصرفی پرکاربرد مطب (مانند ماده قالب‌گیری، بی‌حسی، کامپوزیت) و ارسال پیام یادآوری شارژ قبل از خرید از رقیب.</x:t>
        </x:is>
      </x:c>
      <x:c r="E11" s="6" t="inlineStr">
        <x:is>
          <x:t xml:space="preserve">رگرسیون پواسون تعمیم‌یافته و تحلیل سری زمانی مصرف انفرادی بر پایه فرآیند هاوکس (Hawkes Processes).</x:t>
        </x:is>
      </x:c>
      <x:c r="F11" s="6" t="inlineStr">
        <x:is>
          <x:t xml:space="preserve">حجم خرید بسته‌ای هر متریال، تاریخ سفارش‌های قبلی، تعداد یونیت‌های فعال کلینیک، تخصص و تیراژ بیمار مطب.</x:t>
        </x:is>
      </x:c>
      <x:c r="G11" s="6" t="inlineStr">
        <x:is>
          <x:t xml:space="preserve">محاسبه دوره تناوب مصرف میانگین برای هر SKU در سطح سگمنت، محاسبه انحراف استاندارد مصرف هر پزشک.</x:t>
        </x:is>
      </x:c>
      <x:c r="H11" s="6" t="inlineStr">
        <x:is>
          <x:t xml:space="preserve">تاریخ پیش‌بینی‌شده اتمام موجودی مطب، فعال‌سازی تریگر ارسال خودکار پیشنهاد شارژ سریع در اتوماسیون مارکتینگ.</x:t>
        </x:is>
      </x:c>
      <x:c r="I11" s="6" t="inlineStr">
        <x:is>
          <x:t xml:space="preserve">میانگین قدر مطلق خطای روزانه اتمام (MAE in Days &lt; 5 days)، نرخ کلیک و تبدیل پیام‌های یادآوری شارژ.</x:t>
        </x:is>
      </x:c>
      <x:c r="J11" s="6" t="inlineStr">
        <x:is>
          <x:t xml:space="preserve">تغییر ناگهانی ظرفیت پذیرش بیمار در مطب (تعطیلات، بازسازی یا سفر پزشک)؛ ایجاد گزینه تمدید دوره در لینک پیامک.</x:t>
        </x:is>
      </x:c>
      <x:c r="K11" s="30" t="str">
        <x:v>MOD-10</x:v>
      </x:c>
      <x:c r="L11" s="30" t="str">
        <x:v>W6</x:v>
      </x:c>
      <x:c r="M11" s="30" t="str">
        <x:v>High</x:v>
      </x:c>
      <x:c r="N11" s="30" t="str">
        <x:v>Data Scientist</x:v>
      </x:c>
      <x:c r="O11" s="30" t="str">
        <x:v>Proposed</x:v>
      </x:c>
      <x:c r="P11" s="30" t="str">
        <x:v>نیازمند تکمیل و تأیید مالک</x:v>
      </x:c>
      <x:c r="Q11" s="30" t="str">
        <x:v>نیازمند تکمیل و تأیید مالک</x:v>
      </x:c>
      <x:c r="R11" s="30" t="str">
        <x:v>نیازمند تکمیل و تأیید مالک</x:v>
      </x:c>
    </x:row>
    <x:row r="12">
      <x:c r="A12" s="17" t="inlineStr">
        <x:is>
          <x:t xml:space="preserve">MOD-11</x:t>
        </x:is>
      </x:c>
      <x:c r="B12" s="4" t="inlineStr">
        <x:is>
          <x:t xml:space="preserve">مدل پیش‌بینی تقاضای فصلی تجهیزات و مواد</x:t>
        </x:is>
      </x:c>
      <x:c r="C12" s="4" t="inlineStr">
        <x:is>
          <x:t xml:space="preserve">Demand &amp; Inventory Forecasting Model</x:t>
        </x:is>
      </x:c>
      <x:c r="D12" s="4" t="inlineStr">
        <x:is>
          <x:t xml:space="preserve">پیش‌بینی حجم فروش آتی کالاها در سطح SKU جهت همگام‌سازی کمپین‌های پرفورمنس با واردات و جلوگیری از هدررفت بودجه ادز روی اقلام کم‌موجود.</x:t>
        </x:is>
      </x:c>
      <x:c r="E12" s="4" t="inlineStr">
        <x:is>
          <x:t xml:space="preserve">مدل‌های تجمیعی فیسبوک Prophet، شبکه عصبی عمیق Temporal Fusion Transformer (TFT) و LightGBM تایم‌سری.</x:t>
        </x:is>
      </x:c>
      <x:c r="F12" s="4" t="inlineStr">
        <x:is>
          <x:t xml:space="preserve">تاریخچه فروش روزانه ۳ ساله، کمپین‌های پروموشن آینده، برگزاری کنگره‌های دندان‌پزشکی، تقویم کاری کشور.</x:t>
        </x:is>
      </x:c>
      <x:c r="G12" s="4" t="inlineStr">
        <x:is>
          <x:t xml:space="preserve">تجزیه فصلی و روند (Seasonal Decomposition)، تولید متغیرهای تاخیری (Lags) و میانگین‌های متحرک ۷ و ۳۰ روزه.</x:t>
        </x:is>
      </x:c>
      <x:c r="H12" s="4" t="inlineStr">
        <x:is>
          <x:t xml:space="preserve">پیش‌بینی فروش ۳۰ و ۹۰ روز آینده هر SKU با بازه‌های عدم قطعیت (P10, P50, P90).</x:t>
        </x:is>
      </x:c>
      <x:c r="I12" s="4" t="inlineStr">
        <x:is>
          <x:t xml:space="preserve">معیار وزنی خطای قدرمطلق درصد (WMAPE &lt; 12%)، نسبت کسری موجودی به کل تقاضا (Stockout Rate).</x:t>
        </x:is>
      </x:c>
      <x:c r="J12" s="4" t="inlineStr">
        <x:is>
          <x:t xml:space="preserve">تاخیرهای غیرمترقبه در ترخیص گمرکی تجهیزات وارداتی؛ عدم قطعیت شدید در تخصیص ارز به شرکت‌های بازرگانی پزشکی.</x:t>
        </x:is>
      </x:c>
      <x:c r="K12" s="30" t="str">
        <x:v>MOD-11</x:v>
      </x:c>
      <x:c r="L12" s="30" t="str">
        <x:v>W6</x:v>
      </x:c>
      <x:c r="M12" s="30" t="str">
        <x:v>High</x:v>
      </x:c>
      <x:c r="N12" s="30" t="str">
        <x:v>Data Scientist</x:v>
      </x:c>
      <x:c r="O12" s="30" t="str">
        <x:v>Proposed</x:v>
      </x:c>
      <x:c r="P12" s="30" t="str">
        <x:v>نیازمند تکمیل و تأیید مالک</x:v>
      </x:c>
      <x:c r="Q12" s="30" t="str">
        <x:v>نیازمند تکمیل و تأیید مالک</x:v>
      </x:c>
      <x:c r="R12" s="30" t="str">
        <x:v>نیازمند تکمیل و تأیید مالک</x:v>
      </x:c>
    </x:row>
    <x:row r="13">
      <x:c r="A13" s="19" t="inlineStr">
        <x:is>
          <x:t xml:space="preserve">MOD-12</x:t>
        </x:is>
      </x:c>
      <x:c r="B13" s="6" t="inlineStr">
        <x:is>
          <x:t xml:space="preserve">مدل تحلیل همبستگی اقلام و قواعد وابستگی سبد خرید</x:t>
        </x:is>
      </x:c>
      <x:c r="C13" s="6" t="inlineStr">
        <x:is>
          <x:t xml:space="preserve">Market Basket Affinity &amp; Association Rules</x:t>
        </x:is>
      </x:c>
      <x:c r="D13" s="6" t="inlineStr">
        <x:is>
          <x:t xml:space="preserve">شناسایی بسته‌های کالایی مکمل که معمولاً با هم سفارش داده می‌شوند (مانند خرید کامپوزیت به همراه باندینگ و نوار ماتریس) جهت طراحی باندلینگ.</x:t>
        </x:is>
      </x:c>
      <x:c r="E13" s="6" t="inlineStr">
        <x:is>
          <x:t xml:space="preserve">الگوریتم‌های کشف قواعد وابستگی Apriori و FP-Growth جهت استخراج معیارهای Support، Confidence و Lift.</x:t>
        </x:is>
      </x:c>
      <x:c r="F13" s="6" t="inlineStr">
        <x:is>
          <x:t xml:space="preserve">جدول سطر به سطر Order Items، شناسه سبد فاکتور، کد SKU و رده اصلی کالاها.</x:t>
        </x:is>
      </x:c>
      <x:c r="G13" s="6" t="inlineStr">
        <x:is>
          <x:t xml:space="preserve">تبدیل ماتریس سفارشات به فرمت وان‌هات متراکم (Sparse Matrix Representation)، فیلتر کردن اقلام با فراوانی بسیار پایین.</x:t>
        </x:is>
      </x:c>
      <x:c r="H13" s="6" t="inlineStr">
        <x:is>
          <x:t xml:space="preserve">ماتریس قواعد همنشینی کالاها با Lift &gt; 1.5، پیشنهاد خودکار باندل‌های تخفیف‌دار روی صفحه سبد خرید.</x:t>
        </x:is>
      </x:c>
      <x:c r="I13" s="6" t="inlineStr">
        <x:is>
          <x:t xml:space="preserve">ارزش شاخص Lift قواعد منتخب، افزایش میانگین اقلام در هر فاکتور (Units per Transaction - UPT).</x:t>
        </x:is>
      </x:c>
      <x:c r="J13" s="6" t="inlineStr">
        <x:is>
          <x:t xml:space="preserve">ایجاد قواعد بدیهی و بی‌ارزش تجاری؛ نیاز به نظارت مهندس تجهیزات پزشکی بر لیست نهایی قواعد.</x:t>
        </x:is>
      </x:c>
      <x:c r="K13" s="30" t="str">
        <x:v>MOD-12</x:v>
      </x:c>
      <x:c r="L13" s="30" t="str">
        <x:v>W6</x:v>
      </x:c>
      <x:c r="M13" s="30" t="str">
        <x:v>High</x:v>
      </x:c>
      <x:c r="N13" s="30" t="str">
        <x:v>Data Scientist</x:v>
      </x:c>
      <x:c r="O13" s="30" t="str">
        <x:v>Proposed</x:v>
      </x:c>
      <x:c r="P13" s="30" t="str">
        <x:v>نیازمند تکمیل و تأیید مالک</x:v>
      </x:c>
      <x:c r="Q13" s="30" t="str">
        <x:v>نیازمند تکمیل و تأیید مالک</x:v>
      </x:c>
      <x:c r="R13" s="30" t="str">
        <x:v>نیازمند تکمیل و تأیید مالک</x:v>
      </x:c>
    </x:row>
    <x:row r="14">
      <x:c r="A14" s="17" t="inlineStr">
        <x:is>
          <x:t xml:space="preserve">MOD-13</x:t>
        </x:is>
      </x:c>
      <x:c r="B14" s="4" t="inlineStr">
        <x:is>
          <x:t xml:space="preserve">مدل تحلیل کشش قیمتی تقاضا و بهینه‌سازی تخفیف</x:t>
        </x:is>
      </x:c>
      <x:c r="C14" s="4" t="inlineStr">
        <x:is>
          <x:t xml:space="preserve">Price Elasticity &amp; Dynamic Discounting</x:t>
        </x:is>
      </x:c>
      <x:c r="D14" s="4" t="inlineStr">
        <x:is>
          <x:t xml:space="preserve">محاسبه درصد تغییر تقاضای دندان‌پزشکان نسبت به تغییر قیمت هر گروه محصول جهت تعیین درصد تخفیف بهینه بدون هدر دادن سود ناخالص.</x:t>
        </x:is>
      </x:c>
      <x:c r="E14" s="4" t="inlineStr">
        <x:is>
          <x:t xml:space="preserve">رگرسیون لاگ-لاگ خطی (Log-Log Regression) و تقریب قیمت تصادفی پواسون با کنترل اثر ویژگی‌های کالا.</x:t>
        </x:is>
      </x:c>
      <x:c r="F14" s="4" t="inlineStr">
        <x:is>
          <x:t xml:space="preserve">تغییرات قیمتی تاریخی، تیراژ فروش هفتگی، قیمت رقبای اصلی در وب، نرخ تورم و بهای تمام‌شده خرید (COGS).</x:t>
        </x:is>
      </x:c>
      <x:c r="G14" s="4" t="inlineStr">
        <x:is>
          <x:t xml:space="preserve">پالایش اثر همزمان کمپین‌های پروموشن و کنگره‌ها بر حجم فروش، استخراج ضریب الاستیسیته نرمال‌شده.</x:t>
        </x:is>
      </x:c>
      <x:c r="H14" s="4" t="inlineStr">
        <x:is>
          <x:t xml:space="preserve">ضریب کشش قیمتی برای هر دسته کالایی (الاستیک، خنثی یا غیراستیک)، بازه بهینه تخفیف ریالی بیشینه‌کننده سود ناخالص.</x:t>
        </x:is>
      </x:c>
      <x:c r="I14" s="4" t="inlineStr">
        <x:is>
          <x:t xml:space="preserve">ضریب تعیین R2 رگرسیون کشش، پایش تحقق Contribution Margin در طول تخفیف‌های تست‌شده.</x:t>
        </x:is>
      </x:c>
      <x:c r="J14" s="4" t="inlineStr">
        <x:is>
          <x:t xml:space="preserve">آسیب به جایگاه لوکس و برندینگ برخی تجهیزات خارجی در صورت اعمال تخفیف‌های نامناسب؛ اعمال محدودیت‌های حداقل قیمت فروش.</x:t>
        </x:is>
      </x:c>
      <x:c r="K14" s="30" t="str">
        <x:v>MOD-13</x:v>
      </x:c>
      <x:c r="L14" s="30" t="str">
        <x:v>W6</x:v>
      </x:c>
      <x:c r="M14" s="30" t="str">
        <x:v>High</x:v>
      </x:c>
      <x:c r="N14" s="30" t="str">
        <x:v>Data Scientist</x:v>
      </x:c>
      <x:c r="O14" s="30" t="str">
        <x:v>Proposed</x:v>
      </x:c>
      <x:c r="P14" s="30" t="str">
        <x:v>نیازمند تکمیل و تأیید مالک</x:v>
      </x:c>
      <x:c r="Q14" s="30" t="str">
        <x:v>نیازمند تکمیل و تأیید مالک</x:v>
      </x:c>
      <x:c r="R14" s="30" t="str">
        <x:v>نیازمند تکمیل و تأیید مالک</x:v>
      </x:c>
    </x:row>
    <x:row r="15">
      <x:c r="A15" s="19" t="inlineStr">
        <x:is>
          <x:t xml:space="preserve">MOD-14</x:t>
        </x:is>
      </x:c>
      <x:c r="B15" s="6" t="inlineStr">
        <x:is>
          <x:t xml:space="preserve">مدل تحلیل خستگی و فرسایش کریتیوها</x:t>
        </x:is>
      </x:c>
      <x:c r="C15" s="6" t="inlineStr">
        <x:is>
          <x:t xml:space="preserve">Ad Creative Decay &amp; Fatigue Forecasting</x:t>
        </x:is>
      </x:c>
      <x:c r="D15" s="6" t="inlineStr">
        <x:is>
          <x:t xml:space="preserve">پیش‌بینی زمان افت اثربخشی یک آگهی بنری یا ویدیویی در پلتفرم ادز پیش از جهش شدید CPA جهت سفارش‌گذاری به‌موقع محتوای جدید.</x:t>
        </x:is>
      </x:c>
      <x:c r="E15" s="6" t="inlineStr">
        <x:is>
          <x:t xml:space="preserve">مدل تحلیل افت رگرسیونی رادیکال و نرخ پوسیدگی نمایی (Exponential Decay) بر پایه فرکانس نمایش و گذر زمان.</x:t>
        </x:is>
      </x:c>
      <x:c r="F15" s="6" t="inlineStr">
        <x:is>
          <x:t xml:space="preserve">فرکانس تجمعی نمایش آگهی، روند روزانه CTR، نرخ ماندگاری ویدیو، هزینه روزانه و نرخ تبدیل اکشن.</x:t>
        </x:is>
      </x:c>
      <x:c r="G15" s="6" t="inlineStr">
        <x:is>
          <x:t xml:space="preserve">محاسبه شیب خط رگرسیون متحرک ۳ روزه CTR نسبت به فرکانس، نرمال‌سازی متغیرها بر پایه سگمنت مخاطب.</x:t>
        </x:is>
      </x:c>
      <x:c r="H15" s="6" t="inlineStr">
        <x:is>
          <x:t xml:space="preserve">شاخص طول عمر باقیمانده کریتیو (Creative Half-Life Days)، هشدار خودکار انقضای کریتیو در لیست وظایف تیم گرافیک.</x:t>
        </x:is>
      </x:c>
      <x:c r="I15" s="6" t="inlineStr">
        <x:is>
          <x:t xml:space="preserve">دقت پیش‌بینی روز رسیدن به آستانه بحرانی (MAE &lt; 2 روز)، حفظ ثبات شاخص Blended CPA.</x:t>
        </x:is>
      </x:c>
      <x:c r="J15" s="6" t="inlineStr">
        <x:is>
          <x:t xml:space="preserve">تاثیر عوامل بیرونی (مثل تغییر الگوریتم متا ادز) بر نوسان CTR که ممکن است با فرسایش اشتباه گرفته شود.</x:t>
        </x:is>
      </x:c>
      <x:c r="K15" s="30" t="str">
        <x:v>MOD-14</x:v>
      </x:c>
      <x:c r="L15" s="30" t="str">
        <x:v>W6</x:v>
      </x:c>
      <x:c r="M15" s="30" t="str">
        <x:v>High</x:v>
      </x:c>
      <x:c r="N15" s="30" t="str">
        <x:v>Data Scientist</x:v>
      </x:c>
      <x:c r="O15" s="30" t="str">
        <x:v>Proposed</x:v>
      </x:c>
      <x:c r="P15" s="30" t="str">
        <x:v>نیازمند تکمیل و تأیید مالک</x:v>
      </x:c>
      <x:c r="Q15" s="30" t="str">
        <x:v>نیازمند تکمیل و تأیید مالک</x:v>
      </x:c>
      <x:c r="R15" s="30" t="str">
        <x:v>نیازمند تکمیل و تأیید مالک</x:v>
      </x:c>
    </x:row>
    <x:row r="16">
      <x:c r="A16" s="17" t="inlineStr">
        <x:is>
          <x:t xml:space="preserve">MOD-15</x:t>
        </x:is>
      </x:c>
      <x:c r="B16" s="4" t="inlineStr">
        <x:is>
          <x:t xml:space="preserve">مدل تشخیص و فیلترینگ کلاهبرداری کلیکی و ترافیک نامعتبر</x:t>
        </x:is>
      </x:c>
      <x:c r="C16" s="4" t="inlineStr">
        <x:is>
          <x:t xml:space="preserve">Click Fraud &amp; Invalid Traffic Detection Model</x:t>
        </x:is>
      </x:c>
      <x:c r="D16" s="4" t="inlineStr">
        <x:is>
          <x:t xml:space="preserve">شناسایی بلادرنگ کلیک‌های ربات‌ها، حملات رقبا روی گوگل ادز و سشن‌های ساختگی جهت مسدودسازی و حفظ سرمایه شرکت.</x:t>
        </x:is>
      </x:c>
      <x:c r="E16" s="4" t="inlineStr">
        <x:is>
          <x:t xml:space="preserve">جنگل انزوای داده‌های پرت (Isolation Forest)، خوشه‌بندی چگالی‌محور DBSCAN و طبقه‌بندی توالی‌های رفتاری.</x:t>
        </x:is>
      </x:c>
      <x:c r="F16" s="4" t="inlineStr">
        <x:is>
          <x:t xml:space="preserve">آدرس IP، رشته User-Agent، سرعت کلیک، زمان حضور در صفحه، مختصات حرکت ماوس و الگوهای اسکرول در وب‌سایت.</x:t>
        </x:is>
      </x:c>
      <x:c r="G16" s="4" t="inlineStr">
        <x:is>
          <x:t xml:space="preserve">استخراج ویژگی‌های مشکوک مانند عدم رخداد اسکرول، تعامل زیر ۳ ثانیه، فراوانی غیرعادی از یک IP یا شناسه کلاینت.</x:t>
        </x:is>
      </x:c>
      <x:c r="H16" s="4" t="inlineStr">
        <x:is>
          <x:t xml:space="preserve">نمره احتمال ربات بودن سشن (Bot Score از ۰ تا ۱)، مسدودسازی خودکار IP در فایروال و ارسال به لیست Exclusion گوگل ادز.</x:t>
        </x:is>
      </x:c>
      <x:c r="I16" s="4" t="inlineStr">
        <x:is>
          <x:t xml:space="preserve">نرخ تشخیص مثبت کاذب (False Positive Rate &lt; 0.5%) جهت جلوگیری از مسدود شدن پزشکان واقعی، ارزش ریالی بودجه نجات‌یافته.</x:t>
        </x:is>
      </x:c>
      <x:c r="J16" s="4" t="inlineStr">
        <x:is>
          <x:t xml:space="preserve">مسدود شدن کاربران اینترنت اشتراکی بیمارستان‌ها یا مراکز درمانی با IP مشترک؛ لزوم در نظر گرفتن الگوی خرید دندان‌پزشک.</x:t>
        </x:is>
      </x:c>
      <x:c r="K16" s="30" t="str">
        <x:v>MOD-15</x:v>
      </x:c>
      <x:c r="L16" s="30" t="str">
        <x:v>W6</x:v>
      </x:c>
      <x:c r="M16" s="30" t="str">
        <x:v>High</x:v>
      </x:c>
      <x:c r="N16" s="30" t="str">
        <x:v>Data Scientist</x:v>
      </x:c>
      <x:c r="O16" s="30" t="str">
        <x:v>Proposed</x:v>
      </x:c>
      <x:c r="P16" s="30" t="str">
        <x:v>نیازمند تکمیل و تأیید مالک</x:v>
      </x:c>
      <x:c r="Q16" s="30" t="str">
        <x:v>نیازمند تکمیل و تأیید مالک</x:v>
      </x:c>
      <x:c r="R16" s="30" t="str">
        <x:v>نیازمند تکمیل و تأیید مالک</x:v>
      </x:c>
    </x:row>
    <x:row r="17">
      <x:c r="A17" s="19" t="inlineStr">
        <x:is>
          <x:t xml:space="preserve">MOD-16</x:t>
        </x:is>
      </x:c>
      <x:c r="B17" s="6" t="inlineStr">
        <x:is>
          <x:t xml:space="preserve">مدل بخش‌بندی رفتاری پیشرفته دندان‌پزشکان</x:t>
        </x:is>
      </x:c>
      <x:c r="C17" s="6" t="inlineStr">
        <x:is>
          <x:t xml:space="preserve">Advanced Behavioral RFM &amp; Latent Class Clustering</x:t>
        </x:is>
      </x:c>
      <x:c r="D17" s="6" t="inlineStr">
        <x:is>
          <x:t xml:space="preserve">دسته‌بندی کلینیک‌ها و پزشکان به خوشه‌های همگن رفتاری بر اساس ارزش مالی، تنوع خرید و سبک تامین تجهیزات.</x:t>
        </x:is>
      </x:c>
      <x:c r="E17" s="6" t="inlineStr">
        <x:is>
          <x:t xml:space="preserve">تحلیل کلاس پنهان (Latent Class Analysis) ترکیب‌شده با الگوریتم K-Means مجهز به انتخاب خودکار K از طریق Silhouette Score.</x:t>
        </x:is>
      </x:c>
      <x:c r="F17" s="6" t="inlineStr">
        <x:is>
          <x:t xml:space="preserve">تازگی، فرکانس و ارزش خرید (RFM)، نسبت خرید مواد به تجهیزات، روش تسویه انتخابی، تخصص بالینی، سرعت پرداخت بدهی.</x:t>
        </x:is>
      </x:c>
      <x:c r="G17" s="6" t="inlineStr">
        <x:is>
          <x:t xml:space="preserve">تبدیل توزیع چوله به نرمال با استفاده از انتقال باکس-کاکس (Box-Cox Transformation) و استانداردسازی ویژگی‌ها.</x:t>
        </x:is>
      </x:c>
      <x:c r="H17" s="6" t="inlineStr">
        <x:is>
          <x:t xml:space="preserve">شناسه خوشه رفتاری هر مشتری (خوشه کلینیک‌های پرمصرف، پزشکان تجهیزات‌محور، خریداران جشنواره‌ای، مشتریان منفعل).</x:t>
        </x:is>
      </x:c>
      <x:c r="I17" s="6" t="inlineStr">
        <x:is>
          <x:t xml:space="preserve">ضریب شباهت Silhouette Score &gt; 0.65، پایداری خوشه‌ها در طول دوره‌های فصلی ۶ ماهه.</x:t>
        </x:is>
      </x:c>
      <x:c r="J17" s="6" t="inlineStr">
        <x:is>
          <x:t xml:space="preserve">تغییر مداوم خوشه مشتریان در صورت تغییرات سریع مقیاس مطب؛ نیاز به اجرای مجدد مدل در ابتدای هر فصل کاری.</x:t>
        </x:is>
      </x:c>
      <x:c r="K17" s="30" t="str">
        <x:v>MOD-16</x:v>
      </x:c>
      <x:c r="L17" s="30" t="str">
        <x:v>W6</x:v>
      </x:c>
      <x:c r="M17" s="30" t="str">
        <x:v>High</x:v>
      </x:c>
      <x:c r="N17" s="30" t="str">
        <x:v>Data Scientist</x:v>
      </x:c>
      <x:c r="O17" s="30" t="str">
        <x:v>Proposed</x:v>
      </x:c>
      <x:c r="P17" s="30" t="str">
        <x:v>نیازمند تکمیل و تأیید مالک</x:v>
      </x:c>
      <x:c r="Q17" s="30" t="str">
        <x:v>نیازمند تکمیل و تأیید مالک</x:v>
      </x:c>
      <x:c r="R17" s="30" t="str">
        <x:v>نیازمند تکمیل و تأیید مالک</x:v>
      </x:c>
    </x:row>
    <x:row r="18">
      <x:c r="A18" s="17" t="inlineStr">
        <x:is>
          <x:t xml:space="preserve">MOD-17</x:t>
        </x:is>
      </x:c>
      <x:c r="B18" s="4" t="inlineStr">
        <x:is>
          <x:t xml:space="preserve">مدل تحلیل بقای قراردادها و طول عمر چرخه خرید</x:t>
        </x:is>
      </x:c>
      <x:c r="C18" s="4" t="inlineStr">
        <x:is>
          <x:t xml:space="preserve">Customer Lifetime Survival Analysis</x:t>
        </x:is>
      </x:c>
      <x:c r="D18" s="4" t="inlineStr">
        <x:is>
          <x:t xml:space="preserve">تخمین احتمال بقا و ادامه فعالیت تجاری دندان‌پزشک در طول زمان و محاسبه نرخ خطر وقوع رویداد قطعی ارتباط تجاری.</x:t>
        </x:is>
      </x:c>
      <x:c r="E18" s="4" t="inlineStr">
        <x:is>
          <x:t xml:space="preserve">مدل خطرات متناسب کاکس (Cox Proportional Hazards) و منحنی‌های غیرپارامتریک کاپلان-مایر (Kaplan-Meier).</x:t>
        </x:is>
      </x:c>
      <x:c r="F18" s="4" t="inlineStr">
        <x:is>
          <x:t xml:space="preserve">مدت‌زمان از افتتاح حساب، تخصص بالینی، نوع مالکیت مطب، تجربه خدمات پس از فروش، تاخیر در تحویل مرسولات.</x:t>
        </x:is>
      </x:c>
      <x:c r="G18" s="4" t="inlineStr">
        <x:is>
          <x:t xml:space="preserve">مدیریت داده‌های سانسورشده سمت راست (Right-Censored Data برای مشتریانی که هنوز فعال هستند)، تست تناسب خطرات.</x:t>
        </x:is>
      </x:c>
      <x:c r="H18" s="4" t="inlineStr">
        <x:is>
          <x:t xml:space="preserve">منحنی بقای هر سگمنت کلینیکی، نسبت خطر (Hazard Ratio) هر یک از فاکتورهای رفتاری و خدمات بر حفظ مشتری.</x:t>
        </x:is>
      </x:c>
      <x:c r="I18" s="4" t="inlineStr">
        <x:is>
          <x:t xml:space="preserve">شاخص همخوانی هَرِل (Harrell's C-index &gt; 0.75)، تست رتبه‌ای آزمون لگاریتمی (Log-Rank Test).</x:t>
        </x:is>
      </x:c>
      <x:c r="J18" s="4" t="inlineStr">
        <x:is>
          <x:t xml:space="preserve">فرضیه ثبات خطرات در طول زمان که ممکن است با شوک‌های ارزی کلان نقض شود؛ نیاز به اضافه کردن متغیرهای وابسته به زمان.</x:t>
        </x:is>
      </x:c>
      <x:c r="K18" s="30" t="str">
        <x:v>MOD-17</x:v>
      </x:c>
      <x:c r="L18" s="30" t="str">
        <x:v>W6</x:v>
      </x:c>
      <x:c r="M18" s="30" t="str">
        <x:v>High</x:v>
      </x:c>
      <x:c r="N18" s="30" t="str">
        <x:v>Data Scientist</x:v>
      </x:c>
      <x:c r="O18" s="30" t="str">
        <x:v>Proposed</x:v>
      </x:c>
      <x:c r="P18" s="30" t="str">
        <x:v>نیازمند تکمیل و تأیید مالک</x:v>
      </x:c>
      <x:c r="Q18" s="30" t="str">
        <x:v>نیازمند تکمیل و تأیید مالک</x:v>
      </x:c>
      <x:c r="R18" s="30" t="str">
        <x:v>نیازمند تکمیل و تأیید مالک</x:v>
      </x:c>
    </x:row>
    <x:row r="19">
      <x:c r="A19" s="19" t="inlineStr">
        <x:is>
          <x:t xml:space="preserve">MOD-18</x:t>
        </x:is>
      </x:c>
      <x:c r="B19" s="6" t="inlineStr">
        <x:is>
          <x:t xml:space="preserve">مدل ارزیابی هم‌خواری کلمات کلیدی و کانال‌ها</x:t>
        </x:is>
      </x:c>
      <x:c r="C19" s="6" t="inlineStr">
        <x:is>
          <x:t xml:space="preserve">Keyword &amp; Channel Cannibalization Model</x:t>
        </x:is>
      </x:c>
      <x:c r="D19" s="6" t="inlineStr">
        <x:is>
          <x:t xml:space="preserve">تشخیص مواردی که کمپین‌های پولی سرچ جایگزین ترافیک ارگانیک رایگان می‌شوند، یا دو کمپین داخلی برای یک عبارت با هم رقابت می‌کنند.</x:t>
        </x:is>
      </x:c>
      <x:c r="E19" s="6" t="inlineStr">
        <x:is>
          <x:t xml:space="preserve">تحلیل سری‌های زمانی منقطع (Interrupted Time Series) و رگرسیون اثرات تثبیت‌شده (Fixed Effects Regression).</x:t>
        </x:is>
      </x:c>
      <x:c r="F19" s="6" t="inlineStr">
        <x:is>
          <x:t xml:space="preserve">کلیک‌های سرچ پولی، کلیک‌های سرچ کنسول ارگانیک، رتبه میانگین سئو، ایمپرشن‌ها و هزینه‌ها به تفکیک کوئری‌های اشتراکی.</x:t>
        </x:is>
      </x:c>
      <x:c r="G19" s="6" t="inlineStr">
        <x:is>
          <x:t xml:space="preserve">تطبیق دقیق عبارات کلیدی پولی با کوئری‌های ورودی ارگانیک در بازه‌های زمانی قبل و بعد از فعال‌سازی کمپین‌های برندی.</x:t>
        </x:is>
      </x:c>
      <x:c r="H19" s="6" t="inlineStr">
        <x:is>
          <x:t xml:space="preserve">درصد هم‌خواری خالص (Cannibalization Ratio)، توصیه به توقف تبلیغات روی عبارات برندی با رتبه یک قطعی ارگانیک.</x:t>
        </x:is>
      </x:c>
      <x:c r="I19" s="6" t="inlineStr">
        <x:is>
          <x:t xml:space="preserve">تغییر در کلیک‌های خالص افزایشی (Incremental Clicks)، صرفه‌جویی حاصل از حذف کلیدواژه‌های هم‌خوار.</x:t>
        </x:is>
      </x:c>
      <x:c r="J19" s="6" t="inlineStr">
        <x:is>
          <x:t xml:space="preserve">کاهش سهم کلی صفحه اول گوگل در صورت ورود تبلیغات رقیب بر روی نام تیتانا؛ لزوم ارزیابی حضور رقبای فعال در Auction.</x:t>
        </x:is>
      </x:c>
      <x:c r="K19" s="30" t="str">
        <x:v>MOD-18</x:v>
      </x:c>
      <x:c r="L19" s="30" t="str">
        <x:v>W6</x:v>
      </x:c>
      <x:c r="M19" s="30" t="str">
        <x:v>High</x:v>
      </x:c>
      <x:c r="N19" s="30" t="str">
        <x:v>Data Scientist</x:v>
      </x:c>
      <x:c r="O19" s="30" t="str">
        <x:v>Proposed</x:v>
      </x:c>
      <x:c r="P19" s="30" t="str">
        <x:v>نیازمند تکمیل و تأیید مالک</x:v>
      </x:c>
      <x:c r="Q19" s="30" t="str">
        <x:v>نیازمند تکمیل و تأیید مالک</x:v>
      </x:c>
      <x:c r="R19" s="30" t="str">
        <x:v>نیازمند تکمیل و تأیید مالک</x:v>
      </x:c>
    </x:row>
    <x:row r="20">
      <x:c r="A20" s="17" t="inlineStr">
        <x:is>
          <x:t xml:space="preserve">MOD-19</x:t>
        </x:is>
      </x:c>
      <x:c r="B20" s="4" t="inlineStr">
        <x:is>
          <x:t xml:space="preserve">مدل تحلیل احساسات و بازخورد کیفی دندان‌پزشکان با NLP</x:t>
        </x:is>
      </x:c>
      <x:c r="C20" s="4" t="inlineStr">
        <x:is>
          <x:t xml:space="preserve">Doctor Feedback &amp; NLP Sentiment Analysis</x:t>
        </x:is>
      </x:c>
      <x:c r="D20" s="4" t="inlineStr">
        <x:is>
          <x:t xml:space="preserve">استخراج خودکار نارضایتی‌ها، عیوب تجهیزات و تمایلات خرید از متن چت‌های پشتیبانی آنلاین، تیکت‌ها و مکالمات کال‌سنتر.</x:t>
        </x:is>
      </x:c>
      <x:c r="E20" s="4" t="inlineStr">
        <x:is>
          <x:t xml:space="preserve">مدل‌های ترنسفورمر زبان فارسی بر پایه ParsBERT و تکنیک‌های استخراج موجودیت نامدار (NER) و طبقه‌بندی متن.</x:t>
        </x:is>
      </x:c>
      <x:c r="F20" s="4" t="inlineStr">
        <x:is>
          <x:t xml:space="preserve">متن تیکت‌های پشتیبانی، کامنت‌های ثبت‌شده روی محصولات وب‌سایت، خلاصه گزارش متنی تماس‌های CRM کارشناسان فروش.</x:t>
        </x:is>
      </x:c>
      <x:c r="G20" s="4" t="inlineStr">
        <x:is>
          <x:t xml:space="preserve">نرمال‌سازی متن فارسی با کتابخانه هاضم، حذف ایست‌واژه‌ها، ماسک کردن اطلاعات شخصی PII قبل از ورود به مدل.</x:t>
        </x:is>
      </x:c>
      <x:c r="H20" s="4" t="inlineStr">
        <x:is>
          <x:t xml:space="preserve">نمره احساسات بازخورد (مثبت، منفی، خنثی)، برچسب‌های موضوعی (ایراد فنی یونیت، تاخیر باربری، گرانی قیمت، رضایت از گارانتی).</x:t>
        </x:is>
      </x:c>
      <x:c r="I20" s="4" t="inlineStr">
        <x:is>
          <x:t xml:space="preserve">معیار F1-Score در تفکیک شکایات بحرانی (&gt; 0.86)، همبستگی نمره NLP با شاخص CSAT ثبت‌شده.</x:t>
        </x:is>
      </x:c>
      <x:c r="J20" s="4" t="inlineStr">
        <x:is>
          <x:t xml:space="preserve">اصطلاحات بسیار تخصصی و بالینی دندان‌پزشکی که در لغت‌نامه‌های عمومی زبان فارسی وجود ندارد؛ نیاز به تیونینگ اختصاصی مدل.</x:t>
        </x:is>
      </x:c>
      <x:c r="K20" s="30" t="str">
        <x:v>MOD-19</x:v>
      </x:c>
      <x:c r="L20" s="30" t="str">
        <x:v>W6</x:v>
      </x:c>
      <x:c r="M20" s="30" t="str">
        <x:v>High</x:v>
      </x:c>
      <x:c r="N20" s="30" t="str">
        <x:v>Data Scientist</x:v>
      </x:c>
      <x:c r="O20" s="30" t="str">
        <x:v>Proposed</x:v>
      </x:c>
      <x:c r="P20" s="30" t="str">
        <x:v>نیازمند تکمیل و تأیید مالک</x:v>
      </x:c>
      <x:c r="Q20" s="30" t="str">
        <x:v>نیازمند تکمیل و تأیید مالک</x:v>
      </x:c>
      <x:c r="R20" s="30" t="str">
        <x:v>نیازمند تکمیل و تأیید مالک</x:v>
      </x:c>
    </x:row>
    <x:row r="21">
      <x:c r="A21" s="19" t="inlineStr">
        <x:is>
          <x:t xml:space="preserve">MOD-20</x:t>
        </x:is>
      </x:c>
      <x:c r="B21" s="6" t="inlineStr">
        <x:is>
          <x:t xml:space="preserve">مدل تخمین احتمال نکول و اعتبارسنجی فروش اقساطی کلینیک‌ها</x:t>
        </x:is>
      </x:c>
      <x:c r="C21" s="6" t="inlineStr">
        <x:is>
          <x:t xml:space="preserve">B2B Dental Credit Scoring &amp; Default Risk Model</x:t>
        </x:is>
      </x:c>
      <x:c r="D21" s="6" t="inlineStr">
        <x:is>
          <x:t xml:space="preserve">تعیین سقف خرید چکی/اقساطی تجهیزات سنگین و ارزیابی ریسک تاخیر در پاس شدن چک‌های صیادی کلینیک‌ها.</x:t>
        </x:is>
      </x:c>
      <x:c r="E21" s="6" t="inlineStr">
        <x:is>
          <x:t xml:space="preserve">رگرسیون لجستیک منظم (L1/L2 Penalized Logistic) با تکنیک Weight of Evidence (WoE) و امتیازبندی خطی کارتی (Scorecard).</x:t>
        </x:is>
      </x:c>
      <x:c r="F21" s="6" t="inlineStr">
        <x:is>
          <x:t xml:space="preserve">سابقه بازپرداخت چک‌های قبلی، قدمت پروانه مطب، متراژ و منطقه کلینیک، تعداد یونیت‌ها، گزارش‌های سامانه صیاد و بدهی مالیاتی.</x:t>
        </x:is>
      </x:c>
      <x:c r="G21" s="6" t="inlineStr">
        <x:is>
          <x:t xml:space="preserve">تقسیم متغیرها به باکت‌های همگن، محاسبه ضریب Information Value (IV) برای هر متغیر، مدیریت داده‌های گم‌شده.</x:t>
        </x:is>
      </x:c>
      <x:c r="H21" s="6" t="inlineStr">
        <x:is>
          <x:t xml:space="preserve">امتیاز اعتباری تیتانا (Credit Score از ۳۰۰ تا ۸۵۰)، رده اعتباری (A/B/C/D) و سقف مجاز فروش اقساطی مصوب.</x:t>
        </x:is>
      </x:c>
      <x:c r="I21" s="6" t="inlineStr">
        <x:is>
          <x:t xml:space="preserve">آماره کولموگروف-اسمیرنوف (K-S Statistic &gt; 40)، شاخص جینی (Gini Coefficient &gt; 0.50).</x:t>
        </x:is>
      </x:c>
      <x:c r="J21" s="6" t="inlineStr">
        <x:is>
          <x:t xml:space="preserve">نوسانات تورمی و اقتصادی ناگهانی که توان نقدینگی مطب‌ها را مختل می‌کند؛ نیاز به بازنگری فصلی سقف‌های اعتباری.</x:t>
        </x:is>
      </x:c>
      <x:c r="K21" s="30" t="str">
        <x:v>MOD-20</x:v>
      </x:c>
      <x:c r="L21" s="30" t="str">
        <x:v>W6</x:v>
      </x:c>
      <x:c r="M21" s="30" t="str">
        <x:v>High</x:v>
      </x:c>
      <x:c r="N21" s="30" t="str">
        <x:v>Data Scientist</x:v>
      </x:c>
      <x:c r="O21" s="30" t="str">
        <x:v>Proposed</x:v>
      </x:c>
      <x:c r="P21" s="30" t="str">
        <x:v>نیازمند تکمیل و تأیید مالک</x:v>
      </x:c>
      <x:c r="Q21" s="30" t="str">
        <x:v>نیازمند تکمیل و تأیید مالک</x:v>
      </x:c>
      <x:c r="R21" s="30" t="str">
        <x:v>نیازمند تکمیل و تأیید مالک</x:v>
      </x:c>
    </x:row>
    <x:row r="22">
      <x:c r="A22" s="17" t="inlineStr">
        <x:is>
          <x:t xml:space="preserve">MOD-21</x:t>
        </x:is>
      </x:c>
      <x:c r="B22" s="4" t="inlineStr">
        <x:is>
          <x:t xml:space="preserve">مدل بهینه‌سازی هوشمند قیمت پیشنهادی مزایده</x:t>
        </x:is>
      </x:c>
      <x:c r="C22" s="4" t="inlineStr">
        <x:is>
          <x:t xml:space="preserve">Intelligent Real-Time Bidding Optimizer</x:t>
        </x:is>
      </x:c>
      <x:c r="D22" s="4" t="inlineStr">
        <x:is>
          <x:t xml:space="preserve">تعدیل دینامیک حداکثر بید کلیک در گوگل ادز بر اساس احتمال خرید، ارزش سبد و زمان شبانه‌روز جهت بیشینه‌سازی سود ناخالص.</x:t>
        </x:is>
      </x:c>
      <x:c r="E22" s="4" t="inlineStr">
        <x:is>
          <x:t xml:space="preserve">مدل ارزیابی ارزش مورد انتظار بر پایه ضرب CVR تخمینی در ارزش هدف سفارش (Expected Value Bidder).</x:t>
        </x:is>
      </x:c>
      <x:c r="F22" s="4" t="inlineStr">
        <x:is>
          <x:t xml:space="preserve">کوئری جستجوشده، دستگاه کاربر، ساعت شبانه‌روز، پیش‌بینی CVR سشن، میانگین حاشیه سود دسته کالا.</x:t>
        </x:is>
      </x:c>
      <x:c r="G22" s="4" t="inlineStr">
        <x:is>
          <x:t xml:space="preserve">برآورد بلادرنگ نرخ تبدیل سشن با مدل‌های خطی سبک با تاخیر استنتاج زیر ۱۰ میلی‌ثانیه.</x:t>
        </x:is>
      </x:c>
      <x:c r="H22" s="4" t="inlineStr">
        <x:is>
          <x:t xml:space="preserve">ضریب تعدیل بید (Bid Modifier) بین -۵۰٪ تا +۱۰۰٪ ارسالی از طریق API و اسکریپت‌های اکانت ادز.</x:t>
        </x:is>
      </x:c>
      <x:c r="I22" s="4" t="inlineStr">
        <x:is>
          <x:t xml:space="preserve">بهبود شاخص POAS در کمپین‌های مورد آزمایش در مقایسه با بیدینگ استاندارد، کاهش هزینه کلیک‌های بی‌ثمر.</x:t>
        </x:is>
      </x:c>
      <x:c r="J22" s="4" t="inlineStr">
        <x:is>
          <x:t xml:space="preserve">محدودیت‌های فرکانس فراخوانی Google Ads API؛ لزوم دسته‌بندی و اجرای ساعتی به جای هر مزایده مجزا.</x:t>
        </x:is>
      </x:c>
      <x:c r="K22" s="30" t="str">
        <x:v>MOD-21</x:v>
      </x:c>
      <x:c r="L22" s="30" t="str">
        <x:v>W6</x:v>
      </x:c>
      <x:c r="M22" s="30" t="str">
        <x:v>High</x:v>
      </x:c>
      <x:c r="N22" s="30" t="str">
        <x:v>Data Scientist</x:v>
      </x:c>
      <x:c r="O22" s="30" t="str">
        <x:v>Proposed</x:v>
      </x:c>
      <x:c r="P22" s="30" t="str">
        <x:v>نیازمند تکمیل و تأیید مالک</x:v>
      </x:c>
      <x:c r="Q22" s="30" t="str">
        <x:v>نیازمند تکمیل و تأیید مالک</x:v>
      </x:c>
      <x:c r="R22" s="30" t="str">
        <x:v>نیازمند تکمیل و تأیید مالک</x:v>
      </x:c>
    </x:row>
    <x:row r="23">
      <x:c r="A23" s="19" t="inlineStr">
        <x:is>
          <x:t xml:space="preserve">MOD-22</x:t>
        </x:is>
      </x:c>
      <x:c r="B23" s="6" t="inlineStr">
        <x:is>
          <x:t xml:space="preserve">مدل شبیه‌سازی مسیر چندکاناله و سناریوهای What-If</x:t>
        </x:is>
      </x:c>
      <x:c r="C23" s="6" t="inlineStr">
        <x:is>
          <x:t xml:space="preserve">Omnichannel Customer Journey Simulator</x:t>
        </x:is>
      </x:c>
      <x:c r="D23" s="6" t="inlineStr">
        <x:is>
          <x:t xml:space="preserve">شبیه‌سازی نتایج تصمیمات استراتژیک (مانند حذف کامل تبلیغات اینستاگرام یا دو برابر کردن حضور در کنگره‌ها) بر کل سفر خرید مشتری.</x:t>
        </x:is>
      </x:c>
      <x:c r="E23" s="6" t="inlineStr">
        <x:is>
          <x:t xml:space="preserve">مدل‌سازی مبتنی بر عامل (Agent-Based Modeling - ABM) و زنجیره‌های جذب چندحالته.</x:t>
        </x:is>
      </x:c>
      <x:c r="F23" s="6" t="inlineStr">
        <x:is>
          <x:t xml:space="preserve">ماتریس احتمال انتقال میان تاچ‌پوینت‌ها، زمان توقف در هر مرحله، ظرفیت کانال‌ها و نرخ تعامل محتواها.</x:t>
        </x:is>
      </x:c>
      <x:c r="G23" s="6" t="inlineStr">
        <x:is>
          <x:t xml:space="preserve">تعریف رفتار کارگزاران (نمایندگان مطب‌های مختلف با بودجه‌ها و نیازهای گوناگون)، اعتبارسنجی با توزیع تاریخی سفرها.</x:t>
        </x:is>
      </x:c>
      <x:c r="H23" s="6" t="inlineStr">
        <x:is>
          <x:t xml:space="preserve">پیش‌بینی درآمد کل، تعداد لید و تغییرات قیف در ماتریس سناریوهای What-If مدیر ارشد بازاریابی.</x:t>
        </x:is>
      </x:c>
      <x:c r="I23" s="6" t="inlineStr">
        <x:is>
          <x:t xml:space="preserve">تطابق خروجی شبیه‌سازی با روندهای فصول گذشته، ثبات منطقی اثرات افزایشی.</x:t>
        </x:is>
      </x:c>
      <x:c r="J23" s="6" t="inlineStr">
        <x:is>
          <x:t xml:space="preserve">پیچیدگی محاسباتی و فرضیات ساده‌کننده رفتار دندان‌پزشکان؛ خروجی صرفاً جهت راهنمایی تصمیم‌گیری کلان کاربرد دارد.</x:t>
        </x:is>
      </x:c>
      <x:c r="K23" s="30" t="str">
        <x:v>MOD-22</x:v>
      </x:c>
      <x:c r="L23" s="30" t="str">
        <x:v>W6</x:v>
      </x:c>
      <x:c r="M23" s="30" t="str">
        <x:v>High</x:v>
      </x:c>
      <x:c r="N23" s="30" t="str">
        <x:v>Data Scientist</x:v>
      </x:c>
      <x:c r="O23" s="30" t="str">
        <x:v>Proposed</x:v>
      </x:c>
      <x:c r="P23" s="30" t="str">
        <x:v>نیازمند تکمیل و تأیید مالک</x:v>
      </x:c>
      <x:c r="Q23" s="30" t="str">
        <x:v>نیازمند تکمیل و تأیید مالک</x:v>
      </x:c>
      <x:c r="R23" s="30" t="str">
        <x:v>نیازمند تکمیل و تأیید مالک</x:v>
      </x:c>
    </x:row>
    <x:row r="24">
      <x:c r="A24" s="17" t="inlineStr">
        <x:is>
          <x:t xml:space="preserve">MOD-23</x:t>
        </x:is>
      </x:c>
      <x:c r="B24" s="4" t="inlineStr">
        <x:is>
          <x:t xml:space="preserve">مدل پیش‌بینی زمان تا اولین خرید مجدد</x:t>
        </x:is>
      </x:c>
      <x:c r="C24" s="4" t="inlineStr">
        <x:is>
          <x:t xml:space="preserve">Time-to-Second-Purchase Hazard Model</x:t>
        </x:is>
      </x:c>
      <x:c r="D24" s="4" t="inlineStr">
        <x:is>
          <x:t xml:space="preserve">محاسبه دقیق فاصله زمانی بحرانی که یک خریدار بار اول باید خرید دوم را ثبت کند قبل از آنکه وارد ناحیه مرگ ارتباطی (Drop-off) شود.</x:t>
        </x:is>
      </x:c>
      <x:c r="E24" s="4" t="inlineStr">
        <x:is>
          <x:t xml:space="preserve">مدل شتاب‌یافته زمان شکست (Accelerated Failure Time - AFT) با توزیع لاگ-لجستیک.</x:t>
        </x:is>
      </x:c>
      <x:c r="F24" s="4" t="inlineStr">
        <x:is>
          <x:t xml:space="preserve">اقلام موجود در سبد خرید اول، میزان رضایت از تحویل اول، تخفیف استفاده‌شده در خرید اول، کانال جذب اولیه.</x:t>
        </x:is>
      </x:c>
      <x:c r="G24" s="4" t="inlineStr">
        <x:is>
          <x:t xml:space="preserve">محاسبه فاصله روزهای بین فاکتور یک و دو، طبقه‌بندی کالاها به اقلام مصرفی سریع در برابر تجهیزات دیرمصرف.</x:t>
        </x:is>
      </x:c>
      <x:c r="H24" s="4" t="inlineStr">
        <x:is>
          <x:t xml:space="preserve">منحنی چگالی احتمال زمان خرید دوم، زمان بهینه فعال‌سازی آفر اختصاصی خرید مجدد (معمولاً روز ۱۸ تا ۲۵ پس از خرید اول).</x:t>
        </x:is>
      </x:c>
      <x:c r="I24" s="4" t="inlineStr">
        <x:is>
          <x:t xml:space="preserve">ضریب توافق آماری و خطای میانه پیش‌بینی روز خرید مجدد (Median Absolute Error in Days).</x:t>
        </x:is>
      </x:c>
      <x:c r="J24" s="4" t="inlineStr">
        <x:is>
          <x:t xml:space="preserve">اگر خرید اول یونیت سنگین باشد، خرید بعدی ممکن است ۶ ماه بعد رخ دهد؛ نیاز به تفکیک شرطی کاتالوگ.</x:t>
        </x:is>
      </x:c>
      <x:c r="K24" s="30" t="str">
        <x:v>MOD-23</x:v>
      </x:c>
      <x:c r="L24" s="30" t="str">
        <x:v>W6</x:v>
      </x:c>
      <x:c r="M24" s="30" t="str">
        <x:v>High</x:v>
      </x:c>
      <x:c r="N24" s="30" t="str">
        <x:v>Data Scientist</x:v>
      </x:c>
      <x:c r="O24" s="30" t="str">
        <x:v>Proposed</x:v>
      </x:c>
      <x:c r="P24" s="30" t="str">
        <x:v>نیازمند تکمیل و تأیید مالک</x:v>
      </x:c>
      <x:c r="Q24" s="30" t="str">
        <x:v>نیازمند تکمیل و تأیید مالک</x:v>
      </x:c>
      <x:c r="R24" s="30" t="str">
        <x:v>نیازمند تکمیل و تأیید مالک</x:v>
      </x:c>
    </x:row>
    <x:row r="25">
      <x:c r="A25" s="19" t="inlineStr">
        <x:is>
          <x:t xml:space="preserve">MOD-24</x:t>
        </x:is>
      </x:c>
      <x:c r="B25" s="6" t="inlineStr">
        <x:is>
          <x:t xml:space="preserve">مدل خوشه‌بندی پتانسیل جغرافیایی فروش تجهیزات</x:t>
        </x:is>
      </x:c>
      <x:c r="C25" s="6" t="inlineStr">
        <x:is>
          <x:t xml:space="preserve">Clinic Density &amp; Territory Potential Spatial Clustering</x:t>
        </x:is>
      </x:c>
      <x:c r="D25" s="6" t="inlineStr">
        <x:is>
          <x:t xml:space="preserve">تخصیص بهینه جغرافیایی نیروهای فروش حضوری و هدف‌گیری مکانی ادز بر اساس چگالی مطب‌ها و قدرت خرید مناطق شهری.</x:t>
        </x:is>
      </x:c>
      <x:c r="E25" s="6" t="inlineStr">
        <x:is>
          <x:t xml:space="preserve">خوشه‌بندی فضایی مبتنی بر چگالی (DBSCAN / HDBSCAN) و شاخص موران محلی (Local Moran's I).</x:t>
        </x:is>
      </x:c>
      <x:c r="F25" s="6" t="inlineStr">
        <x:is>
          <x:t xml:space="preserve">مختصات جغرافیایی کلینیک‌ها، داده‌های جمعیتی مراکز استان‌ها، آمار سازمان نظام پزشکی از تعداد دندان‌پزشکان هر منطقه.</x:t>
        </x:is>
      </x:c>
      <x:c r="G25" s="6" t="inlineStr">
        <x:is>
          <x:t xml:space="preserve">شبکه‌بندی جغرافیایی نقشه‌ای (H3 Spatial Hexagons)، تجمیع متغیرهای تجاری در هر شش‌ضلعی شهری.</x:t>
        </x:is>
      </x:c>
      <x:c r="H25" s="6" t="inlineStr">
        <x:is>
          <x:t xml:space="preserve">نقشه حرارتی مناطق طلایی توسعه فروش (High-Yield Zones)، مرزبندی بهینه حوزه‌های ماموریت کارشناسان فروش B2B.</x:t>
        </x:is>
      </x:c>
      <x:c r="I25" s="6" t="inlineStr">
        <x:is>
          <x:t xml:space="preserve">شاخص تراکم درون‌خوشه‌ای و افزایش بهره‌وری جلسات حضوری ویزیت تجهیزات به ازای هر کیلومتر مسافت.</x:t>
        </x:is>
      </x:c>
      <x:c r="J25" s="6" t="inlineStr">
        <x:is>
          <x:t xml:space="preserve">داده‌های ناکافی از موقعیت دقیق جغرافیایی برخی کلینیک‌های شهرستان‌ها؛ نیاز به تدقیق آدرس پستی مطب‌ها.</x:t>
        </x:is>
      </x:c>
      <x:c r="K25" s="30" t="str">
        <x:v>MOD-24</x:v>
      </x:c>
      <x:c r="L25" s="30" t="str">
        <x:v>W6</x:v>
      </x:c>
      <x:c r="M25" s="30" t="str">
        <x:v>High</x:v>
      </x:c>
      <x:c r="N25" s="30" t="str">
        <x:v>Data Scientist</x:v>
      </x:c>
      <x:c r="O25" s="30" t="str">
        <x:v>Proposed</x:v>
      </x:c>
      <x:c r="P25" s="30" t="str">
        <x:v>نیازمند تکمیل و تأیید مالک</x:v>
      </x:c>
      <x:c r="Q25" s="30" t="str">
        <x:v>نیازمند تکمیل و تأیید مالک</x:v>
      </x:c>
      <x:c r="R25" s="30" t="str">
        <x:v>نیازمند تکمیل و تأیید مالک</x:v>
      </x:c>
    </x:row>
    <x:row r="26">
      <x:c r="A26" s="17" t="inlineStr">
        <x:is>
          <x:t xml:space="preserve">MOD-25</x:t>
        </x:is>
      </x:c>
      <x:c r="B26" s="4" t="inlineStr">
        <x:is>
          <x:t xml:space="preserve">مدل تشخیص ناهنجاری پیشرفته سری‌های زمانی درآمد</x:t>
        </x:is>
      </x:c>
      <x:c r="C26" s="4" t="inlineStr">
        <x:is>
          <x:t xml:space="preserve">Deep Temporal Anomaly Detection for Revenue Streams</x:t>
        </x:is>
      </x:c>
      <x:c r="D26" s="4" t="inlineStr">
        <x:is>
          <x:t xml:space="preserve">پایش بلادرنگ و کشف هوشمند اختلالات پنهان در تراکنش‌ها، افت ناگهانی فروش یک برند خاص یا ناهماهنگی درآمدی سیستم.</x:t>
        </x:is>
      </x:c>
      <x:c r="E26" s="4" t="inlineStr">
        <x:is>
          <x:t xml:space="preserve">خودرمزگذار شبکه‌های عصبی حافظه طولانی‌کوتاه‌مدت (LSTM Autoencoder) جهت یادگیری الگوی نرمال جریان داده.</x:t>
        </x:is>
      </x:c>
      <x:c r="F26" s="4" t="inlineStr">
        <x:is>
          <x:t xml:space="preserve">سری‌های زمانی تجمیعی درآمد ۵ دقیقه‌ای، حجم تراکنش‌ها، تعداد سبدهای فعال، ترافیک ورودی، تفکیک درگاه‌های پرداخت.</x:t>
        </x:is>
      </x:c>
      <x:c r="G26" s="4" t="inlineStr">
        <x:is>
          <x:t xml:space="preserve">مقیاس‌بندی MinMax، ساخت پنجره‌های زمانی لغزان ۲۴ ساعته جهت یادگیری فصلی بودن الگوهای شبانه‌روز.</x:t>
        </x:is>
      </x:c>
      <x:c r="H26" s="4" t="inlineStr">
        <x:is>
          <x:t xml:space="preserve">خطای بازسازی شبکه (Reconstruction Error)؛ در صورت عبور خطا از حد آستانه داینامیک، فعال‌سازی آلارم سطح یک سازمانی.</x:t>
        </x:is>
      </x:c>
      <x:c r="I26" s="4" t="inlineStr">
        <x:is>
          <x:t xml:space="preserve">معیار F1-Score روی داده‌های تست حاوی قطعی‌های مستند شده گذشته، حداقل نرخ مثبت کاذب در تعطیلات.</x:t>
        </x:is>
      </x:c>
      <x:c r="J26" s="4" t="inlineStr">
        <x:is>
          <x:t xml:space="preserve">نیاز به منابع پردازشی مستمر GPU/CPU؛ نیاز به بازآموزی مداوم شبکه همگام با رشد طبیعی مقیاس فروش تیتانا.</x:t>
        </x:is>
      </x:c>
      <x:c r="K26" s="30" t="str">
        <x:v>MOD-25</x:v>
      </x:c>
      <x:c r="L26" s="30" t="str">
        <x:v>W6</x:v>
      </x:c>
      <x:c r="M26" s="30" t="str">
        <x:v>High</x:v>
      </x:c>
      <x:c r="N26" s="30" t="str">
        <x:v>Data Scientist</x:v>
      </x:c>
      <x:c r="O26" s="30" t="str">
        <x:v>Proposed</x:v>
      </x:c>
      <x:c r="P26" s="30" t="str">
        <x:v>نیازمند تکمیل و تأیید مالک</x:v>
      </x:c>
      <x:c r="Q26" s="30" t="str">
        <x:v>نیازمند تکمیل و تأیید مالک</x:v>
      </x:c>
      <x:c r="R26" s="30" t="str">
        <x:v>نیازمند تکمیل و تأیید مالک</x:v>
      </x:c>
    </x:row>
  </x:sheetData>
  <x:dataValidations count="1">
    <x:dataValidation type="list" sqref="O2:O26">
      <x:formula1>"Proposed,Ready,In Progress,Implemented,Tested,Blocked"</x:formula1>
    </x:dataValidation>
  </x:dataValidations>
  <x:pageMargins left="0.7" right="0.7" top="0.75" bottom="0.75" header="0.3" footer="0.3"/>
  <x:tableParts count="2">
    <x:tablePart xmlns:r="http://schemas.openxmlformats.org/officeDocument/2006/relationships" r:id="R1618c678fce940e5"/>
    <x:tablePart xmlns:r="http://schemas.openxmlformats.org/officeDocument/2006/relationships" r:id="Raff67617a7c04a85"/>
  </x:tableParts>
</x:worksheet>
</file>

<file path=xl/worksheets/sheet15.xml><?xml version="1.0" encoding="utf-8"?>
<x:worksheet xmlns:x="http://schemas.openxmlformats.org/spreadsheetml/2006/main">
  <x:sheetPr>
    <x:tabColor rgb="FF1F4E78"/>
  </x:sheetPr>
  <x:sheetViews>
    <x:sheetView workbookViewId="0">
      <x:pane ySplit="1" topLeftCell="A2" activePane="bottomLeft" state="frozen"/>
    </x:sheetView>
  </x:sheetViews>
  <x:sheetFormatPr baseColWidth="8" defaultRowHeight="15"/>
  <x:cols>
    <x:col min="1" max="1" width="9" customWidth="1"/>
    <x:col min="2" max="2" width="30" customWidth="1"/>
    <x:col min="3" max="3" width="30" customWidth="1"/>
    <x:col min="4" max="4" width="16" customWidth="1"/>
    <x:col min="5" max="5" width="60" customWidth="1"/>
    <x:col min="6" max="6" width="10" customWidth="1"/>
  </x:cols>
  <x:sheetData>
    <x:row r="1" ht="30" customHeight="1">
      <x:c r="A1" s="5" t="inlineStr">
        <x:is>
          <x:t xml:space="preserve">Dep_ID</x:t>
        </x:is>
      </x:c>
      <x:c r="B1" s="5" t="inlineStr">
        <x:is>
          <x:t xml:space="preserve">From_Item</x:t>
        </x:is>
      </x:c>
      <x:c r="C1" s="5" t="inlineStr">
        <x:is>
          <x:t xml:space="preserve">To_Item</x:t>
        </x:is>
      </x:c>
      <x:c r="D1" s="5" t="inlineStr">
        <x:is>
          <x:t xml:space="preserve">Type</x:t>
        </x:is>
      </x:c>
      <x:c r="E1" s="5" t="inlineStr">
        <x:is>
          <x:t xml:space="preserve">Description_FA</x:t>
        </x:is>
      </x:c>
      <x:c r="F1" s="5" t="inlineStr">
        <x:is>
          <x:t xml:space="preserve">Blocking</x:t>
        </x:is>
      </x:c>
    </x:row>
    <x:row r="2">
      <x:c r="A2" s="17" t="inlineStr">
        <x:is>
          <x:t xml:space="preserve">DEP-001</x:t>
        </x:is>
      </x:c>
      <x:c r="B2" s="4" t="inlineStr">
        <x:is>
          <x:t xml:space="preserve">W0</x:t>
        </x:is>
      </x:c>
      <x:c r="C2" s="4" t="inlineStr">
        <x:is>
          <x:t xml:space="preserve">W1</x:t>
        </x:is>
      </x:c>
      <x:c r="D2" s="4" t="inlineStr">
        <x:is>
          <x:t xml:space="preserve">سلسله‌مراتب فاز</x:t>
        </x:is>
      </x:c>
      <x:c r="E2" s="4" t="inlineStr">
        <x:is>
          <x:t xml:space="preserve">حاکمیت و نام‌گذاری پیش از زیرساخت</x:t>
        </x:is>
      </x:c>
      <x:c r="F2" s="17" t="inlineStr">
        <x:is>
          <x:t xml:space="preserve">بله</x:t>
        </x:is>
      </x:c>
    </x:row>
    <x:row r="3">
      <x:c r="A3" s="19" t="inlineStr">
        <x:is>
          <x:t xml:space="preserve">DEP-002</x:t>
        </x:is>
      </x:c>
      <x:c r="B3" s="6" t="inlineStr">
        <x:is>
          <x:t xml:space="preserve">W1</x:t>
        </x:is>
      </x:c>
      <x:c r="C3" s="6" t="inlineStr">
        <x:is>
          <x:t xml:space="preserve">W2</x:t>
        </x:is>
      </x:c>
      <x:c r="D3" s="6" t="inlineStr">
        <x:is>
          <x:t xml:space="preserve">سلسله‌مراتب فاز</x:t>
        </x:is>
      </x:c>
      <x:c r="E3" s="6" t="inlineStr">
        <x:is>
          <x:t xml:space="preserve">هویت و هشینگ پیش از ترکینگ</x:t>
        </x:is>
      </x:c>
      <x:c r="F3" s="19" t="inlineStr">
        <x:is>
          <x:t xml:space="preserve">بله</x:t>
        </x:is>
      </x:c>
    </x:row>
    <x:row r="4">
      <x:c r="A4" s="17" t="inlineStr">
        <x:is>
          <x:t xml:space="preserve">DEP-003</x:t>
        </x:is>
      </x:c>
      <x:c r="B4" s="4" t="inlineStr">
        <x:is>
          <x:t xml:space="preserve">W2</x:t>
        </x:is>
      </x:c>
      <x:c r="C4" s="4" t="inlineStr">
        <x:is>
          <x:t xml:space="preserve">W3</x:t>
        </x:is>
      </x:c>
      <x:c r="D4" s="4" t="inlineStr">
        <x:is>
          <x:t xml:space="preserve">سلسله‌مراتب فاز</x:t>
        </x:is>
      </x:c>
      <x:c r="E4" s="4" t="inlineStr">
        <x:is>
          <x:t xml:space="preserve">رویداد و فیلدها پیش از لایه داده</x:t>
        </x:is>
      </x:c>
      <x:c r="F4" s="17" t="inlineStr">
        <x:is>
          <x:t xml:space="preserve">بله</x:t>
        </x:is>
      </x:c>
    </x:row>
    <x:row r="5">
      <x:c r="A5" s="19" t="inlineStr">
        <x:is>
          <x:t xml:space="preserve">DEP-004</x:t>
        </x:is>
      </x:c>
      <x:c r="B5" s="6" t="inlineStr">
        <x:is>
          <x:t xml:space="preserve">W3</x:t>
        </x:is>
      </x:c>
      <x:c r="C5" s="6" t="inlineStr">
        <x:is>
          <x:t xml:space="preserve">W4</x:t>
        </x:is>
      </x:c>
      <x:c r="D5" s="6" t="inlineStr">
        <x:is>
          <x:t xml:space="preserve">سلسله‌مراتب فاز</x:t>
        </x:is>
      </x:c>
      <x:c r="E5" s="6" t="inlineStr">
        <x:is>
          <x:t xml:space="preserve">دیتا پیش از متریک</x:t>
        </x:is>
      </x:c>
      <x:c r="F5" s="19" t="inlineStr">
        <x:is>
          <x:t xml:space="preserve">بله</x:t>
        </x:is>
      </x:c>
    </x:row>
    <x:row r="6">
      <x:c r="A6" s="17" t="inlineStr">
        <x:is>
          <x:t xml:space="preserve">DEP-005</x:t>
        </x:is>
      </x:c>
      <x:c r="B6" s="4" t="inlineStr">
        <x:is>
          <x:t xml:space="preserve">W4</x:t>
        </x:is>
      </x:c>
      <x:c r="C6" s="4" t="inlineStr">
        <x:is>
          <x:t xml:space="preserve">W5</x:t>
        </x:is>
      </x:c>
      <x:c r="D6" s="4" t="inlineStr">
        <x:is>
          <x:t xml:space="preserve">سلسله‌مراتب فاز</x:t>
        </x:is>
      </x:c>
      <x:c r="E6" s="4" t="inlineStr">
        <x:is>
          <x:t xml:space="preserve">متریک/KPI پیش از گزارش و داشبورد</x:t>
        </x:is>
      </x:c>
      <x:c r="F6" s="17" t="inlineStr">
        <x:is>
          <x:t xml:space="preserve">بله</x:t>
        </x:is>
      </x:c>
    </x:row>
    <x:row r="7">
      <x:c r="A7" s="19" t="inlineStr">
        <x:is>
          <x:t xml:space="preserve">DEP-006</x:t>
        </x:is>
      </x:c>
      <x:c r="B7" s="6" t="inlineStr">
        <x:is>
          <x:t xml:space="preserve">W5</x:t>
        </x:is>
      </x:c>
      <x:c r="C7" s="6" t="inlineStr">
        <x:is>
          <x:t xml:space="preserve">W6</x:t>
        </x:is>
      </x:c>
      <x:c r="D7" s="6" t="inlineStr">
        <x:is>
          <x:t xml:space="preserve">سلسله‌مراتب فاز</x:t>
        </x:is>
      </x:c>
      <x:c r="E7" s="6" t="inlineStr">
        <x:is>
          <x:t xml:space="preserve">تاریخچه و حجم داده پیش از مدل‌های AI</x:t>
        </x:is>
      </x:c>
      <x:c r="F7" s="19" t="inlineStr">
        <x:is>
          <x:t xml:space="preserve">بله</x:t>
        </x:is>
      </x:c>
    </x:row>
    <x:row r="8">
      <x:c r="A8" s="17" t="inlineStr">
        <x:is>
          <x:t xml:space="preserve">DEP-007</x:t>
        </x:is>
      </x:c>
      <x:c r="B8" s="4" t="inlineStr">
        <x:is>
          <x:t xml:space="preserve">TK-010 (Master ID)</x:t>
        </x:is>
      </x:c>
      <x:c r="C8" s="4" t="inlineStr">
        <x:is>
          <x:t xml:space="preserve">TK-083 (EXIDA QR)</x:t>
        </x:is>
      </x:c>
      <x:c r="D8" s="4" t="inlineStr">
        <x:is>
          <x:t xml:space="preserve">داده</x:t>
        </x:is>
      </x:c>
      <x:c r="E8" s="4" t="inlineStr">
        <x:is>
          <x:t xml:space="preserve">پیوند لید آفلاین به هویت واحد</x:t>
        </x:is>
      </x:c>
      <x:c r="F8" s="17" t="inlineStr">
        <x:is>
          <x:t xml:space="preserve">بله</x:t>
        </x:is>
      </x:c>
    </x:row>
    <x:row r="9">
      <x:c r="A9" s="19" t="inlineStr">
        <x:is>
          <x:t xml:space="preserve">DEP-008</x:t>
        </x:is>
      </x:c>
      <x:c r="B9" s="6" t="inlineStr">
        <x:is>
          <x:t xml:space="preserve">TK-011 (Hashing)</x:t>
        </x:is>
      </x:c>
      <x:c r="C9" s="6" t="inlineStr">
        <x:is>
          <x:t xml:space="preserve">TK-013 (CAPI)</x:t>
        </x:is>
      </x:c>
      <x:c r="D9" s="6" t="inlineStr">
        <x:is>
          <x:t xml:space="preserve">داده</x:t>
        </x:is>
      </x:c>
      <x:c r="E9" s="6" t="inlineStr">
        <x:is>
          <x:t xml:space="preserve">EMQ بالا نیازمند هش ph/email</x:t>
        </x:is>
      </x:c>
      <x:c r="F9" s="19" t="inlineStr">
        <x:is>
          <x:t xml:space="preserve">بله</x:t>
        </x:is>
      </x:c>
    </x:row>
    <x:row r="10">
      <x:c r="A10" s="17" t="inlineStr">
        <x:is>
          <x:t xml:space="preserve">DEP-009</x:t>
        </x:is>
      </x:c>
      <x:c r="B10" s="4" t="inlineStr">
        <x:is>
          <x:t xml:space="preserve">CRED-09 (نظام پزشکی)</x:t>
        </x:is>
      </x:c>
      <x:c r="C10" s="4" t="inlineStr">
        <x:is>
          <x:t xml:space="preserve">TK-010 (Identity)</x:t>
        </x:is>
      </x:c>
      <x:c r="D10" s="4" t="inlineStr">
        <x:is>
          <x:t xml:space="preserve">مدارک</x:t>
        </x:is>
      </x:c>
      <x:c r="E10" s="4" t="inlineStr">
        <x:is>
          <x:t xml:space="preserve">اعتبارسنجی MQL با وب‌سرویس نظام</x:t>
        </x:is>
      </x:c>
      <x:c r="F10" s="17" t="inlineStr">
        <x:is>
          <x:t xml:space="preserve">بله</x:t>
        </x:is>
      </x:c>
    </x:row>
    <x:row r="11">
      <x:c r="A11" s="19" t="inlineStr">
        <x:is>
          <x:t xml:space="preserve">DEP-010</x:t>
        </x:is>
      </x:c>
      <x:c r="B11" s="6" t="inlineStr">
        <x:is>
          <x:t xml:space="preserve">TK-041..053: SRC-01</x:t>
        </x:is>
      </x:c>
      <x:c r="C11" s="6" t="inlineStr">
        <x:is>
          <x:t xml:space="preserve">Entity: Campaign, Ad Set, Ad, Keyword, Search Term</x:t>
        </x:is>
      </x:c>
      <x:c r="D11" s="6" t="inlineStr">
        <x:is>
          <x:t xml:space="preserve">داده</x:t>
        </x:is>
      </x:c>
      <x:c r="E11" s="6" t="inlineStr">
        <x:is>
          <x:t xml:space="preserve">کانکتور منبع، پیش‌نیاز مدل موجودیت</x:t>
        </x:is>
      </x:c>
      <x:c r="F11" s="19" t="inlineStr">
        <x:is>
          <x:t xml:space="preserve">خیر</x:t>
        </x:is>
      </x:c>
    </x:row>
    <x:row r="12">
      <x:c r="A12" s="17" t="inlineStr">
        <x:is>
          <x:t xml:space="preserve">DEP-011</x:t>
        </x:is>
      </x:c>
      <x:c r="B12" s="4" t="inlineStr">
        <x:is>
          <x:t xml:space="preserve">TK-041..053: SRC-02</x:t>
        </x:is>
      </x:c>
      <x:c r="C12" s="4" t="inlineStr">
        <x:is>
          <x:t xml:space="preserve">Entity: Campaign, Ad, Creative, Lead</x:t>
        </x:is>
      </x:c>
      <x:c r="D12" s="4" t="inlineStr">
        <x:is>
          <x:t xml:space="preserve">داده</x:t>
        </x:is>
      </x:c>
      <x:c r="E12" s="4" t="inlineStr">
        <x:is>
          <x:t xml:space="preserve">کانکتور منبع، پیش‌نیاز مدل موجودیت</x:t>
        </x:is>
      </x:c>
      <x:c r="F12" s="17" t="inlineStr">
        <x:is>
          <x:t xml:space="preserve">خیر</x:t>
        </x:is>
      </x:c>
    </x:row>
    <x:row r="13">
      <x:c r="A13" s="19" t="inlineStr">
        <x:is>
          <x:t xml:space="preserve">DEP-012</x:t>
        </x:is>
      </x:c>
      <x:c r="B13" s="6" t="inlineStr">
        <x:is>
          <x:t xml:space="preserve">TK-041..053: SRC-03</x:t>
        </x:is>
      </x:c>
      <x:c r="C13" s="6" t="inlineStr">
        <x:is>
          <x:t xml:space="preserve">Entity: Session, Event, Landing Page</x:t>
        </x:is>
      </x:c>
      <x:c r="D13" s="6" t="inlineStr">
        <x:is>
          <x:t xml:space="preserve">داده</x:t>
        </x:is>
      </x:c>
      <x:c r="E13" s="6" t="inlineStr">
        <x:is>
          <x:t xml:space="preserve">کانکتور منبع، پیش‌نیاز مدل موجودیت</x:t>
        </x:is>
      </x:c>
      <x:c r="F13" s="19" t="inlineStr">
        <x:is>
          <x:t xml:space="preserve">خیر</x:t>
        </x:is>
      </x:c>
    </x:row>
    <x:row r="14">
      <x:c r="A14" s="17" t="inlineStr">
        <x:is>
          <x:t xml:space="preserve">DEP-013</x:t>
        </x:is>
      </x:c>
      <x:c r="B14" s="4" t="inlineStr">
        <x:is>
          <x:t xml:space="preserve">TK-041..053: SRC-04</x:t>
        </x:is>
      </x:c>
      <x:c r="C14" s="4" t="inlineStr">
        <x:is>
          <x:t xml:space="preserve">Entity: Order, Order Item, Product, Category, Brand, Inventory</x:t>
        </x:is>
      </x:c>
      <x:c r="D14" s="4" t="inlineStr">
        <x:is>
          <x:t xml:space="preserve">داده</x:t>
        </x:is>
      </x:c>
      <x:c r="E14" s="4" t="inlineStr">
        <x:is>
          <x:t xml:space="preserve">کانکتور منبع، پیش‌نیاز مدل موجودیت</x:t>
        </x:is>
      </x:c>
      <x:c r="F14" s="17" t="inlineStr">
        <x:is>
          <x:t xml:space="preserve">بله</x:t>
        </x:is>
      </x:c>
    </x:row>
    <x:row r="15">
      <x:c r="A15" s="19" t="inlineStr">
        <x:is>
          <x:t xml:space="preserve">DEP-014</x:t>
        </x:is>
      </x:c>
      <x:c r="B15" s="6" t="inlineStr">
        <x:is>
          <x:t xml:space="preserve">TK-041..053: SRC-05</x:t>
        </x:is>
      </x:c>
      <x:c r="C15" s="6" t="inlineStr">
        <x:is>
          <x:t xml:space="preserve">Entity: Lead, Customer, Salesperson, CRM Activity</x:t>
        </x:is>
      </x:c>
      <x:c r="D15" s="6" t="inlineStr">
        <x:is>
          <x:t xml:space="preserve">داده</x:t>
        </x:is>
      </x:c>
      <x:c r="E15" s="6" t="inlineStr">
        <x:is>
          <x:t xml:space="preserve">کانکتور منبع، پیش‌نیاز مدل موجودیت</x:t>
        </x:is>
      </x:c>
      <x:c r="F15" s="19" t="inlineStr">
        <x:is>
          <x:t xml:space="preserve">بله</x:t>
        </x:is>
      </x:c>
    </x:row>
    <x:row r="16">
      <x:c r="A16" s="17" t="inlineStr">
        <x:is>
          <x:t xml:space="preserve">DEP-015</x:t>
        </x:is>
      </x:c>
      <x:c r="B16" s="4" t="inlineStr">
        <x:is>
          <x:t xml:space="preserve">TK-041..053: SRC-06</x:t>
        </x:is>
      </x:c>
      <x:c r="C16" s="4" t="inlineStr">
        <x:is>
          <x:t xml:space="preserve">Entity: Order (مالی), Discount, Payment</x:t>
        </x:is>
      </x:c>
      <x:c r="D16" s="4" t="inlineStr">
        <x:is>
          <x:t xml:space="preserve">داده</x:t>
        </x:is>
      </x:c>
      <x:c r="E16" s="4" t="inlineStr">
        <x:is>
          <x:t xml:space="preserve">کانکتور منبع، پیش‌نیاز مدل موجودیت</x:t>
        </x:is>
      </x:c>
      <x:c r="F16" s="17" t="inlineStr">
        <x:is>
          <x:t xml:space="preserve">بله</x:t>
        </x:is>
      </x:c>
    </x:row>
    <x:row r="17">
      <x:c r="A17" s="19" t="inlineStr">
        <x:is>
          <x:t xml:space="preserve">DEP-016</x:t>
        </x:is>
      </x:c>
      <x:c r="B17" s="6" t="inlineStr">
        <x:is>
          <x:t xml:space="preserve">TK-041..053: SRC-07</x:t>
        </x:is>
      </x:c>
      <x:c r="C17" s="6" t="inlineStr">
        <x:is>
          <x:t xml:space="preserve">Entity: Inventory, Refund</x:t>
        </x:is>
      </x:c>
      <x:c r="D17" s="6" t="inlineStr">
        <x:is>
          <x:t xml:space="preserve">داده</x:t>
        </x:is>
      </x:c>
      <x:c r="E17" s="6" t="inlineStr">
        <x:is>
          <x:t xml:space="preserve">کانکتور منبع، پیش‌نیاز مدل موجودیت</x:t>
        </x:is>
      </x:c>
      <x:c r="F17" s="19" t="inlineStr">
        <x:is>
          <x:t xml:space="preserve">خیر</x:t>
        </x:is>
      </x:c>
    </x:row>
    <x:row r="18">
      <x:c r="A18" s="17" t="inlineStr">
        <x:is>
          <x:t xml:space="preserve">DEP-017</x:t>
        </x:is>
      </x:c>
      <x:c r="B18" s="4" t="inlineStr">
        <x:is>
          <x:t xml:space="preserve">TK-041..053: SRC-08</x:t>
        </x:is>
      </x:c>
      <x:c r="C18" s="4" t="inlineStr">
        <x:is>
          <x:t xml:space="preserve">Entity: Payment</x:t>
        </x:is>
      </x:c>
      <x:c r="D18" s="4" t="inlineStr">
        <x:is>
          <x:t xml:space="preserve">داده</x:t>
        </x:is>
      </x:c>
      <x:c r="E18" s="4" t="inlineStr">
        <x:is>
          <x:t xml:space="preserve">کانکتور منبع، پیش‌نیاز مدل موجودیت</x:t>
        </x:is>
      </x:c>
      <x:c r="F18" s="17" t="inlineStr">
        <x:is>
          <x:t xml:space="preserve">خیر</x:t>
        </x:is>
      </x:c>
    </x:row>
    <x:row r="19">
      <x:c r="A19" s="19" t="inlineStr">
        <x:is>
          <x:t xml:space="preserve">DEP-018</x:t>
        </x:is>
      </x:c>
      <x:c r="B19" s="6" t="inlineStr">
        <x:is>
          <x:t xml:space="preserve">TK-041..053: SRC-09</x:t>
        </x:is>
      </x:c>
      <x:c r="C19" s="6" t="inlineStr">
        <x:is>
          <x:t xml:space="preserve">Entity: Call Center</x:t>
        </x:is>
      </x:c>
      <x:c r="D19" s="6" t="inlineStr">
        <x:is>
          <x:t xml:space="preserve">داده</x:t>
        </x:is>
      </x:c>
      <x:c r="E19" s="6" t="inlineStr">
        <x:is>
          <x:t xml:space="preserve">کانکتور منبع، پیش‌نیاز مدل موجودیت</x:t>
        </x:is>
      </x:c>
      <x:c r="F19" s="19" t="inlineStr">
        <x:is>
          <x:t xml:space="preserve">خیر</x:t>
        </x:is>
      </x:c>
    </x:row>
    <x:row r="20">
      <x:c r="A20" s="17" t="inlineStr">
        <x:is>
          <x:t xml:space="preserve">DEP-019</x:t>
        </x:is>
      </x:c>
      <x:c r="B20" s="4" t="inlineStr">
        <x:is>
          <x:t xml:space="preserve">TK-041..053: SRC-10</x:t>
        </x:is>
      </x:c>
      <x:c r="C20" s="4" t="inlineStr">
        <x:is>
          <x:t xml:space="preserve">Entity: Email/SMS/Push, Loyalty Activity</x:t>
        </x:is>
      </x:c>
      <x:c r="D20" s="4" t="inlineStr">
        <x:is>
          <x:t xml:space="preserve">داده</x:t>
        </x:is>
      </x:c>
      <x:c r="E20" s="4" t="inlineStr">
        <x:is>
          <x:t xml:space="preserve">کانکتور منبع، پیش‌نیاز مدل موجودیت</x:t>
        </x:is>
      </x:c>
      <x:c r="F20" s="17" t="inlineStr">
        <x:is>
          <x:t xml:space="preserve">خیر</x:t>
        </x:is>
      </x:c>
    </x:row>
    <x:row r="21">
      <x:c r="A21" s="19" t="inlineStr">
        <x:is>
          <x:t xml:space="preserve">DEP-020</x:t>
        </x:is>
      </x:c>
      <x:c r="B21" s="6" t="inlineStr">
        <x:is>
          <x:t xml:space="preserve">TK-041..053: SRC-11</x:t>
        </x:is>
      </x:c>
      <x:c r="C21" s="6" t="inlineStr">
        <x:is>
          <x:t xml:space="preserve">Entity: Loyalty Activity</x:t>
        </x:is>
      </x:c>
      <x:c r="D21" s="6" t="inlineStr">
        <x:is>
          <x:t xml:space="preserve">داده</x:t>
        </x:is>
      </x:c>
      <x:c r="E21" s="6" t="inlineStr">
        <x:is>
          <x:t xml:space="preserve">کانکتور منبع، پیش‌نیاز مدل موجودیت</x:t>
        </x:is>
      </x:c>
      <x:c r="F21" s="19" t="inlineStr">
        <x:is>
          <x:t xml:space="preserve">خیر</x:t>
        </x:is>
      </x:c>
    </x:row>
    <x:row r="22">
      <x:c r="A22" s="17" t="inlineStr">
        <x:is>
          <x:t xml:space="preserve">DEP-021</x:t>
        </x:is>
      </x:c>
      <x:c r="B22" s="4" t="inlineStr">
        <x:is>
          <x:t xml:space="preserve">TK-041..053: SRC-12</x:t>
        </x:is>
      </x:c>
      <x:c r="C22" s="4" t="inlineStr">
        <x:is>
          <x:t xml:space="preserve">Entity: Affiliate, Influencer</x:t>
        </x:is>
      </x:c>
      <x:c r="D22" s="4" t="inlineStr">
        <x:is>
          <x:t xml:space="preserve">داده</x:t>
        </x:is>
      </x:c>
      <x:c r="E22" s="4" t="inlineStr">
        <x:is>
          <x:t xml:space="preserve">کانکتور منبع، پیش‌نیاز مدل موجودیت</x:t>
        </x:is>
      </x:c>
      <x:c r="F22" s="17" t="inlineStr">
        <x:is>
          <x:t xml:space="preserve">خیر</x:t>
        </x:is>
      </x:c>
    </x:row>
    <x:row r="23">
      <x:c r="A23" s="19" t="inlineStr">
        <x:is>
          <x:t xml:space="preserve">DEP-022</x:t>
        </x:is>
      </x:c>
      <x:c r="B23" s="6" t="inlineStr">
        <x:is>
          <x:t xml:space="preserve">TK-041..053: SRC-13</x:t>
        </x:is>
      </x:c>
      <x:c r="C23" s="6" t="inlineStr">
        <x:is>
          <x:t xml:space="preserve">Entity: Customer (medical_council_id)</x:t>
        </x:is>
      </x:c>
      <x:c r="D23" s="6" t="inlineStr">
        <x:is>
          <x:t xml:space="preserve">داده</x:t>
        </x:is>
      </x:c>
      <x:c r="E23" s="6" t="inlineStr">
        <x:is>
          <x:t xml:space="preserve">کانکتور منبع، پیش‌نیاز مدل موجودیت</x:t>
        </x:is>
      </x:c>
      <x:c r="F23" s="19" t="inlineStr">
        <x:is>
          <x:t xml:space="preserve">خیر</x:t>
        </x:is>
      </x:c>
    </x:row>
    <x:row r="24">
      <x:c r="A24" s="17" t="inlineStr">
        <x:is>
          <x:t xml:space="preserve">DEP-023</x:t>
        </x:is>
      </x:c>
      <x:c r="B24" s="4" t="inlineStr">
        <x:is>
          <x:t xml:space="preserve">Entity: Order (TK-054..082)</x:t>
        </x:is>
      </x:c>
      <x:c r="C24" s="4" t="inlineStr">
        <x:is>
          <x:t xml:space="preserve">TK-089..091 (Metric Layer)</x:t>
        </x:is>
      </x:c>
      <x:c r="D24" s="4" t="inlineStr">
        <x:is>
          <x:t xml:space="preserve">داده</x:t>
        </x:is>
      </x:c>
      <x:c r="E24" s="4" t="inlineStr">
        <x:is>
          <x:t xml:space="preserve">متریک‌های درآمد/سفارش بر پایه فکت سفارش</x:t>
        </x:is>
      </x:c>
      <x:c r="F24" s="17" t="inlineStr">
        <x:is>
          <x:t xml:space="preserve">بله</x:t>
        </x:is>
      </x:c>
    </x:row>
    <x:row r="25">
      <x:c r="A25" s="19" t="inlineStr">
        <x:is>
          <x:t xml:space="preserve">DEP-024</x:t>
        </x:is>
      </x:c>
      <x:c r="B25" s="6" t="inlineStr">
        <x:is>
          <x:t xml:space="preserve">Entity: Campaign (TK-054..082)</x:t>
        </x:is>
      </x:c>
      <x:c r="C25" s="6" t="inlineStr">
        <x:is>
          <x:t xml:space="preserve">TK-089..091 (Metric Layer)</x:t>
        </x:is>
      </x:c>
      <x:c r="D25" s="6" t="inlineStr">
        <x:is>
          <x:t xml:space="preserve">داده</x:t>
        </x:is>
      </x:c>
      <x:c r="E25" s="6" t="inlineStr">
        <x:is>
          <x:t xml:space="preserve">متریک‌های مدیا بر پایه دایمنشن کمپین</x:t>
        </x:is>
      </x:c>
      <x:c r="F25" s="19" t="inlineStr">
        <x:is>
          <x:t xml:space="preserve">بله</x:t>
        </x:is>
      </x:c>
    </x:row>
    <x:row r="26">
      <x:c r="A26" s="17" t="inlineStr">
        <x:is>
          <x:t xml:space="preserve">DEP-025</x:t>
        </x:is>
      </x:c>
      <x:c r="B26" s="4" t="inlineStr">
        <x:is>
          <x:t xml:space="preserve">Entity: Customer (TK-054..082)</x:t>
        </x:is>
      </x:c>
      <x:c r="C26" s="4" t="inlineStr">
        <x:is>
          <x:t xml:space="preserve">TK-089..091 (Metric Layer)</x:t>
        </x:is>
      </x:c>
      <x:c r="D26" s="4" t="inlineStr">
        <x:is>
          <x:t xml:space="preserve">داده</x:t>
        </x:is>
      </x:c>
      <x:c r="E26" s="4" t="inlineStr">
        <x:is>
          <x:t xml:space="preserve">متریک‌های وفاداری/CLV بر پایه هویت واحد</x:t>
        </x:is>
      </x:c>
      <x:c r="F26" s="17" t="inlineStr">
        <x:is>
          <x:t xml:space="preserve">بله</x:t>
        </x:is>
      </x:c>
    </x:row>
    <x:row r="27">
      <x:c r="A27" s="19" t="inlineStr">
        <x:is>
          <x:t xml:space="preserve">DEP-026</x:t>
        </x:is>
      </x:c>
      <x:c r="B27" s="6" t="inlineStr">
        <x:is>
          <x:t xml:space="preserve">TK-086 (COGS sync)</x:t>
        </x:is>
      </x:c>
      <x:c r="C27" s="6" t="inlineStr">
        <x:is>
          <x:t xml:space="preserve">TK-090 (Financial metrics)</x:t>
        </x:is>
      </x:c>
      <x:c r="D27" s="6" t="inlineStr">
        <x:is>
          <x:t xml:space="preserve">داده</x:t>
        </x:is>
      </x:c>
      <x:c r="E27" s="6" t="inlineStr">
        <x:is>
          <x:t xml:space="preserve">بدون COGS، MET-22..27 و KPI-44..49 محاسبه نمی‌شوند</x:t>
        </x:is>
      </x:c>
      <x:c r="F27" s="19" t="inlineStr">
        <x:is>
          <x:t xml:space="preserve">بله</x:t>
        </x:is>
      </x:c>
    </x:row>
    <x:row r="28">
      <x:c r="A28" s="17" t="inlineStr">
        <x:is>
          <x:t xml:space="preserve">DEP-027</x:t>
        </x:is>
      </x:c>
      <x:c r="B28" s="4" t="inlineStr">
        <x:is>
          <x:t xml:space="preserve">TK-092..176 (KPI-01..85)</x:t>
        </x:is>
      </x:c>
      <x:c r="C28" s="4" t="inlineStr">
        <x:is>
          <x:t xml:space="preserve">TK-177 (Quality Gate)</x:t>
        </x:is>
      </x:c>
      <x:c r="D28" s="4" t="inlineStr">
        <x:is>
          <x:t xml:space="preserve">دروازه</x:t>
        </x:is>
      </x:c>
      <x:c r="E28" s="4" t="inlineStr">
        <x:is>
          <x:t xml:space="preserve">تمام KPIها پیش از دروازه کیفیت</x:t>
        </x:is>
      </x:c>
      <x:c r="F28" s="17" t="inlineStr">
        <x:is>
          <x:t xml:space="preserve">بله</x:t>
        </x:is>
      </x:c>
    </x:row>
    <x:row r="29">
      <x:c r="A29" s="19" t="inlineStr">
        <x:is>
          <x:t xml:space="preserve">DEP-028</x:t>
        </x:is>
      </x:c>
      <x:c r="B29" s="6" t="inlineStr">
        <x:is>
          <x:t xml:space="preserve">TK-177 (Quality Gate)</x:t>
        </x:is>
      </x:c>
      <x:c r="C29" s="6" t="inlineStr">
        <x:is>
          <x:t xml:space="preserve">TK-178..225 (48 Reports)</x:t>
        </x:is>
      </x:c>
      <x:c r="D29" s="6" t="inlineStr">
        <x:is>
          <x:t xml:space="preserve">دروازه</x:t>
        </x:is>
      </x:c>
      <x:c r="E29" s="6" t="inlineStr">
        <x:is>
          <x:t xml:space="preserve">گزارش‌ها فقط روی KPIهای تأییدشده ساخته می‌شوند</x:t>
        </x:is>
      </x:c>
      <x:c r="F29" s="19" t="inlineStr">
        <x:is>
          <x:t xml:space="preserve">بله</x:t>
        </x:is>
      </x:c>
    </x:row>
    <x:row r="30">
      <x:c r="A30" s="17" t="inlineStr">
        <x:is>
          <x:t xml:space="preserve">DEP-029</x:t>
        </x:is>
      </x:c>
      <x:c r="B30" s="4" t="inlineStr">
        <x:is>
          <x:t xml:space="preserve">TK-178..225 (Reports)</x:t>
        </x:is>
      </x:c>
      <x:c r="C30" s="4" t="inlineStr">
        <x:is>
          <x:t xml:space="preserve">TK-226..235 (Dashboards)</x:t>
        </x:is>
      </x:c>
      <x:c r="D30" s="4" t="inlineStr">
        <x:is>
          <x:t xml:space="preserve">دروازه</x:t>
        </x:is>
      </x:c>
      <x:c r="E30" s="4" t="inlineStr">
        <x:is>
          <x:t xml:space="preserve">داشبوردها بر پایه گزارش‌های مرجع ساخته می‌شوند</x:t>
        </x:is>
      </x:c>
      <x:c r="F30" s="17" t="inlineStr">
        <x:is>
          <x:t xml:space="preserve">بله</x:t>
        </x:is>
      </x:c>
    </x:row>
    <x:row r="31">
      <x:c r="A31" s="19" t="inlineStr">
        <x:is>
          <x:t xml:space="preserve">DEP-030</x:t>
        </x:is>
      </x:c>
      <x:c r="B31" s="6" t="inlineStr">
        <x:is>
          <x:t xml:space="preserve">TK-251 (Real-time pipeline)</x:t>
        </x:is>
      </x:c>
      <x:c r="C31" s="6" t="inlineStr">
        <x:is>
          <x:t xml:space="preserve">TK-234 (Tier 3 Dashboard)</x:t>
        </x:is>
      </x:c>
      <x:c r="D31" s="6" t="inlineStr">
        <x:is>
          <x:t xml:space="preserve">داده</x:t>
        </x:is>
      </x:c>
      <x:c r="E31" s="6" t="inlineStr">
        <x:is>
          <x:t xml:space="preserve">Tier 3 نیازمند جریان ۱۵ دقیقه‌ای</x:t>
        </x:is>
      </x:c>
      <x:c r="F31" s="19" t="inlineStr">
        <x:is>
          <x:t xml:space="preserve">بله</x:t>
        </x:is>
      </x:c>
    </x:row>
    <x:row r="32">
      <x:c r="A32" s="17" t="inlineStr">
        <x:is>
          <x:t xml:space="preserve">DEP-031</x:t>
        </x:is>
      </x:c>
      <x:c r="B32" s="4" t="inlineStr">
        <x:is>
          <x:t xml:space="preserve">TK-040 (DWH)</x:t>
        </x:is>
      </x:c>
      <x:c r="C32" s="4" t="inlineStr">
        <x:is>
          <x:t xml:space="preserve">TK-226,230,234 (3 Dashboards)</x:t>
        </x:is>
      </x:c>
      <x:c r="D32" s="4" t="inlineStr">
        <x:is>
          <x:t xml:space="preserve">داده</x:t>
        </x:is>
      </x:c>
      <x:c r="E32" s="4" t="inlineStr">
        <x:is>
          <x:t xml:space="preserve">هر سه داشبورد بر DWH سوارند</x:t>
        </x:is>
      </x:c>
      <x:c r="F32" s="17" t="inlineStr">
        <x:is>
          <x:t xml:space="preserve">بله</x:t>
        </x:is>
      </x:c>
    </x:row>
    <x:row r="33">
      <x:c r="A33" s="19" t="inlineStr">
        <x:is>
          <x:t xml:space="preserve">DEP-032</x:t>
        </x:is>
      </x:c>
      <x:c r="B33" s="6" t="inlineStr">
        <x:is>
          <x:t xml:space="preserve">TK-251 (Real-time)</x:t>
        </x:is>
      </x:c>
      <x:c r="C33" s="6" t="inlineStr">
        <x:is>
          <x:t xml:space="preserve">TK-235..250 (Alerts)</x:t>
        </x:is>
      </x:c>
      <x:c r="D33" s="6" t="inlineStr">
        <x:is>
          <x:t xml:space="preserve">داده</x:t>
        </x:is>
      </x:c>
      <x:c r="E33" s="6" t="inlineStr">
        <x:is>
          <x:t xml:space="preserve">هشدارهای بلادرنگ نیازمند جریان زنده</x:t>
        </x:is>
      </x:c>
      <x:c r="F33" s="19" t="inlineStr">
        <x:is>
          <x:t xml:space="preserve">بله</x:t>
        </x:is>
      </x:c>
    </x:row>
    <x:row r="34">
      <x:c r="A34" s="17" t="inlineStr">
        <x:is>
          <x:t xml:space="preserve">DEP-033</x:t>
        </x:is>
      </x:c>
      <x:c r="B34" s="4" t="inlineStr">
        <x:is>
          <x:t xml:space="preserve">TK-085 (WMS webhook)</x:t>
        </x:is>
      </x:c>
      <x:c r="C34" s="4" t="inlineStr">
        <x:is>
          <x:t xml:space="preserve">TK-0247 (ALT-13 task)</x:t>
        </x:is>
      </x:c>
      <x:c r="D34" s="4" t="inlineStr">
        <x:is>
          <x:t xml:space="preserve">داده</x:t>
        </x:is>
      </x:c>
      <x:c r="E34" s="4" t="inlineStr">
        <x:is>
          <x:t xml:space="preserve">ALT-13 بدون Webhook WMS غیرممکن</x:t>
        </x:is>
      </x:c>
      <x:c r="F34" s="17" t="inlineStr">
        <x:is>
          <x:t xml:space="preserve">بله</x:t>
        </x:is>
      </x:c>
    </x:row>
    <x:row r="35">
      <x:c r="A35" s="19" t="inlineStr">
        <x:is>
          <x:t xml:space="preserve">DEP-034</x:t>
        </x:is>
      </x:c>
      <x:c r="B35" s="6" t="inlineStr">
        <x:is>
          <x:t xml:space="preserve">CRED-01 (Google Ads API)</x:t>
        </x:is>
      </x:c>
      <x:c r="C35" s="6" t="inlineStr">
        <x:is>
          <x:t xml:space="preserve">TK-085→ALT-13</x:t>
        </x:is>
      </x:c>
      <x:c r="D35" s="6" t="inlineStr">
        <x:is>
          <x:t xml:space="preserve">مدارک</x:t>
        </x:is>
      </x:c>
      <x:c r="E35" s="6" t="inlineStr">
        <x:is>
          <x:t xml:space="preserve">توقف خودکار ادست با Ads API</x:t>
        </x:is>
      </x:c>
      <x:c r="F35" s="19" t="inlineStr">
        <x:is>
          <x:t xml:space="preserve">بله</x:t>
        </x:is>
      </x:c>
    </x:row>
    <x:row r="36">
      <x:c r="A36" s="17" t="inlineStr">
        <x:is>
          <x:t xml:space="preserve">DEP-035</x:t>
        </x:is>
      </x:c>
      <x:c r="B36" s="4" t="inlineStr">
        <x:is>
          <x:t xml:space="preserve">TK-030 (generate_lead)</x:t>
        </x:is>
      </x:c>
      <x:c r="C36" s="4" t="inlineStr">
        <x:is>
          <x:t xml:space="preserve">TK-0244 (ALT-10 SLA)</x:t>
        </x:is>
      </x:c>
      <x:c r="D36" s="4" t="inlineStr">
        <x:is>
          <x:t xml:space="preserve">داده</x:t>
        </x:is>
      </x:c>
      <x:c r="E36" s="4" t="inlineStr">
        <x:is>
          <x:t xml:space="preserve">زمان‌سنج SLA از ورود لید می‌شمارد</x:t>
        </x:is>
      </x:c>
      <x:c r="F36" s="17" t="inlineStr">
        <x:is>
          <x:t xml:space="preserve">بله</x:t>
        </x:is>
      </x:c>
    </x:row>
    <x:row r="37">
      <x:c r="A37" s="19" t="inlineStr">
        <x:is>
          <x:t xml:space="preserve">DEP-036</x:t>
        </x:is>
      </x:c>
      <x:c r="B37" s="6" t="inlineStr">
        <x:is>
          <x:t xml:space="preserve">TK-039 (Audit tool)</x:t>
        </x:is>
      </x:c>
      <x:c r="C37" s="6" t="inlineStr">
        <x:is>
          <x:t xml:space="preserve">TK-235 (ALT-01/02)</x:t>
        </x:is>
      </x:c>
      <x:c r="D37" s="6" t="inlineStr">
        <x:is>
          <x:t xml:space="preserve">داده</x:t>
        </x:is>
      </x:c>
      <x:c r="E37" s="6" t="inlineStr">
        <x:is>
          <x:t xml:space="preserve">تشخیص افت رویداد با مانیتور Dedup/حجم</x:t>
        </x:is>
      </x:c>
      <x:c r="F37" s="19" t="inlineStr">
        <x:is>
          <x:t xml:space="preserve">بله</x:t>
        </x:is>
      </x:c>
    </x:row>
    <x:row r="38">
      <x:c r="A38" s="17" t="inlineStr">
        <x:is>
          <x:t xml:space="preserve">DEP-037</x:t>
        </x:is>
      </x:c>
      <x:c r="B38" s="4" t="inlineStr">
        <x:is>
          <x:t xml:space="preserve">TK-088 (Backfill 90d+)</x:t>
        </x:is>
      </x:c>
      <x:c r="C38" s="4" t="inlineStr">
        <x:is>
          <x:t xml:space="preserve">TK-258..282 (25 Models)</x:t>
        </x:is>
      </x:c>
      <x:c r="D38" s="4" t="inlineStr">
        <x:is>
          <x:t xml:space="preserve">داده</x:t>
        </x:is>
      </x:c>
      <x:c r="E38" s="4" t="inlineStr">
        <x:is>
          <x:t xml:space="preserve">مدل‌ها حداقل ۹۰-۱۰۴ هفته (هرچه بیشتر) داده تاریخی</x:t>
        </x:is>
      </x:c>
      <x:c r="F38" s="17" t="inlineStr">
        <x:is>
          <x:t xml:space="preserve">بله</x:t>
        </x:is>
      </x:c>
    </x:row>
    <x:row r="39">
      <x:c r="A39" s="19" t="inlineStr">
        <x:is>
          <x:t xml:space="preserve">DEP-038</x:t>
        </x:is>
      </x:c>
      <x:c r="B39" s="6" t="inlineStr">
        <x:is>
          <x:t xml:space="preserve">TK-092..176 (KPIs)</x:t>
        </x:is>
      </x:c>
      <x:c r="C39" s="6" t="inlineStr">
        <x:is>
          <x:t xml:space="preserve">TK-258..282 (Models)</x:t>
        </x:is>
      </x:c>
      <x:c r="D39" s="6" t="inlineStr">
        <x:is>
          <x:t xml:space="preserve">داده</x:t>
        </x:is>
      </x:c>
      <x:c r="E39" s="6" t="inlineStr">
        <x:is>
          <x:t xml:space="preserve">ورودی مدل‌ها از لایه متریک</x:t>
        </x:is>
      </x:c>
      <x:c r="F39" s="19" t="inlineStr">
        <x:is>
          <x:t xml:space="preserve">بله</x:t>
        </x:is>
      </x:c>
    </x:row>
    <x:row r="40">
      <x:c r="A40" s="17" t="inlineStr">
        <x:is>
          <x:t xml:space="preserve">DEP-039</x:t>
        </x:is>
      </x:c>
      <x:c r="B40" s="4" t="inlineStr">
        <x:is>
          <x:t xml:space="preserve">TK-258 (MMM data)</x:t>
        </x:is>
      </x:c>
      <x:c r="C40" s="4" t="inlineStr">
        <x:is>
          <x:t xml:space="preserve">TK-283 (Geo-Lift pilot)</x:t>
        </x:is>
      </x:c>
      <x:c r="D40" s="4" t="inlineStr">
        <x:is>
          <x:t xml:space="preserve">داده</x:t>
        </x:is>
      </x:c>
      <x:c r="E40" s="4" t="inlineStr">
        <x:is>
          <x:t xml:space="preserve">هم‌خطی هزینه/فروش هفتگی برای پایلوت</x:t>
        </x:is>
      </x:c>
      <x:c r="F40" s="17" t="inlineStr">
        <x:is>
          <x:t xml:space="preserve">خیر</x:t>
        </x:is>
      </x:c>
    </x:row>
    <x:row r="41">
      <x:c r="A41" s="19" t="inlineStr">
        <x:is>
          <x:t xml:space="preserve">DEP-040</x:t>
        </x:is>
      </x:c>
      <x:c r="B41" s="6" t="inlineStr">
        <x:is>
          <x:t xml:space="preserve">CRED-01 — Google Ads</x:t>
        </x:is>
      </x:c>
      <x:c r="C41" s="6" t="inlineStr">
        <x:is>
          <x:t xml:space="preserve">W2 شروع</x:t>
        </x:is>
      </x:c>
      <x:c r="D41" s="6" t="inlineStr">
        <x:is>
          <x:t xml:space="preserve">مدارک</x:t>
        </x:is>
      </x:c>
      <x:c r="E41" s="6" t="inlineStr">
        <x:is>
          <x:t xml:space="preserve">خواندن هزینه/تبدیل و اجرای توقف خودکار (ALT-13) — مالک: Media Buyer</x:t>
        </x:is>
      </x:c>
      <x:c r="F41" s="19" t="inlineStr">
        <x:is>
          <x:t xml:space="preserve">بله</x:t>
        </x:is>
      </x:c>
    </x:row>
    <x:row r="42">
      <x:c r="A42" s="17" t="inlineStr">
        <x:is>
          <x:t xml:space="preserve">DEP-041</x:t>
        </x:is>
      </x:c>
      <x:c r="B42" s="4" t="inlineStr">
        <x:is>
          <x:t xml:space="preserve">CRED-02 — Meta</x:t>
        </x:is>
      </x:c>
      <x:c r="C42" s="4" t="inlineStr">
        <x:is>
          <x:t xml:space="preserve">W2 شروع</x:t>
        </x:is>
      </x:c>
      <x:c r="D42" s="4" t="inlineStr">
        <x:is>
          <x:t xml:space="preserve">مدارک</x:t>
        </x:is>
      </x:c>
      <x:c r="E42" s="4" t="inlineStr">
        <x:is>
          <x:t xml:space="preserve">CAPI و خواندن EMQ و Audiences — مالک: Media Buyer</x:t>
        </x:is>
      </x:c>
      <x:c r="F42" s="17" t="inlineStr">
        <x:is>
          <x:t xml:space="preserve">بله</x:t>
        </x:is>
      </x:c>
    </x:row>
    <x:row r="43">
      <x:c r="A43" s="19" t="inlineStr">
        <x:is>
          <x:t xml:space="preserve">DEP-042</x:t>
        </x:is>
      </x:c>
      <x:c r="B43" s="6" t="inlineStr">
        <x:is>
          <x:t xml:space="preserve">CRED-03 — Google Analytics</x:t>
        </x:is>
      </x:c>
      <x:c r="C43" s="6" t="inlineStr">
        <x:is>
          <x:t xml:space="preserve">W2 شروع</x:t>
        </x:is>
      </x:c>
      <x:c r="D43" s="6" t="inlineStr">
        <x:is>
          <x:t xml:space="preserve">مدارک</x:t>
        </x:is>
      </x:c>
      <x:c r="E43" s="6" t="inlineStr">
        <x:is>
          <x:t xml:space="preserve">Export رویدادها و تحلیل خام — مالک: Senior Data Engineer</x:t>
        </x:is>
      </x:c>
      <x:c r="F43" s="19" t="inlineStr">
        <x:is>
          <x:t xml:space="preserve">بله</x:t>
        </x:is>
      </x:c>
    </x:row>
    <x:row r="44">
      <x:c r="A44" s="17" t="inlineStr">
        <x:is>
          <x:t xml:space="preserve">DEP-043</x:t>
        </x:is>
      </x:c>
      <x:c r="B44" s="4" t="inlineStr">
        <x:is>
          <x:t xml:space="preserve">CRED-04 — E-commerce Backend</x:t>
        </x:is>
      </x:c>
      <x:c r="C44" s="4" t="inlineStr">
        <x:is>
          <x:t xml:space="preserve">W3 شروع</x:t>
        </x:is>
      </x:c>
      <x:c r="D44" s="4" t="inlineStr">
        <x:is>
          <x:t xml:space="preserve">مدارک</x:t>
        </x:is>
      </x:c>
      <x:c r="E44" s="4" t="inlineStr">
        <x:is>
          <x:t xml:space="preserve">داده سفارش/محصول/موجودی — مالک: DevOps/Web Engineer</x:t>
        </x:is>
      </x:c>
      <x:c r="F44" s="17" t="inlineStr">
        <x:is>
          <x:t xml:space="preserve">بله</x:t>
        </x:is>
      </x:c>
    </x:row>
    <x:row r="45">
      <x:c r="A45" s="19" t="inlineStr">
        <x:is>
          <x:t xml:space="preserve">DEP-044</x:t>
        </x:is>
      </x:c>
      <x:c r="B45" s="6" t="inlineStr">
        <x:is>
          <x:t xml:space="preserve">CRED-05 — CRM</x:t>
        </x:is>
      </x:c>
      <x:c r="C45" s="6" t="inlineStr">
        <x:is>
          <x:t xml:space="preserve">W3 شروع</x:t>
        </x:is>
      </x:c>
      <x:c r="D45" s="6" t="inlineStr">
        <x:is>
          <x:t xml:space="preserve">مدارک</x:t>
        </x:is>
      </x:c>
      <x:c r="E45" s="6" t="inlineStr">
        <x:is>
          <x:t xml:space="preserve">پایپ‌لاین لید و فرصت — مالک: CRM Manager</x:t>
        </x:is>
      </x:c>
      <x:c r="F45" s="19" t="inlineStr">
        <x:is>
          <x:t xml:space="preserve">بله</x:t>
        </x:is>
      </x:c>
    </x:row>
    <x:row r="46">
      <x:c r="A46" s="17" t="inlineStr">
        <x:is>
          <x:t xml:space="preserve">DEP-045</x:t>
        </x:is>
      </x:c>
      <x:c r="B46" s="4" t="inlineStr">
        <x:is>
          <x:t xml:space="preserve">CRED-06 — Finance ERP</x:t>
        </x:is>
      </x:c>
      <x:c r="C46" s="4" t="inlineStr">
        <x:is>
          <x:t xml:space="preserve">W3 شروع</x:t>
        </x:is>
      </x:c>
      <x:c r="D46" s="4" t="inlineStr">
        <x:is>
          <x:t xml:space="preserve">مدارک</x:t>
        </x:is>
      </x:c>
      <x:c r="E46" s="4" t="inlineStr">
        <x:is>
          <x:t xml:space="preserve">درآمد خالص و COGS (KPI-44..49) — مالک: Finance Manager</x:t>
        </x:is>
      </x:c>
      <x:c r="F46" s="17" t="inlineStr">
        <x:is>
          <x:t xml:space="preserve">بله</x:t>
        </x:is>
      </x:c>
    </x:row>
    <x:row r="47">
      <x:c r="A47" s="19" t="inlineStr">
        <x:is>
          <x:t xml:space="preserve">DEP-046</x:t>
        </x:is>
      </x:c>
      <x:c r="B47" s="6" t="inlineStr">
        <x:is>
          <x:t xml:space="preserve">CRED-07 — WMS</x:t>
        </x:is>
      </x:c>
      <x:c r="C47" s="6" t="inlineStr">
        <x:is>
          <x:t xml:space="preserve">W3 شروع</x:t>
        </x:is>
      </x:c>
      <x:c r="D47" s="6" t="inlineStr">
        <x:is>
          <x:t xml:space="preserve">مدارک</x:t>
        </x:is>
      </x:c>
      <x:c r="E47" s="6" t="inlineStr">
        <x:is>
          <x:t xml:space="preserve">موجودی زنده و مرجوعی — مالک: Warehouse/Materials Manager</x:t>
        </x:is>
      </x:c>
      <x:c r="F47" s="19" t="inlineStr">
        <x:is>
          <x:t xml:space="preserve">بله</x:t>
        </x:is>
      </x:c>
    </x:row>
    <x:row r="48">
      <x:c r="A48" s="17" t="inlineStr">
        <x:is>
          <x:t xml:space="preserve">DEP-047</x:t>
        </x:is>
      </x:c>
      <x:c r="B48" s="4" t="inlineStr">
        <x:is>
          <x:t xml:space="preserve">CRED-08 — Payment Gateway</x:t>
        </x:is>
      </x:c>
      <x:c r="C48" s="4" t="inlineStr">
        <x:is>
          <x:t xml:space="preserve">W3 شروع</x:t>
        </x:is>
      </x:c>
      <x:c r="D48" s="4" t="inlineStr">
        <x:is>
          <x:t xml:space="preserve">مدارک</x:t>
        </x:is>
      </x:c>
      <x:c r="E48" s="4" t="inlineStr">
        <x:is>
          <x:t xml:space="preserve">استاتوس تراکنش و تسویه — مالک: DevOps/Web Engineer</x:t>
        </x:is>
      </x:c>
      <x:c r="F48" s="17" t="inlineStr">
        <x:is>
          <x:t xml:space="preserve">بله</x:t>
        </x:is>
      </x:c>
    </x:row>
    <x:row r="49">
      <x:c r="A49" s="19" t="inlineStr">
        <x:is>
          <x:t xml:space="preserve">DEP-048</x:t>
        </x:is>
      </x:c>
      <x:c r="B49" s="6" t="inlineStr">
        <x:is>
          <x:t xml:space="preserve">CRED-09 — Medical Council</x:t>
        </x:is>
      </x:c>
      <x:c r="C49" s="6" t="inlineStr">
        <x:is>
          <x:t xml:space="preserve">W1 شروع</x:t>
        </x:is>
      </x:c>
      <x:c r="D49" s="6" t="inlineStr">
        <x:is>
          <x:t xml:space="preserve">مدارک</x:t>
        </x:is>
      </x:c>
      <x:c r="E49" s="6" t="inlineStr">
        <x:is>
          <x:t xml:space="preserve">احراز MQL و sign_up (EVT-24) — مالک: Security &amp; Governance</x:t>
        </x:is>
      </x:c>
      <x:c r="F49" s="19" t="inlineStr">
        <x:is>
          <x:t xml:space="preserve">بله</x:t>
        </x:is>
      </x:c>
    </x:row>
    <x:row r="50">
      <x:c r="A50" s="17" t="inlineStr">
        <x:is>
          <x:t xml:space="preserve">DEP-049</x:t>
        </x:is>
      </x:c>
      <x:c r="B50" s="4" t="inlineStr">
        <x:is>
          <x:t xml:space="preserve">TK-005 (UTM Builder)</x:t>
        </x:is>
      </x:c>
      <x:c r="C50" s="4" t="inlineStr">
        <x:is>
          <x:t xml:space="preserve">TK-092..176 (KPI-78 و KPI-06..14)</x:t>
        </x:is>
      </x:c>
      <x:c r="D50" s="4" t="inlineStr">
        <x:is>
          <x:t xml:space="preserve">داده</x:t>
        </x:is>
      </x:c>
      <x:c r="E50" s="4" t="inlineStr">
        <x:is>
          <x:t xml:space="preserve">UTM-Comp%≥۹۸ برای KPI-78 و کیفیت ترافیک</x:t>
        </x:is>
      </x:c>
      <x:c r="F50" s="17" t="inlineStr">
        <x:is>
          <x:t xml:space="preserve">بله</x:t>
        </x:is>
      </x:c>
    </x:row>
    <x:row r="51">
      <x:c r="A51" s="19" t="inlineStr">
        <x:is>
          <x:t xml:space="preserve">DEP-050</x:t>
        </x:is>
      </x:c>
      <x:c r="B51" s="6" t="inlineStr">
        <x:is>
          <x:t xml:space="preserve">TK-002 (ID Mapping)</x:t>
        </x:is>
      </x:c>
      <x:c r="C51" s="6" t="inlineStr">
        <x:is>
          <x:t xml:space="preserve">TK-226..235 (Dashboards)</x:t>
        </x:is>
      </x:c>
      <x:c r="D51" s="6" t="inlineStr">
        <x:is>
          <x:t xml:space="preserve">حاکمیت</x:t>
        </x:is>
      </x:c>
      <x:c r="E51" s="6" t="inlineStr">
        <x:is>
          <x:t xml:space="preserve">نگاشت legacy→official پیش از نگاشت KPI داشبورد</x:t>
        </x:is>
      </x:c>
      <x:c r="F51" s="19" t="inlineStr">
        <x:is>
          <x:t xml:space="preserve">خیر</x:t>
        </x:is>
      </x:c>
    </x:row>
    <x:row r="52">
      <x:c r="A52" s="17" t="inlineStr">
        <x:is>
          <x:t xml:space="preserve">DEP-051</x:t>
        </x:is>
      </x:c>
      <x:c r="B52" s="4" t="inlineStr">
        <x:is>
          <x:t xml:space="preserve">TK-252 (Lead automation)</x:t>
        </x:is>
      </x:c>
      <x:c r="C52" s="4" t="inlineStr">
        <x:is>
          <x:t xml:space="preserve">TK-0244 (ALT-10)</x:t>
        </x:is>
      </x:c>
      <x:c r="D52" s="4" t="inlineStr">
        <x:is>
          <x:t xml:space="preserve">داده</x:t>
        </x:is>
      </x:c>
      <x:c r="E52" s="4" t="inlineStr">
        <x:is>
          <x:t xml:space="preserve">SLA Timer بر پایه روتینگ خودکار</x:t>
        </x:is>
      </x:c>
      <x:c r="F52" s="17" t="inlineStr">
        <x:is>
          <x:t xml:space="preserve">خیر</x:t>
        </x:is>
      </x:c>
    </x:row>
    <x:row r="53">
      <x:c r="A53" s="19" t="inlineStr">
        <x:is>
          <x:t xml:space="preserve">DEP-052</x:t>
        </x:is>
      </x:c>
      <x:c r="B53" s="6" t="inlineStr">
        <x:is>
          <x:t xml:space="preserve">TK-253 (RFM/CLV)</x:t>
        </x:is>
      </x:c>
      <x:c r="C53" s="6" t="inlineStr">
        <x:is>
          <x:t xml:space="preserve">TK-254 (Replenishment SMS)</x:t>
        </x:is>
      </x:c>
      <x:c r="D53" s="6" t="inlineStr">
        <x:is>
          <x:t xml:space="preserve">داده</x:t>
        </x:is>
      </x:c>
      <x:c r="E53" s="6" t="inlineStr">
        <x:is>
          <x:t xml:space="preserve">ATBP از مدل RFM/CLV</x:t>
        </x:is>
      </x:c>
      <x:c r="F53" s="19" t="inlineStr">
        <x:is>
          <x:t xml:space="preserve">خیر</x:t>
        </x:is>
      </x:c>
    </x:row>
    <x:row r="54">
      <x:c r="A54" s="17" t="inlineStr">
        <x:is>
          <x:t xml:space="preserve">DEP-053</x:t>
        </x:is>
      </x:c>
      <x:c r="B54" s="4" t="inlineStr">
        <x:is>
          <x:t xml:space="preserve">TK-256 (Checklists)</x:t>
        </x:is>
      </x:c>
      <x:c r="C54" s="4" t="inlineStr">
        <x:is>
          <x:t xml:space="preserve">TK-226..235 (UATs)</x:t>
        </x:is>
      </x:c>
      <x:c r="D54" s="4" t="inlineStr">
        <x:is>
          <x:t xml:space="preserve">فرایند</x:t>
        </x:is>
      </x:c>
      <x:c r="E54" s="4" t="inlineStr">
        <x:is>
          <x:t xml:space="preserve">UAT هر داشبورد با Checklist 7</x:t>
        </x:is>
      </x:c>
      <x:c r="F54" s="17" t="inlineStr">
        <x:is>
          <x:t xml:space="preserve">خیر</x:t>
        </x:is>
      </x:c>
    </x:row>
    <x:row r="55">
      <x:c r="A55" s="19" t="inlineStr">
        <x:is>
          <x:t xml:space="preserve">DEP-054</x:t>
        </x:is>
      </x:c>
      <x:c r="B55" s="6" t="inlineStr">
        <x:is>
          <x:t xml:space="preserve">TK-257 (Cadence)</x:t>
        </x:is>
      </x:c>
      <x:c r="C55" s="6" t="inlineStr">
        <x:is>
          <x:t xml:space="preserve">TK-226..235 (Dashboards)</x:t>
        </x:is>
      </x:c>
      <x:c r="D55" s="6" t="inlineStr">
        <x:is>
          <x:t xml:space="preserve">فرایند</x:t>
        </x:is>
      </x:c>
      <x:c r="E55" s="6" t="inlineStr">
        <x:is>
          <x:t xml:space="preserve">خلاصه CAD فقط از داشبوردهای پذیرفته‌شده</x:t>
        </x:is>
      </x:c>
      <x:c r="F55" s="19" t="inlineStr">
        <x:is>
          <x:t xml:space="preserve">خیر</x:t>
        </x:is>
      </x:c>
    </x:row>
    <x:row r="56">
      <x:c r="A56" s="17" t="inlineStr">
        <x:is>
          <x:t xml:space="preserve">DEP-055</x:t>
        </x:is>
      </x:c>
      <x:c r="B56" s="4" t="inlineStr">
        <x:is>
          <x:t xml:space="preserve">TK-013 (sGTM)</x:t>
        </x:is>
      </x:c>
      <x:c r="C56" s="4" t="inlineStr">
        <x:is>
          <x:t xml:space="preserve">TK-235..250 (Alerts)</x:t>
        </x:is>
      </x:c>
      <x:c r="D56" s="4" t="inlineStr">
        <x:is>
          <x:t xml:space="preserve">داده</x:t>
        </x:is>
      </x:c>
      <x:c r="E56" s="4" t="inlineStr">
        <x:is>
          <x:t xml:space="preserve">هشدارهای ترکینگ بر پایه جریان sGTM</x:t>
        </x:is>
      </x:c>
      <x:c r="F56" s="17" t="inlineStr">
        <x:is>
          <x:t xml:space="preserve">خیر</x:t>
        </x:is>
      </x:c>
    </x:row>
    <x:row r="57">
      <x:c r="A57" s="19" t="inlineStr">
        <x:is>
          <x:t xml:space="preserve">DEP-056</x:t>
        </x:is>
      </x:c>
      <x:c r="B57" s="6" t="inlineStr">
        <x:is>
          <x:t xml:space="preserve">TK-089..091 (Metrics)</x:t>
        </x:is>
      </x:c>
      <x:c r="C57" s="6" t="inlineStr">
        <x:is>
          <x:t xml:space="preserve">TK-178 (REP-01)</x:t>
        </x:is>
      </x:c>
      <x:c r="D57" s="6" t="inlineStr">
        <x:is>
          <x:t xml:space="preserve">داده</x:t>
        </x:is>
      </x:c>
      <x:c r="E57" s="6" t="inlineStr">
        <x:is>
          <x:t xml:space="preserve">گزارش C-Suite از متریک‌های مالی</x:t>
        </x:is>
      </x:c>
      <x:c r="F57" s="19" t="inlineStr">
        <x:is>
          <x:t xml:space="preserve">خیر</x:t>
        </x:is>
      </x:c>
    </x:row>
    <x:row r="58">
      <x:c r="A58" s="17" t="inlineStr">
        <x:is>
          <x:t xml:space="preserve">DEP-057</x:t>
        </x:is>
      </x:c>
      <x:c r="B58" s="4" t="inlineStr">
        <x:is>
          <x:t xml:space="preserve">TK-092..176 (KPIs)</x:t>
        </x:is>
      </x:c>
      <x:c r="C58" s="4" t="inlineStr">
        <x:is>
          <x:t xml:space="preserve">TK-257 (Cadence)</x:t>
        </x:is>
      </x:c>
      <x:c r="D58" s="4" t="inlineStr">
        <x:is>
          <x:t xml:space="preserve">داده</x:t>
        </x:is>
      </x:c>
      <x:c r="E58" s="4" t="inlineStr">
        <x:is>
          <x:t xml:space="preserve">SLA تحویل گزارش با KPI-79 تازگی</x:t>
        </x:is>
      </x:c>
      <x:c r="F58" s="17" t="inlineStr">
        <x:is>
          <x:t xml:space="preserve">خیر</x:t>
        </x:is>
      </x:c>
    </x:row>
    <x:row r="59">
      <x:c r="A59" s="19" t="inlineStr">
        <x:is>
          <x:t xml:space="preserve">DEP-058</x:t>
        </x:is>
      </x:c>
      <x:c r="B59" s="6" t="inlineStr">
        <x:is>
          <x:t xml:space="preserve">TK-022..024 (checkout events)</x:t>
        </x:is>
      </x:c>
      <x:c r="C59" s="6" t="inlineStr">
        <x:is>
          <x:t xml:space="preserve">TK-239 (ALT-09 Cart)</x:t>
        </x:is>
      </x:c>
      <x:c r="D59" s="6" t="inlineStr">
        <x:is>
          <x:t xml:space="preserve">داده</x:t>
        </x:is>
      </x:c>
      <x:c r="E59" s="6" t="inlineStr">
        <x:is>
          <x:t xml:space="preserve">هشدار رهاسازی سبد از EVT-07/08</x:t>
        </x:is>
      </x:c>
      <x:c r="F59" s="19" t="inlineStr">
        <x:is>
          <x:t xml:space="preserve">خیر</x:t>
        </x:is>
      </x:c>
    </x:row>
    <x:row r="60">
      <x:c r="A60" s="17" t="inlineStr">
        <x:is>
          <x:t xml:space="preserve">DEP-059</x:t>
        </x:is>
      </x:c>
      <x:c r="B60" s="4" t="inlineStr">
        <x:is>
          <x:t xml:space="preserve">TK-038 (sign_up)</x:t>
        </x:is>
      </x:c>
      <x:c r="C60" s="4" t="inlineStr">
        <x:is>
          <x:t xml:space="preserve">TK-0250 (ALT-16)</x:t>
        </x:is>
      </x:c>
      <x:c r="D60" s="4" t="inlineStr">
        <x:is>
          <x:t xml:space="preserve">داده</x:t>
        </x:is>
      </x:c>
      <x:c r="E60" s="4" t="inlineStr">
        <x:is>
          <x:t xml:space="preserve">پایش چورن VIP از sign_up/tier</x:t>
        </x:is>
      </x:c>
      <x:c r="F60" s="17" t="inlineStr">
        <x:is>
          <x:t xml:space="preserve">خیر</x:t>
        </x:is>
      </x:c>
    </x:row>
    <x:row r="61">
      <x:c r="A61" s="19" t="inlineStr">
        <x:is>
          <x:t xml:space="preserve">DEP-060</x:t>
        </x:is>
      </x:c>
      <x:c r="B61" s="6" t="inlineStr">
        <x:is>
          <x:t xml:space="preserve">CRED-03 (BigQuery)</x:t>
        </x:is>
      </x:c>
      <x:c r="C61" s="6" t="inlineStr">
        <x:is>
          <x:t xml:space="preserve">TK-258..282 (Models)</x:t>
        </x:is>
      </x:c>
      <x:c r="D61" s="6" t="inlineStr">
        <x:is>
          <x:t xml:space="preserve">مدارک</x:t>
        </x:is>
      </x:c>
      <x:c r="E61" s="6" t="inlineStr">
        <x:is>
          <x:t xml:space="preserve">مدل‌ها روی BigQuery اجرا می‌شوند</x:t>
        </x:is>
      </x:c>
      <x:c r="F61" s="19" t="inlineStr">
        <x:is>
          <x:t xml:space="preserve">بله</x:t>
        </x:is>
      </x:c>
    </x:row>
  </x:sheetData>
  <x:conditionalFormatting sqref="F2:F61">
    <x:cfRule type="cellIs" dxfId="0" priority="1" operator="equal">
      <x:formula>"بله"</x:formula>
    </x:cfRule>
  </x:conditionalFormatting>
  <x:dataValidations count="1">
    <x:dataValidation type="list" allowBlank="1" showDropDown="0" showInputMessage="0" showErrorMessage="1" errorTitle="مقدار نامعتبر" error="مقدار از لیست مجاز انتخاب شود" promptTitle="فهرست" prompt="از فهرست کشویی انتخاب کنید" sqref="F2:F61">
      <x:formula1>=_LISTS!$I$2:$I$3</x:formula1>
    </x:dataValidation>
  </x:dataValidations>
  <x:pageMargins left="0.7" right="0.7" top="0.75" bottom="0.75" header="0.3" footer="0.3"/>
  <x:tableParts count="1">
    <x:tablePart xmlns:r="http://schemas.openxmlformats.org/officeDocument/2006/relationships" r:id="Ra7a8a07e88d34d6c"/>
  </x:tableParts>
</x:worksheet>
</file>

<file path=xl/worksheets/sheet16.xml><?xml version="1.0" encoding="utf-8"?>
<x:worksheet xmlns:x="http://schemas.openxmlformats.org/spreadsheetml/2006/main">
  <x:sheetPr>
    <x:tabColor rgb="FF1F4E78"/>
  </x:sheetPr>
  <x:sheetViews>
    <x:sheetView workbookViewId="0">
      <x:pane ySplit="1" topLeftCell="A2" activePane="bottomLeft" state="frozen"/>
    </x:sheetView>
  </x:sheetViews>
  <x:sheetFormatPr baseColWidth="8" defaultRowHeight="15"/>
  <x:cols>
    <x:col min="1" max="1" width="9" customWidth="1"/>
    <x:col min="2" max="2" width="12" customWidth="1"/>
    <x:col min="3" max="3" width="36" customWidth="1"/>
    <x:col min="4" max="4" width="22" customWidth="1"/>
    <x:col min="5" max="5" width="34" customWidth="1"/>
    <x:col min="6" max="6" width="44" customWidth="1"/>
    <x:col min="7" max="7" width="44" customWidth="1"/>
    <x:col min="8" max="8" width="50" customWidth="1"/>
    <x:col min="9" max="9" width="44" customWidth="1"/>
    <x:col min="10" max="10" width="44" customWidth="1"/>
    <x:col min="11" max="11" width="10" customWidth="1"/>
    <x:col min="12" max="12" width="44" customWidth="1"/>
    <x:col min="13" max="13" width="20" customWidth="1"/>
  </x:cols>
  <x:sheetData>
    <x:row r="1" ht="30" customHeight="1">
      <x:c r="A1" s="5" t="inlineStr">
        <x:is>
          <x:t xml:space="preserve">Wave</x:t>
        </x:is>
      </x:c>
      <x:c r="B1" s="5" t="inlineStr">
        <x:is>
          <x:t xml:space="preserve">Name_FA</x:t>
        </x:is>
      </x:c>
      <x:c r="C1" s="5" t="inlineStr">
        <x:is>
          <x:t xml:space="preserve">Name_EN</x:t>
        </x:is>
      </x:c>
      <x:c r="D1" s="5" t="inlineStr">
        <x:is>
          <x:t xml:space="preserve">Start_Day</x:t>
        </x:is>
      </x:c>
      <x:c r="E1" s="5" t="inlineStr">
        <x:is>
          <x:t xml:space="preserve">End_Day</x:t>
        </x:is>
      </x:c>
      <x:c r="F1" s="5" t="inlineStr">
        <x:is>
          <x:t xml:space="preserve">Strategic_Phase</x:t>
        </x:is>
      </x:c>
      <x:c r="G1" s="5" t="inlineStr">
        <x:is>
          <x:t xml:space="preserve">Focus_FA</x:t>
        </x:is>
      </x:c>
      <x:c r="H1" s="5" t="inlineStr">
        <x:is>
          <x:t xml:space="preserve">Task_Range</x:t>
        </x:is>
      </x:c>
      <x:c r="I1" s="5" t="inlineStr">
        <x:is>
          <x:t xml:space="preserve">Task_Count</x:t>
        </x:is>
      </x:c>
      <x:c r="J1" s="5" t="inlineStr">
        <x:is>
          <x:t xml:space="preserve">Done_Count</x:t>
        </x:is>
      </x:c>
      <x:c r="K1" s="5" t="inlineStr">
        <x:is>
          <x:t xml:space="preserve">Progress_%</x:t>
        </x:is>
      </x:c>
      <x:c r="L1" s="5" t="inlineStr">
        <x:is>
          <x:t xml:space="preserve">Exit_Criteria_FA</x:t>
        </x:is>
      </x:c>
      <x:c r="M1" s="5" t="inlineStr">
        <x:is>
          <x:t xml:space="preserve">Owner_Role</x:t>
        </x:is>
      </x:c>
    </x:row>
    <x:row r="2">
      <x:c r="A2" s="17" t="inlineStr">
        <x:is>
          <x:t xml:space="preserve">W0</x:t>
        </x:is>
      </x:c>
      <x:c r="B2" s="4" t="inlineStr">
        <x:is>
          <x:t xml:space="preserve">حاکمیت، نام‌گذاری و قراردادهای داده</x:t>
        </x:is>
      </x:c>
      <x:c r="C2" s="4" t="inlineStr">
        <x:is>
          <x:t xml:space="preserve">Governance, Naming &amp; Data Contracts</x:t>
        </x:is>
      </x:c>
      <x:c r="D2" s="17" t="n">
        <x:v>1</x:v>
      </x:c>
      <x:c r="E2" s="17" t="n">
        <x:v>14</x:v>
      </x:c>
      <x:c r="F2" s="4" t="inlineStr">
        <x:is>
          <x:t xml:space="preserve">S1 Foundation</x:t>
        </x:is>
      </x:c>
      <x:c r="G2" s="4" t="inlineStr">
        <x:is>
          <x:t xml:space="preserve">سیاست‌گذاری، UTM، قرارداد SLA، ممیزی وضعیت موجود و دسترسی</x:t>
        </x:is>
      </x:c>
      <x:c r="H2" s="4" t="inlineStr">
        <x:is>
          <x:t xml:space="preserve">TK-001..007</x:t>
        </x:is>
      </x:c>
      <x:c r="I2" s="18" t="n">
        <x:f>COUNTIF('01_MASTER_BACKLOG'!$F$2:$F$285,$A2)</x:f>
        <x:v>7</x:v>
      </x:c>
      <x:c r="J2" s="18" t="n">
        <x:f>COUNTIFS('01_MASTER_BACKLOG'!$F$2:$F$285,$A2,'01_MASTER_BACKLOG'!$O$2:$O$285,"Implemented")+COUNTIFS('01_MASTER_BACKLOG'!$F$2:$F$285,$A2,'01_MASTER_BACKLOG'!$O$2:$O$285,"Tested")</x:f>
        <x:v>0</x:v>
      </x:c>
      <x:c r="K2" s="20" t="n">
        <x:f>IFERROR(J2/I2,0)</x:f>
        <x:v>0</x:v>
      </x:c>
      <x:c r="L2" s="4" t="inlineStr">
        <x:is>
          <x:t xml:space="preserve">۷ مصوبه/ابزار تصویب‌شده + گزارش ممیزی بنچمارک + لیست مدارک تکمیل‌شده</x:t>
        </x:is>
      </x:c>
      <x:c r="M2" s="4" t="inlineStr">
        <x:is>
          <x:t xml:space="preserve">CMO</x:t>
        </x:is>
      </x:c>
    </x:row>
    <x:row r="3">
      <x:c r="A3" s="19" t="inlineStr">
        <x:is>
          <x:t xml:space="preserve">W1</x:t>
        </x:is>
      </x:c>
      <x:c r="B3" s="6" t="inlineStr">
        <x:is>
          <x:t xml:space="preserve">زیرساخت، هویت و هشینگ</x:t>
        </x:is>
      </x:c>
      <x:c r="C3" s="6" t="inlineStr">
        <x:is>
          <x:t xml:space="preserve">Infrastructure, Identity &amp; Hashing</x:t>
        </x:is>
      </x:c>
      <x:c r="D3" s="19" t="n">
        <x:v>8</x:v>
      </x:c>
      <x:c r="E3" s="19" t="n">
        <x:v>30</x:v>
      </x:c>
      <x:c r="F3" s="6" t="inlineStr">
        <x:is>
          <x:t xml:space="preserve">S1 Foundation</x:t>
        </x:is>
      </x:c>
      <x:c r="G3" s="6" t="inlineStr">
        <x:is>
          <x:t xml:space="preserve">سرور/کانتینر، Master ID، SHA-256، قرارداد فنی موجودیت‌ها</x:t>
        </x:is>
      </x:c>
      <x:c r="H3" s="6" t="inlineStr">
        <x:is>
          <x:t xml:space="preserve">TK-008..012</x:t>
        </x:is>
      </x:c>
      <x:c r="I3" s="18" t="n">
        <x:f>COUNTIF('01_MASTER_BACKLOG'!$F$2:$F$285,$A3)</x:f>
        <x:v>5</x:v>
      </x:c>
      <x:c r="J3" s="18" t="n">
        <x:f>COUNTIFS('01_MASTER_BACKLOG'!$F$2:$F$285,$A3,'01_MASTER_BACKLOG'!$O$2:$O$285,"Implemented")+COUNTIFS('01_MASTER_BACKLOG'!$F$2:$F$285,$A3,'01_MASTER_BACKLOG'!$O$2:$O$285,"Tested")</x:f>
        <x:v>0</x:v>
      </x:c>
      <x:c r="K3" s="20" t="n">
        <x:f>IFERROR(J3/I3,0)</x:f>
        <x:v>0</x:v>
      </x:c>
      <x:c r="L3" s="6" t="inlineStr">
        <x:is>
          <x:t xml:space="preserve">سرور ترکینگ فعال + Master ID برای 100٪ رکوردها + ماژول هشینگ تست‌شده</x:t>
        </x:is>
      </x:c>
      <x:c r="M3" s="6" t="inlineStr">
        <x:is>
          <x:t xml:space="preserve">DevOps/Web Engineer</x:t>
        </x:is>
      </x:c>
    </x:row>
    <x:row r="4">
      <x:c r="A4" s="17" t="inlineStr">
        <x:is>
          <x:t xml:space="preserve">W2</x:t>
        </x:is>
      </x:c>
      <x:c r="B4" s="4" t="inlineStr">
        <x:is>
          <x:t xml:space="preserve">ترکینگ و ۲۴ رویداد</x:t>
        </x:is>
      </x:c>
      <x:c r="C4" s="4" t="inlineStr">
        <x:is>
          <x:t xml:space="preserve">Tracking &amp; 24 Events</x:t>
        </x:is>
      </x:c>
      <x:c r="D4" s="17" t="n">
        <x:v>21</x:v>
      </x:c>
      <x:c r="E4" s="17" t="n">
        <x:v>60</x:v>
      </x:c>
      <x:c r="F4" s="4" t="inlineStr">
        <x:is>
          <x:t xml:space="preserve">S1 Foundation</x:t>
        </x:is>
      </x:c>
      <x:c r="G4" s="4" t="inlineStr">
        <x:is>
          <x:t xml:space="preserve">sGTM/CAPI/MP + پیاده‌سازی EVT-01..24 + ابزار ممیزی</x:t>
        </x:is>
      </x:c>
      <x:c r="H4" s="4" t="inlineStr">
        <x:is>
          <x:t xml:space="preserve">TK-013..039</x:t>
        </x:is>
      </x:c>
      <x:c r="I4" s="18" t="n">
        <x:f>COUNTIF('01_MASTER_BACKLOG'!$F$2:$F$285,$A4)</x:f>
        <x:v>27</x:v>
      </x:c>
      <x:c r="J4" s="18" t="n">
        <x:f>COUNTIFS('01_MASTER_BACKLOG'!$F$2:$F$285,$A4,'01_MASTER_BACKLOG'!$O$2:$O$285,"Implemented")+COUNTIFS('01_MASTER_BACKLOG'!$F$2:$F$285,$A4,'01_MASTER_BACKLOG'!$O$2:$O$285,"Tested")</x:f>
        <x:v>0</x:v>
      </x:c>
      <x:c r="K4" s="20" t="n">
        <x:f>IFERROR(J4/I4,0)</x:f>
        <x:v>0</x:v>
      </x:c>
      <x:c r="L4" s="4" t="inlineStr">
        <x:is>
          <x:t xml:space="preserve">EMQ≥8.0 + Dedup=0 + Coverage 100٪ قیف + TST-01..24 گروه‌ها سبز</x:t>
        </x:is>
      </x:c>
      <x:c r="M4" s="4" t="inlineStr">
        <x:is>
          <x:t xml:space="preserve">Senior Data Engineer</x:t>
        </x:is>
      </x:c>
    </x:row>
    <x:row r="5">
      <x:c r="A5" s="19" t="inlineStr">
        <x:is>
          <x:t xml:space="preserve">W3</x:t>
        </x:is>
      </x:c>
      <x:c r="B5" s="6" t="inlineStr">
        <x:is>
          <x:t xml:space="preserve">انوار داده: ۱۳ کانکتور + ۲۹ موجودیت</x:t>
        </x:is>
      </x:c>
      <x:c r="C5" s="6" t="inlineStr">
        <x:is>
          <x:t xml:space="preserve">DWH: 13 Connectors + 29 Entities</x:t>
        </x:is>
      </x:c>
      <x:c r="D5" s="19" t="n">
        <x:v>45</x:v>
      </x:c>
      <x:c r="E5" s="19" t="n">
        <x:v>90</x:v>
      </x:c>
      <x:c r="F5" s="6" t="inlineStr">
        <x:is>
          <x:t xml:space="preserve">S2 Professional Analytics</x:t>
        </x:is>
      </x:c>
      <x:c r="G5" s="6" t="inlineStr">
        <x:is>
          <x:t xml:space="preserve">dbt Silver/Gold، اتصال ۱۳ منبع، مدل ۱۲۷ فیلد، جریان‌های آفلاین/COGS/مرجوعی، بک‌فیل</x:t>
        </x:is>
      </x:c>
      <x:c r="H5" s="6" t="inlineStr">
        <x:is>
          <x:t xml:space="preserve">TK-040..088</x:t>
        </x:is>
      </x:c>
      <x:c r="I5" s="18" t="n">
        <x:f>COUNTIF('01_MASTER_BACKLOG'!$F$2:$F$285,$A5)</x:f>
        <x:v>49</x:v>
      </x:c>
      <x:c r="J5" s="18" t="n">
        <x:f>COUNTIFS('01_MASTER_BACKLOG'!$F$2:$F$285,$A5,'01_MASTER_BACKLOG'!$O$2:$O$285,"Implemented")+COUNTIFS('01_MASTER_BACKLOG'!$F$2:$F$285,$A5,'01_MASTER_BACKLOG'!$O$2:$O$285,"Tested")</x:f>
        <x:v>0</x:v>
      </x:c>
      <x:c r="K5" s="20" t="n">
        <x:f>IFERROR(J5/I5,0)</x:f>
        <x:v>0</x:v>
      </x:c>
      <x:c r="L5" s="6" t="inlineStr">
        <x:is>
          <x:t xml:space="preserve">DQ tests سبز برای ۱۲۷ فیلد + بک‌فیل ۹۰ روز + COGS هفتگی + Webhook WMS &lt;۵ دقیقه</x:t>
        </x:is>
      </x:c>
      <x:c r="M5" s="6" t="inlineStr">
        <x:is>
          <x:t xml:space="preserve">Senior Data Engineer</x:t>
        </x:is>
      </x:c>
    </x:row>
    <x:row r="6">
      <x:c r="A6" s="17" t="inlineStr">
        <x:is>
          <x:t xml:space="preserve">W4</x:t>
        </x:is>
      </x:c>
      <x:c r="B6" s="4" t="inlineStr">
        <x:is>
          <x:t xml:space="preserve">لایه متریک و ۸۵ KPI</x:t>
        </x:is>
      </x:c>
      <x:c r="C6" s="4" t="inlineStr">
        <x:is>
          <x:t xml:space="preserve">Metric Layer &amp; 85 KPIs</x:t>
        </x:is>
      </x:c>
      <x:c r="D6" s="17" t="n">
        <x:v>75</x:v>
      </x:c>
      <x:c r="E6" s="17" t="n">
        <x:v>135</x:v>
      </x:c>
      <x:c r="F6" s="4" t="inlineStr">
        <x:is>
          <x:t xml:space="preserve">S2 Professional Analytics</x:t>
        </x:is>
      </x:c>
      <x:c r="G6" s="4" t="inlineStr">
        <x:is>
          <x:t xml:space="preserve">۳۷ متریک + ۸۵ KPI در Semantic Layer + دروازه کیفیت</x:t>
        </x:is>
      </x:c>
      <x:c r="H6" s="4" t="inlineStr">
        <x:is>
          <x:t xml:space="preserve">TK-089..177</x:t>
        </x:is>
      </x:c>
      <x:c r="I6" s="18" t="n">
        <x:f>COUNTIF('01_MASTER_BACKLOG'!$F$2:$F$285,$A6)</x:f>
        <x:v>89</x:v>
      </x:c>
      <x:c r="J6" s="18" t="n">
        <x:f>COUNTIFS('01_MASTER_BACKLOG'!$F$2:$F$285,$A6,'01_MASTER_BACKLOG'!$O$2:$O$285,"Implemented")+COUNTIFS('01_MASTER_BACKLOG'!$F$2:$F$285,$A6,'01_MASTER_BACKLOG'!$O$2:$O$285,"Tested")</x:f>
        <x:v>0</x:v>
      </x:c>
      <x:c r="K6" s="20" t="n">
        <x:f>IFERROR(J6/I6,0)</x:f>
        <x:v>0</x:v>
      </x:c>
      <x:c r="L6" s="4" t="inlineStr">
        <x:is>
          <x:t xml:space="preserve">مغایرت درآمد صفر ریالی + EMQ≥8 + 85/85 KPI با فرمول و تارگت</x:t>
        </x:is>
      </x:c>
      <x:c r="M6" s="4" t="inlineStr">
        <x:is>
          <x:t xml:space="preserve">BI Lead</x:t>
        </x:is>
      </x:c>
    </x:row>
    <x:row r="7">
      <x:c r="A7" s="19" t="inlineStr">
        <x:is>
          <x:t xml:space="preserve">W5</x:t>
        </x:is>
      </x:c>
      <x:c r="B7" s="6" t="inlineStr">
        <x:is>
          <x:t xml:space="preserve">گزارش‌ها، داشبوردها، هشدارها و اتوماسیون</x:t>
        </x:is>
      </x:c>
      <x:c r="C7" s="6" t="inlineStr">
        <x:is>
          <x:t xml:space="preserve">Reports, Dashboards, Alerts &amp; Automation</x:t>
        </x:is>
      </x:c>
      <x:c r="D7" s="19" t="n">
        <x:v>120</x:v>
      </x:c>
      <x:c r="E7" s="19" t="n">
        <x:v>210</x:v>
      </x:c>
      <x:c r="F7" s="6" t="inlineStr">
        <x:is>
          <x:t xml:space="preserve">S2 Professional Analytics</x:t>
        </x:is>
      </x:c>
      <x:c r="G7" s="6" t="inlineStr">
        <x:is>
          <x:t xml:space="preserve">۴۸ REP + ۳ Tیر داشبورد (طراحی/ساخت/UAT) + ۱۶ ALT + ۵ اتوماسیون + چک‌لیست و ریتم</x:t>
        </x:is>
      </x:c>
      <x:c r="H7" s="6" t="inlineStr">
        <x:is>
          <x:t xml:space="preserve">TK-178..257</x:t>
        </x:is>
      </x:c>
      <x:c r="I7" s="18" t="n">
        <x:f>COUNTIF('01_MASTER_BACKLOG'!$F$2:$F$285,$A7)</x:f>
        <x:v>80</x:v>
      </x:c>
      <x:c r="J7" s="18" t="n">
        <x:f>COUNTIFS('01_MASTER_BACKLOG'!$F$2:$F$285,$A7,'01_MASTER_BACKLOG'!$O$2:$O$285,"Implemented")+COUNTIFS('01_MASTER_BACKLOG'!$F$2:$F$285,$A7,'01_MASTER_BACKLOG'!$O$2:$O$285,"Tested")</x:f>
        <x:v>0</x:v>
      </x:c>
      <x:c r="K7" s="20" t="n">
        <x:f>IFERROR(J7/I7,0)</x:f>
        <x:v>0</x:v>
      </x:c>
      <x:c r="L7" s="6" t="inlineStr">
        <x:is>
          <x:t xml:space="preserve">TST-14..17 سبز + امضای UAT سه داشبورد + ALT-01..16 فعال + CAD-01..04 در چرخه</x:t>
        </x:is>
      </x:c>
      <x:c r="M7" s="6" t="inlineStr">
        <x:is>
          <x:t xml:space="preserve">BI Lead</x:t>
        </x:is>
      </x:c>
    </x:row>
    <x:row r="8">
      <x:c r="A8" s="17" t="inlineStr">
        <x:is>
          <x:t xml:space="preserve">W6</x:t>
        </x:is>
      </x:c>
      <x:c r="B8" s="4" t="inlineStr">
        <x:is>
          <x:t xml:space="preserve">مدل‌های AI، پایلوت‌ها و حاکمیت پایدار</x:t>
        </x:is>
      </x:c>
      <x:c r="C8" s="4" t="inlineStr">
        <x:is>
          <x:t xml:space="preserve">AI Models, Pilots &amp; Sustained Governance</x:t>
        </x:is>
      </x:c>
      <x:c r="D8" s="17" t="n">
        <x:v>200</x:v>
      </x:c>
      <x:c r="E8" s="17" t="n">
        <x:v>365</x:v>
      </x:c>
      <x:c r="F8" s="4" t="inlineStr">
        <x:is>
          <x:t xml:space="preserve">S3 Advanced Intelligence</x:t>
        </x:is>
      </x:c>
      <x:c r="G8" s="4" t="inlineStr">
        <x:is>
          <x:t xml:space="preserve">۲۵ MOD + Geo-Lift + داشبورد DQ/SLA + آموزش و سندساز</x:t>
        </x:is>
      </x:c>
      <x:c r="H8" s="4" t="inlineStr">
        <x:is>
          <x:t xml:space="preserve">TK-258..284</x:t>
        </x:is>
      </x:c>
      <x:c r="I8" s="18" t="n">
        <x:f>COUNTIF('01_MASTER_BACKLOG'!$F$2:$F$285,$A8)</x:f>
        <x:v>27</x:v>
      </x:c>
      <x:c r="J8" s="18" t="n">
        <x:f>COUNTIFS('01_MASTER_BACKLOG'!$F$2:$F$285,$A8,'01_MASTER_BACKLOG'!$O$2:$O$285,"Implemented")+COUNTIFS('01_MASTER_BACKLOG'!$F$2:$F$285,$A8,'01_MASTER_BACKLOG'!$O$2:$O$285,"Tested")</x:f>
        <x:v>0</x:v>
      </x:c>
      <x:c r="K8" s="20" t="n">
        <x:f>IFERROR(J8/I8,0)</x:f>
        <x:v>0</x:v>
      </x:c>
      <x:c r="L8" s="4" t="inlineStr">
        <x:is>
          <x:t xml:space="preserve">TST-36 سبز (MAPE/AUC) + iROAS پایلوت + داشبورد حاکمیت + Runbook و آموزش</x:t>
        </x:is>
      </x:c>
      <x:c r="M8" s="4" t="inlineStr">
        <x:is>
          <x:t xml:space="preserve">Data Scientist</x:t>
        </x:is>
      </x:c>
    </x:row>
    <x:row r="10" ht="30" customHeight="1">
      <x:c r="A10" s="5" t="inlineStr">
        <x:is>
          <x:t xml:space="preserve">Cad_ID</x:t>
        </x:is>
      </x:c>
      <x:c r="B10" s="5" t="inlineStr">
        <x:is>
          <x:t xml:space="preserve">Period</x:t>
        </x:is>
      </x:c>
      <x:c r="C10" s="5" t="inlineStr">
        <x:is>
          <x:t xml:space="preserve">Meeting_FA</x:t>
        </x:is>
      </x:c>
      <x:c r="D10" s="5" t="inlineStr">
        <x:is>
          <x:t xml:space="preserve">Owner</x:t>
        </x:is>
      </x:c>
      <x:c r="E10" s="5" t="inlineStr">
        <x:is>
          <x:t xml:space="preserve">Participants</x:t>
        </x:is>
      </x:c>
      <x:c r="F10" s="5" t="inlineStr">
        <x:is>
          <x:t xml:space="preserve">Reports_Legacy</x:t>
        </x:is>
      </x:c>
      <x:c r="G10" s="5" t="inlineStr">
        <x:is>
          <x:t xml:space="preserve">Key_KPIs</x:t>
        </x:is>
      </x:c>
      <x:c r="H10" s="5" t="inlineStr">
        <x:is>
          <x:t xml:space="preserve">Agenda_FA</x:t>
        </x:is>
      </x:c>
      <x:c r="I10" s="5" t="inlineStr">
        <x:is>
          <x:t xml:space="preserve">Outputs_FA</x:t>
        </x:is>
      </x:c>
      <x:c r="J10" s="5" t="inlineStr">
        <x:is>
          <x:t xml:space="preserve">SLA_FA</x:t>
        </x:is>
      </x:c>
    </x:row>
    <x:row r="11">
      <x:c r="A11" s="4" t="inlineStr">
        <x:is>
          <x:t xml:space="preserve">CAD-01</x:t>
        </x:is>
      </x:c>
      <x:c r="B11" s="4" t="inlineStr">
        <x:is>
          <x:t xml:space="preserve">روزانه</x:t>
        </x:is>
      </x:c>
      <x:c r="C11" s="4" t="inlineStr">
        <x:is>
          <x:t xml:space="preserve">مانیتورینگ روزانه کمپین‌ها، ترافیک و پایپ‌لاین فوری (Daily Performance Standup)</x:t>
        </x:is>
      </x:c>
      <x:c r="D11" s="4" t="inlineStr">
        <x:is>
          <x:t xml:space="preserve">سرپرست پرفورمنس مارکتینگ تیتانا.</x:t>
        </x:is>
      </x:c>
      <x:c r="E11" s="4" t="inlineStr">
        <x:is>
          <x:t xml:space="preserve">کارشناسان مدیا بایینگ، کارشناس لیدجنریشن، طراح کریتیو، مسوول فنی ترکینگ.</x:t>
        </x:is>
      </x:c>
      <x:c r="F11" s="4" t="inlineStr">
        <x:is>
          <x:t xml:space="preserve">REP-01 → REP-02؛ REP-10 → REP-36؛ REP-16 → REP-36؛ REP-35 → REP-32</x:t>
        </x:is>
      </x:c>
      <x:c r="G11" s="4" t="inlineStr">
        <x:is>
          <x:t xml:space="preserve">هزینه روزانه (Daily Spend)؛ نرخ کلیک آگهی‌ها (CTR)؛ هزینه به ازای کلیک (CPC)؛ تعداد لیدهای جدید خام؛ رخدادهای خرید ثبت‌شده (Purchases)؛ وضعیت سلامت ترکینگ (CAPI Match Quality)</x:t>
        </x:is>
      </x:c>
      <x:c r="H11" s="4" t="inlineStr">
        <x:is>
          <x:t xml:space="preserve"/>
        </x:is>
      </x:c>
      <x:c r="I11" s="4" t="inlineStr">
        <x:is>
          <x:t xml:space="preserve">خاموش کردن آگهی‌های با هزینه بالا و بدون بازده، اختصاص بودجه به کریتیوهای برنده، ایجاد تیکت فنی در صورت افت کیفیت ترکینگ.</x:t>
        </x:is>
      </x:c>
      <x:c r="J11" s="4" t="inlineStr">
        <x:is>
          <x:t xml:space="preserve">ارسال خلاصه مکتوب تا پیش از ساعت ۰۹:۰۰ صبح هر روز در کانال عملیاتی اسلک/تلگرام به همراه پیوند به داشبورد Tier 3.</x:t>
        </x:is>
      </x:c>
    </x:row>
    <x:row r="12">
      <x:c r="A12" s="6" t="inlineStr">
        <x:is>
          <x:t xml:space="preserve">CAD-02</x:t>
        </x:is>
      </x:c>
      <x:c r="B12" s="6" t="inlineStr">
        <x:is>
          <x:t xml:space="preserve">هفتگی</x:t>
        </x:is>
      </x:c>
      <x:c r="C12" s="6" t="inlineStr">
        <x:is>
          <x:t xml:space="preserve">بررسی تاکتیکی رشد کانال‌ها و پایپ‌لاین فروش B2B (Weekly Growth Review)</x:t>
        </x:is>
      </x:c>
      <x:c r="D12" s="6" t="inlineStr">
        <x:is>
          <x:t xml:space="preserve">مدیر ارشد بازاریابی (CMO).</x:t>
        </x:is>
      </x:c>
      <x:c r="E12" s="6" t="inlineStr">
        <x:is>
          <x:t xml:space="preserve">سرپرست پرفورمنس، مدیر فروش B2B، مدیر تولید محتوا، تحلیل‌گر داده مارکتینگ.</x:t>
        </x:is>
      </x:c>
      <x:c r="F12" s="6" t="inlineStr">
        <x:is>
          <x:t xml:space="preserve">REP-03 → REP-05؛ REP-04 → REP-16؛ REP-08 → REP-08؛ REP-09 → REP-04؛ REP-17 → REP-15؛ REP-36 → REP-37</x:t>
        </x:is>
      </x:c>
      <x:c r="G12" s="6" t="inlineStr">
        <x:is>
          <x:t xml:space="preserve">بازگشت هزینه تبلیغات هفتگی (Weekly ROAS)؛ سود به ازای هزینه تبلیغات (POAS)؛ تعداد و هزینه MQL و SQL؛ نرخ پاسخ‌گویی تیم فروش به لیدها (Lead Response SLA)؛ نرخ فرسایش کریتیوها (Creative Fatigue Index)؛ انحراف از بودجه مصوب هفتگی (Budget Pacing Deviation)</x:t>
        </x:is>
      </x:c>
      <x:c r="H12" s="6" t="inlineStr">
        <x:is>
          <x:t xml:space="preserve"/>
        </x:is>
      </x:c>
      <x:c r="I12" s="6" t="inlineStr">
        <x:is>
          <x:t xml:space="preserve">سناریوهای بازتوزیع بودجه تا سقف ۲۰٪ میان کانال‌ها، لیست موضوعات جدید ویدیویی برای تیم کریتیو، اصلاح تارگتینگ کلمات گوگل ادز.</x:t>
        </x:is>
      </x:c>
      <x:c r="J12" s="6" t="inlineStr">
        <x:is>
          <x:t xml:space="preserve">ارسال پرزنتیشن گزارش تحلیلی هفتگی تا ساعت ۰۸:۳۰ صبح دوشنبه‌ها؛ جلسه ساعت ۱۰:۰۰ صبح برگزار می‌شود.</x:t>
        </x:is>
      </x:c>
    </x:row>
    <x:row r="13">
      <x:c r="A13" s="4" t="inlineStr">
        <x:is>
          <x:t xml:space="preserve">CAD-03</x:t>
        </x:is>
      </x:c>
      <x:c r="B13" s="4" t="inlineStr">
        <x:is>
          <x:t xml:space="preserve">ماهانه</x:t>
        </x:is>
      </x:c>
      <x:c r="C13" s="4" t="inlineStr">
        <x:is>
          <x:t xml:space="preserve">ممیزی جامع ماهانه کانال‌ها، کوهورت مشتریان و سودآوری سهمی (Monthly Performance Review)</x:t>
        </x:is>
      </x:c>
      <x:c r="D13" s="4" t="inlineStr">
        <x:is>
          <x:t xml:space="preserve">مدیر ارشد بازاریابی (CMO) با مشارکت سرپرست هوش تجاری.</x:t>
        </x:is>
      </x:c>
      <x:c r="E13" s="4" t="inlineStr">
        <x:is>
          <x:t xml:space="preserve">مدیرعامل (CEO)، مدیر ارشد مالی (CFO)، مدیر زنجیره تامین و انبار، مدیران ارشد بازاریابی و فروش.</x:t>
        </x:is>
      </x:c>
      <x:c r="F13" s="4" t="inlineStr">
        <x:is>
          <x:t xml:space="preserve">REP-02 → REP-30؛ REP-06 → REP-33؛ REP-21 → REP-21؛ REP-23 → REP-13؛ REP-24 → REP-23؛ REP-34 → REP-32؛ REP-40 → REP-12</x:t>
        </x:is>
      </x:c>
      <x:c r="G13" s="4" t="inlineStr">
        <x:is>
          <x:t xml:space="preserve">درآمد خالص ماهانه (Net Revenue)؛ سود سهمی کلان (Contribution Margin IRR / %)؛ نسبت ارزش طول عمر به هزینه جذب (LTV:CAC Ratio)؛ دوره بازگشت هزینه جذب دندان‌پزشک (CAC Payback Months)؛ نرخ تکرار خرید ماهانه کلینیک‌ها؛ نرخ ریزش مشتریان فعال (Clinic Churn Rate)؛ شاخص اثربخشی کلان مارکتینگ (MER)</x:t>
        </x:is>
      </x:c>
      <x:c r="H13" s="4" t="inlineStr">
        <x:is>
          <x:t xml:space="preserve"/>
        </x:is>
      </x:c>
      <x:c r="I13" s="4" t="inlineStr">
        <x:is>
          <x:t xml:space="preserve">تعیین قطعی سقف بودجه تبلیغاتی ماه آینده، تصویب مشوق‌ها و پروموشن‌های جشنواره‌ای، بازنگری در سقف اعتباری کلینیک‌ها.</x:t>
        </x:is>
      </x:c>
      <x:c r="J13" s="4" t="inlineStr">
        <x:is>
          <x:t xml:space="preserve">تا پایان روز پنجم ماه تقویمی بعدی، داشبورد ماهانه نهایی شده و فایل PDF و تعاملی به هیئت‌رئیسه تحویل می‌شود.</x:t>
        </x:is>
      </x:c>
    </x:row>
    <x:row r="14">
      <x:c r="A14" s="6" t="inlineStr">
        <x:is>
          <x:t xml:space="preserve">CAD-04</x:t>
        </x:is>
      </x:c>
      <x:c r="B14" s="6" t="inlineStr">
        <x:is>
          <x:t xml:space="preserve">فصلی/سالانه</x:t>
        </x:is>
      </x:c>
      <x:c r="C14" s="6" t="inlineStr">
        <x:is>
          <x:t xml:space="preserve">بررسی راهبردی جایگاه برند در بازار سلامت، مدل‌سازی آمیخته بازاریابی (MMM) و استراتژی رشد سالانه</x:t>
        </x:is>
      </x:c>
      <x:c r="D14" s="6" t="inlineStr">
        <x:is>
          <x:t xml:space="preserve">مدیرعامل (CEO) و مدیر ارشد بازاریابی (CMO).</x:t>
        </x:is>
      </x:c>
      <x:c r="E14" s="6" t="inlineStr">
        <x:is>
          <x:t xml:space="preserve">اعضای هیئت‌مدیره، سهام‌داران عمده، مشاوران ارشد صنعت سلامت.</x:t>
        </x:is>
      </x:c>
      <x:c r="F14" s="6" t="inlineStr">
        <x:is>
          <x:t xml:space="preserve">REP-33 → REP-01؛ REP-43 → — (بدون متغیر رسمی دقیق)؛ REP-45 → — (بدون متغیر رسمی دقیق)؛ REP-48 → — (بدون متغیر رسمی دقیق)</x:t>
        </x:is>
      </x:c>
      <x:c r="G14" s="6" t="inlineStr">
        <x:is>
          <x:t xml:space="preserve">نرخ رشد درآمد سالانه (YoY Revenue Growth)؛ سهم بازار تخمینی در اقلام کلیدی (Estimated Market Share)؛ ضریب کشش بازاریابی در کانال‌های آفلاین و آنلاین؛ ارزش ویژه دارایی پایگاه مشتریان (Customer Equity)؛ شاخص رضایت و وفاداری دندان‌پزشکان (NPS)</x:t>
        </x:is>
      </x:c>
      <x:c r="H14" s="6" t="inlineStr">
        <x:is>
          <x:t xml:space="preserve"/>
        </x:is>
      </x:c>
      <x:c r="I14" s="6" t="inlineStr">
        <x:is>
          <x:t xml:space="preserve">مصوبه رسمی بودجه سالانه بازاریابی، تعیین اولویت ورود به حوزه‌های تخصصی جدید (مانند دندان‌پزشکی دیجیتال یا چاپ سه‌بعدی)، و تدوین نقشه راه نوآوری هوش مصنوعی.</x:t>
        </x:is>
      </x:c>
      <x:c r="J14" s="6" t="inlineStr">
        <x:is>
          <x:t xml:space="preserve">توزیع بسته اطلاعاتی و مستندات تحلیلی ۱۰ روز کاری پس از اختتام دوره مالی سه‌ماهه.</x:t>
        </x:is>
      </x:c>
    </x:row>
  </x:sheetData>
  <x:dataValidations count="1">
    <x:dataValidation type="list" allowBlank="1" showDropDown="0" showInputMessage="0" showErrorMessage="1" errorTitle="مقدار نامعتبر" error="مقدار از لیست مجاز انتخاب شود" promptTitle="فهرست" prompt="از فهرست کشویی انتخاب کنید" sqref="A2:A8">
      <x:formula1>=_LISTS!$A$2:$A$8</x:formula1>
    </x:dataValidation>
  </x:dataValidations>
  <x:pageMargins left="0.7" right="0.7" top="0.75" bottom="0.75" header="0.3" footer="0.3"/>
  <x:tableParts count="2">
    <x:tablePart xmlns:r="http://schemas.openxmlformats.org/officeDocument/2006/relationships" r:id="Rcadd82a33d3a4853"/>
    <x:tablePart xmlns:r="http://schemas.openxmlformats.org/officeDocument/2006/relationships" r:id="R3ab50ab703c3423c"/>
  </x:tableParts>
</x:worksheet>
</file>

<file path=xl/worksheets/sheet17.xml><?xml version="1.0" encoding="utf-8"?>
<x:worksheet xmlns:x="http://schemas.openxmlformats.org/spreadsheetml/2006/main">
  <x:sheetPr>
    <x:tabColor rgb="FF1F4E78"/>
  </x:sheetPr>
  <x:sheetViews>
    <x:sheetView workbookViewId="0">
      <x:pane xSplit="2" ySplit="1" topLeftCell="C2" activePane="bottomRight" state="frozen"/>
    </x:sheetView>
  </x:sheetViews>
  <x:sheetFormatPr baseColWidth="8" defaultRowHeight="15"/>
  <x:cols>
    <x:col min="1" max="1" width="9" customWidth="1"/>
    <x:col min="2" max="2" width="42" customWidth="1"/>
    <x:col min="3" max="3" width="13" customWidth="1"/>
    <x:col min="4" max="4" width="13" customWidth="1"/>
    <x:col min="5" max="5" width="13" customWidth="1"/>
    <x:col min="6" max="6" width="13" customWidth="1"/>
    <x:col min="7" max="7" width="13" customWidth="1"/>
    <x:col min="8" max="8" width="13" customWidth="1"/>
    <x:col min="9" max="9" width="13" customWidth="1"/>
    <x:col min="10" max="10" width="13" customWidth="1"/>
    <x:col min="11" max="11" width="13" customWidth="1"/>
    <x:col min="12" max="12" width="13" customWidth="1"/>
    <x:col min="13" max="13" width="13" customWidth="1"/>
    <x:col min="14" max="14" width="13" customWidth="1"/>
    <x:col min="15" max="15" width="13" customWidth="1"/>
    <x:col min="16" max="16" width="13" customWidth="1"/>
    <x:col min="17" max="17" width="13" customWidth="1"/>
  </x:cols>
  <x:sheetData>
    <x:row r="1" ht="30" customHeight="1">
      <x:c r="A1" s="5" t="inlineStr">
        <x:is>
          <x:t xml:space="preserve">Row_ID</x:t>
        </x:is>
      </x:c>
      <x:c r="B1" s="5" t="inlineStr">
        <x:is>
          <x:t xml:space="preserve">Item</x:t>
        </x:is>
      </x:c>
      <x:c r="C1" s="5" t="inlineStr">
        <x:is>
          <x:t xml:space="preserve">CEO</x:t>
        </x:is>
      </x:c>
      <x:c r="D1" s="5" t="inlineStr">
        <x:is>
          <x:t xml:space="preserve">CMO</x:t>
        </x:is>
      </x:c>
      <x:c r="E1" s="5" t="inlineStr">
        <x:is>
          <x:t xml:space="preserve">CFO</x:t>
        </x:is>
      </x:c>
      <x:c r="F1" s="5" t="inlineStr">
        <x:is>
          <x:t xml:space="preserve">Performance Marketing Lead</x:t>
        </x:is>
      </x:c>
      <x:c r="G1" s="5" t="inlineStr">
        <x:is>
          <x:t xml:space="preserve">Media Buyer</x:t>
        </x:is>
      </x:c>
      <x:c r="H1" s="5" t="inlineStr">
        <x:is>
          <x:t xml:space="preserve">Senior Data Engineer</x:t>
        </x:is>
      </x:c>
      <x:c r="I1" s="5" t="inlineStr">
        <x:is>
          <x:t xml:space="preserve">Data Scientist</x:t>
        </x:is>
      </x:c>
      <x:c r="J1" s="5" t="inlineStr">
        <x:is>
          <x:t xml:space="preserve">BI Lead</x:t>
        </x:is>
      </x:c>
      <x:c r="K1" s="5" t="inlineStr">
        <x:is>
          <x:t xml:space="preserve">CRO Specialist</x:t>
        </x:is>
      </x:c>
      <x:c r="L1" s="5" t="inlineStr">
        <x:is>
          <x:t xml:space="preserve">CRM Manager</x:t>
        </x:is>
      </x:c>
      <x:c r="M1" s="5" t="inlineStr">
        <x:is>
          <x:t xml:space="preserve">B2B Sales Director</x:t>
        </x:is>
      </x:c>
      <x:c r="N1" s="5" t="inlineStr">
        <x:is>
          <x:t xml:space="preserve">DevOps/Web Engineer</x:t>
        </x:is>
      </x:c>
      <x:c r="O1" s="5" t="inlineStr">
        <x:is>
          <x:t xml:space="preserve">Security &amp; Governance</x:t>
        </x:is>
      </x:c>
      <x:c r="P1" s="5" t="inlineStr">
        <x:is>
          <x:t xml:space="preserve">Warehouse/Materials Manager</x:t>
        </x:is>
      </x:c>
      <x:c r="Q1" s="5" t="inlineStr">
        <x:is>
          <x:t xml:space="preserve">Finance Manager</x:t>
        </x:is>
      </x:c>
    </x:row>
    <x:row r="2">
      <x:c r="A2" s="4" t="inlineStr">
        <x:is>
          <x:t xml:space="preserve">P-01</x:t>
        </x:is>
      </x:c>
      <x:c r="B2" s="4" t="inlineStr">
        <x:is>
          <x:t xml:space="preserve">سرورساید ترکینگ و Meta CAPI</x:t>
        </x:is>
      </x:c>
      <x:c r="C2" s="17" t="inlineStr">
        <x:is>
          <x:t xml:space="preserve">C</x:t>
        </x:is>
      </x:c>
      <x:c r="D2" s="17" t="inlineStr">
        <x:is>
          <x:t xml:space="preserve">I</x:t>
        </x:is>
      </x:c>
      <x:c r="E2" s="17" t="inlineStr">
        <x:is>
          <x:t xml:space="preserve">C</x:t>
        </x:is>
      </x:c>
      <x:c r="F2" s="17" t="inlineStr">
        <x:is>
          <x:t xml:space="preserve">I</x:t>
        </x:is>
      </x:c>
      <x:c r="G2" s="17" t="inlineStr">
        <x:is>
          <x:t xml:space="preserve">C</x:t>
        </x:is>
      </x:c>
      <x:c r="H2" s="17" t="inlineStr">
        <x:is>
          <x:t xml:space="preserve">R</x:t>
        </x:is>
      </x:c>
      <x:c r="I2" s="17" t="inlineStr">
        <x:is>
          <x:t xml:space="preserve">I</x:t>
        </x:is>
      </x:c>
      <x:c r="J2" s="17" t="inlineStr">
        <x:is>
          <x:t xml:space="preserve">I</x:t>
        </x:is>
      </x:c>
      <x:c r="K2" s="17" t="inlineStr">
        <x:is>
          <x:t xml:space="preserve">C</x:t>
        </x:is>
      </x:c>
      <x:c r="L2" s="17" t="inlineStr">
        <x:is>
          <x:t xml:space="preserve">I</x:t>
        </x:is>
      </x:c>
      <x:c r="M2" s="17" t="inlineStr">
        <x:is>
          <x:t xml:space="preserve">C</x:t>
        </x:is>
      </x:c>
      <x:c r="N2" s="17" t="inlineStr">
        <x:is>
          <x:t xml:space="preserve">R</x:t>
        </x:is>
      </x:c>
      <x:c r="O2" s="17" t="inlineStr">
        <x:is>
          <x:t xml:space="preserve">C</x:t>
        </x:is>
      </x:c>
      <x:c r="P2" s="17" t="inlineStr">
        <x:is>
          <x:t xml:space="preserve">I</x:t>
        </x:is>
      </x:c>
      <x:c r="Q2" s="17" t="inlineStr">
        <x:is>
          <x:t xml:space="preserve">C</x:t>
        </x:is>
      </x:c>
    </x:row>
    <x:row r="3">
      <x:c r="A3" s="6" t="inlineStr">
        <x:is>
          <x:t xml:space="preserve">P-02</x:t>
        </x:is>
      </x:c>
      <x:c r="B3" s="6" t="inlineStr">
        <x:is>
          <x:t xml:space="preserve">استانداردسازی UTM و تاکسونومی کانال</x:t>
        </x:is>
      </x:c>
      <x:c r="C3" s="19" t="inlineStr">
        <x:is>
          <x:t xml:space="preserve">I</x:t>
        </x:is>
      </x:c>
      <x:c r="D3" s="19" t="inlineStr">
        <x:is>
          <x:t xml:space="preserve">A</x:t>
        </x:is>
      </x:c>
      <x:c r="E3" s="19" t="inlineStr">
        <x:is>
          <x:t xml:space="preserve">I</x:t>
        </x:is>
      </x:c>
      <x:c r="F3" s="19" t="inlineStr">
        <x:is>
          <x:t xml:space="preserve">R</x:t>
        </x:is>
      </x:c>
      <x:c r="G3" s="19" t="inlineStr">
        <x:is>
          <x:t xml:space="preserve">R</x:t>
        </x:is>
      </x:c>
      <x:c r="H3" s="19" t="inlineStr">
        <x:is>
          <x:t xml:space="preserve">C</x:t>
        </x:is>
      </x:c>
      <x:c r="I3" s="19" t="inlineStr">
        <x:is>
          <x:t xml:space="preserve">I</x:t>
        </x:is>
      </x:c>
      <x:c r="J3" s="19" t="inlineStr">
        <x:is>
          <x:t xml:space="preserve">C</x:t>
        </x:is>
      </x:c>
      <x:c r="K3" s="19" t="inlineStr">
        <x:is>
          <x:t xml:space="preserve">I</x:t>
        </x:is>
      </x:c>
      <x:c r="L3" s="19" t="inlineStr">
        <x:is>
          <x:t xml:space="preserve">I</x:t>
        </x:is>
      </x:c>
      <x:c r="M3" s="19" t="inlineStr">
        <x:is>
          <x:t xml:space="preserve">C</x:t>
        </x:is>
      </x:c>
      <x:c r="N3" s="19" t="inlineStr">
        <x:is>
          <x:t xml:space="preserve">R</x:t>
        </x:is>
      </x:c>
      <x:c r="O3" s="19" t="inlineStr">
        <x:is>
          <x:t xml:space="preserve">C</x:t>
        </x:is>
      </x:c>
      <x:c r="P3" s="19" t="inlineStr">
        <x:is>
          <x:t xml:space="preserve">I</x:t>
        </x:is>
      </x:c>
      <x:c r="Q3" s="19" t="inlineStr">
        <x:is>
          <x:t xml:space="preserve">I</x:t>
        </x:is>
      </x:c>
    </x:row>
    <x:row r="4">
      <x:c r="A4" s="4" t="inlineStr">
        <x:is>
          <x:t xml:space="preserve">P-03</x:t>
        </x:is>
      </x:c>
      <x:c r="B4" s="4" t="inlineStr">
        <x:is>
          <x:t xml:space="preserve">پایپ‌لاین انبار داده مارکتینگ (DWH Core)</x:t>
        </x:is>
      </x:c>
      <x:c r="C4" s="17" t="inlineStr">
        <x:is>
          <x:t xml:space="preserve">I</x:t>
        </x:is>
      </x:c>
      <x:c r="D4" s="17" t="inlineStr">
        <x:is>
          <x:t xml:space="preserve">C</x:t>
        </x:is>
      </x:c>
      <x:c r="E4" s="17" t="inlineStr">
        <x:is>
          <x:t xml:space="preserve">C</x:t>
        </x:is>
      </x:c>
      <x:c r="F4" s="17" t="inlineStr">
        <x:is>
          <x:t xml:space="preserve">C</x:t>
        </x:is>
      </x:c>
      <x:c r="G4" s="17" t="inlineStr">
        <x:is>
          <x:t xml:space="preserve">I</x:t>
        </x:is>
      </x:c>
      <x:c r="H4" s="17" t="inlineStr">
        <x:is>
          <x:t xml:space="preserve">R</x:t>
        </x:is>
      </x:c>
      <x:c r="I4" s="17" t="inlineStr">
        <x:is>
          <x:t xml:space="preserve">C</x:t>
        </x:is>
      </x:c>
      <x:c r="J4" s="17" t="inlineStr">
        <x:is>
          <x:t xml:space="preserve">R</x:t>
        </x:is>
      </x:c>
      <x:c r="K4" s="17" t="inlineStr">
        <x:is>
          <x:t xml:space="preserve">I</x:t>
        </x:is>
      </x:c>
      <x:c r="L4" s="17" t="inlineStr">
        <x:is>
          <x:t xml:space="preserve">I</x:t>
        </x:is>
      </x:c>
      <x:c r="M4" s="17" t="inlineStr">
        <x:is>
          <x:t xml:space="preserve">I</x:t>
        </x:is>
      </x:c>
      <x:c r="N4" s="17" t="inlineStr">
        <x:is>
          <x:t xml:space="preserve">C</x:t>
        </x:is>
      </x:c>
      <x:c r="O4" s="17" t="inlineStr">
        <x:is>
          <x:t xml:space="preserve">C</x:t>
        </x:is>
      </x:c>
      <x:c r="P4" s="17" t="inlineStr">
        <x:is>
          <x:t xml:space="preserve">C</x:t>
        </x:is>
      </x:c>
      <x:c r="Q4" s="17" t="inlineStr">
        <x:is>
          <x:t xml:space="preserve">I</x:t>
        </x:is>
      </x:c>
    </x:row>
    <x:row r="5">
      <x:c r="A5" s="6" t="inlineStr">
        <x:is>
          <x:t xml:space="preserve">P-04</x:t>
        </x:is>
      </x:c>
      <x:c r="B5" s="6" t="inlineStr">
        <x:is>
          <x:t xml:space="preserve">هویت یکپارچه مشتری و Master ID</x:t>
        </x:is>
      </x:c>
      <x:c r="C5" s="19" t="inlineStr">
        <x:is>
          <x:t xml:space="preserve">I</x:t>
        </x:is>
      </x:c>
      <x:c r="D5" s="19" t="inlineStr">
        <x:is>
          <x:t xml:space="preserve">C</x:t>
        </x:is>
      </x:c>
      <x:c r="E5" s="19" t="inlineStr">
        <x:is>
          <x:t xml:space="preserve">I</x:t>
        </x:is>
      </x:c>
      <x:c r="F5" s="19" t="inlineStr">
        <x:is>
          <x:t xml:space="preserve">C</x:t>
        </x:is>
      </x:c>
      <x:c r="G5" s="19" t="inlineStr">
        <x:is>
          <x:t xml:space="preserve">I</x:t>
        </x:is>
      </x:c>
      <x:c r="H5" s="19" t="inlineStr">
        <x:is>
          <x:t xml:space="preserve">R</x:t>
        </x:is>
      </x:c>
      <x:c r="I5" s="19" t="inlineStr">
        <x:is>
          <x:t xml:space="preserve">R</x:t>
        </x:is>
      </x:c>
      <x:c r="J5" s="19" t="inlineStr">
        <x:is>
          <x:t xml:space="preserve">C</x:t>
        </x:is>
      </x:c>
      <x:c r="K5" s="19" t="inlineStr">
        <x:is>
          <x:t xml:space="preserve">C</x:t>
        </x:is>
      </x:c>
      <x:c r="L5" s="19" t="inlineStr">
        <x:is>
          <x:t xml:space="preserve">C</x:t>
        </x:is>
      </x:c>
      <x:c r="M5" s="19" t="inlineStr">
        <x:is>
          <x:t xml:space="preserve">I</x:t>
        </x:is>
      </x:c>
      <x:c r="N5" s="19" t="inlineStr">
        <x:is>
          <x:t xml:space="preserve">C</x:t>
        </x:is>
      </x:c>
      <x:c r="O5" s="19" t="inlineStr">
        <x:is>
          <x:t xml:space="preserve">C</x:t>
        </x:is>
      </x:c>
      <x:c r="P5" s="19" t="inlineStr">
        <x:is>
          <x:t xml:space="preserve">I</x:t>
        </x:is>
      </x:c>
      <x:c r="Q5" s="19" t="inlineStr">
        <x:is>
          <x:t xml:space="preserve">I</x:t>
        </x:is>
      </x:c>
    </x:row>
    <x:row r="6">
      <x:c r="A6" s="4" t="inlineStr">
        <x:is>
          <x:t xml:space="preserve">P-05</x:t>
        </x:is>
      </x:c>
      <x:c r="B6" s="4" t="inlineStr">
        <x:is>
          <x:t xml:space="preserve">داشبورد راهبردی مدیرعامل (Tier 1)</x:t>
        </x:is>
      </x:c>
      <x:c r="C6" s="17" t="inlineStr">
        <x:is>
          <x:t xml:space="preserve">A</x:t>
        </x:is>
      </x:c>
      <x:c r="D6" s="17" t="inlineStr">
        <x:is>
          <x:t xml:space="preserve">C</x:t>
        </x:is>
      </x:c>
      <x:c r="E6" s="17" t="inlineStr">
        <x:is>
          <x:t xml:space="preserve">C</x:t>
        </x:is>
      </x:c>
      <x:c r="F6" s="17" t="inlineStr">
        <x:is>
          <x:t xml:space="preserve">C</x:t>
        </x:is>
      </x:c>
      <x:c r="G6" s="17" t="inlineStr">
        <x:is>
          <x:t xml:space="preserve">I</x:t>
        </x:is>
      </x:c>
      <x:c r="H6" s="17" t="inlineStr">
        <x:is>
          <x:t xml:space="preserve">C</x:t>
        </x:is>
      </x:c>
      <x:c r="I6" s="17" t="inlineStr">
        <x:is>
          <x:t xml:space="preserve">I</x:t>
        </x:is>
      </x:c>
      <x:c r="J6" s="17" t="inlineStr">
        <x:is>
          <x:t xml:space="preserve">R</x:t>
        </x:is>
      </x:c>
      <x:c r="K6" s="17" t="inlineStr">
        <x:is>
          <x:t xml:space="preserve">I</x:t>
        </x:is>
      </x:c>
      <x:c r="L6" s="17" t="inlineStr">
        <x:is>
          <x:t xml:space="preserve">I</x:t>
        </x:is>
      </x:c>
      <x:c r="M6" s="17" t="inlineStr">
        <x:is>
          <x:t xml:space="preserve">I</x:t>
        </x:is>
      </x:c>
      <x:c r="N6" s="17" t="inlineStr">
        <x:is>
          <x:t xml:space="preserve">I</x:t>
        </x:is>
      </x:c>
      <x:c r="O6" s="17" t="inlineStr">
        <x:is>
          <x:t xml:space="preserve">C</x:t>
        </x:is>
      </x:c>
      <x:c r="P6" s="17" t="inlineStr">
        <x:is>
          <x:t xml:space="preserve">C</x:t>
        </x:is>
      </x:c>
      <x:c r="Q6" s="17" t="inlineStr">
        <x:is>
          <x:t xml:space="preserve">I</x:t>
        </x:is>
      </x:c>
    </x:row>
    <x:row r="7">
      <x:c r="A7" s="6" t="inlineStr">
        <x:is>
          <x:t xml:space="preserve">P-06</x:t>
        </x:is>
      </x:c>
      <x:c r="B7" s="6" t="inlineStr">
        <x:is>
          <x:t xml:space="preserve">داشبورد تخصیص بودجه (Tier 2 CMO)</x:t>
        </x:is>
      </x:c>
      <x:c r="C7" s="19" t="inlineStr">
        <x:is>
          <x:t xml:space="preserve">I</x:t>
        </x:is>
      </x:c>
      <x:c r="D7" s="19" t="inlineStr">
        <x:is>
          <x:t xml:space="preserve">A</x:t>
        </x:is>
      </x:c>
      <x:c r="E7" s="19" t="inlineStr">
        <x:is>
          <x:t xml:space="preserve">C</x:t>
        </x:is>
      </x:c>
      <x:c r="F7" s="19" t="inlineStr">
        <x:is>
          <x:t xml:space="preserve">R</x:t>
        </x:is>
      </x:c>
      <x:c r="G7" s="19" t="inlineStr">
        <x:is>
          <x:t xml:space="preserve">C</x:t>
        </x:is>
      </x:c>
      <x:c r="H7" s="19" t="inlineStr">
        <x:is>
          <x:t xml:space="preserve">C</x:t>
        </x:is>
      </x:c>
      <x:c r="I7" s="19" t="inlineStr">
        <x:is>
          <x:t xml:space="preserve">C</x:t>
        </x:is>
      </x:c>
      <x:c r="J7" s="19" t="inlineStr">
        <x:is>
          <x:t xml:space="preserve">R</x:t>
        </x:is>
      </x:c>
      <x:c r="K7" s="19" t="inlineStr">
        <x:is>
          <x:t xml:space="preserve">I</x:t>
        </x:is>
      </x:c>
      <x:c r="L7" s="19" t="inlineStr">
        <x:is>
          <x:t xml:space="preserve">C</x:t>
        </x:is>
      </x:c>
      <x:c r="M7" s="19" t="inlineStr">
        <x:is>
          <x:t xml:space="preserve">C</x:t>
        </x:is>
      </x:c>
      <x:c r="N7" s="19" t="inlineStr">
        <x:is>
          <x:t xml:space="preserve">I</x:t>
        </x:is>
      </x:c>
      <x:c r="O7" s="19" t="inlineStr">
        <x:is>
          <x:t xml:space="preserve">I</x:t>
        </x:is>
      </x:c>
      <x:c r="P7" s="19" t="inlineStr">
        <x:is>
          <x:t xml:space="preserve">C</x:t>
        </x:is>
      </x:c>
      <x:c r="Q7" s="19" t="inlineStr">
        <x:is>
          <x:t xml:space="preserve">I</x:t>
        </x:is>
      </x:c>
    </x:row>
    <x:row r="8">
      <x:c r="A8" s="4" t="inlineStr">
        <x:is>
          <x:t xml:space="preserve">P-07</x:t>
        </x:is>
      </x:c>
      <x:c r="B8" s="4" t="inlineStr">
        <x:is>
          <x:t xml:space="preserve">داشبورد عملیاتی (Tier 3)</x:t>
        </x:is>
      </x:c>
      <x:c r="C8" s="17" t="inlineStr">
        <x:is>
          <x:t xml:space="preserve">I</x:t>
        </x:is>
      </x:c>
      <x:c r="D8" s="17" t="inlineStr">
        <x:is>
          <x:t xml:space="preserve">C</x:t>
        </x:is>
      </x:c>
      <x:c r="E8" s="17" t="inlineStr">
        <x:is>
          <x:t xml:space="preserve">I</x:t>
        </x:is>
      </x:c>
      <x:c r="F8" s="17" t="inlineStr">
        <x:is>
          <x:t xml:space="preserve">A</x:t>
        </x:is>
      </x:c>
      <x:c r="G8" s="17" t="inlineStr">
        <x:is>
          <x:t xml:space="preserve">R</x:t>
        </x:is>
      </x:c>
      <x:c r="H8" s="17" t="inlineStr">
        <x:is>
          <x:t xml:space="preserve">C</x:t>
        </x:is>
      </x:c>
      <x:c r="I8" s="17" t="inlineStr">
        <x:is>
          <x:t xml:space="preserve">I</x:t>
        </x:is>
      </x:c>
      <x:c r="J8" s="17" t="inlineStr">
        <x:is>
          <x:t xml:space="preserve">R</x:t>
        </x:is>
      </x:c>
      <x:c r="K8" s="17" t="inlineStr">
        <x:is>
          <x:t xml:space="preserve">C</x:t>
        </x:is>
      </x:c>
      <x:c r="L8" s="17" t="inlineStr">
        <x:is>
          <x:t xml:space="preserve">I</x:t>
        </x:is>
      </x:c>
      <x:c r="M8" s="17" t="inlineStr">
        <x:is>
          <x:t xml:space="preserve">I</x:t>
        </x:is>
      </x:c>
      <x:c r="N8" s="17" t="inlineStr">
        <x:is>
          <x:t xml:space="preserve">R</x:t>
        </x:is>
      </x:c>
      <x:c r="O8" s="17" t="inlineStr">
        <x:is>
          <x:t xml:space="preserve">I</x:t>
        </x:is>
      </x:c>
      <x:c r="P8" s="17" t="inlineStr">
        <x:is>
          <x:t xml:space="preserve">I</x:t>
        </x:is>
      </x:c>
      <x:c r="Q8" s="17" t="inlineStr">
        <x:is>
          <x:t xml:space="preserve">I</x:t>
        </x:is>
      </x:c>
    </x:row>
    <x:row r="9">
      <x:c r="A9" s="6" t="inlineStr">
        <x:is>
          <x:t xml:space="preserve">P-08</x:t>
        </x:is>
      </x:c>
      <x:c r="B9" s="6" t="inlineStr">
        <x:is>
          <x:t xml:space="preserve">موتور تشخیص ناهنجاری و ۱۶ هشدار</x:t>
        </x:is>
      </x:c>
      <x:c r="C9" s="19" t="inlineStr">
        <x:is>
          <x:t xml:space="preserve">I</x:t>
        </x:is>
      </x:c>
      <x:c r="D9" s="19" t="inlineStr">
        <x:is>
          <x:t xml:space="preserve">C</x:t>
        </x:is>
      </x:c>
      <x:c r="E9" s="19" t="inlineStr">
        <x:is>
          <x:t xml:space="preserve">I</x:t>
        </x:is>
      </x:c>
      <x:c r="F9" s="19" t="inlineStr">
        <x:is>
          <x:t xml:space="preserve">C</x:t>
        </x:is>
      </x:c>
      <x:c r="G9" s="19" t="inlineStr">
        <x:is>
          <x:t xml:space="preserve">C</x:t>
        </x:is>
      </x:c>
      <x:c r="H9" s="19" t="inlineStr">
        <x:is>
          <x:t xml:space="preserve">R</x:t>
        </x:is>
      </x:c>
      <x:c r="I9" s="19" t="inlineStr">
        <x:is>
          <x:t xml:space="preserve">R</x:t>
        </x:is>
      </x:c>
      <x:c r="J9" s="19" t="inlineStr">
        <x:is>
          <x:t xml:space="preserve">C</x:t>
        </x:is>
      </x:c>
      <x:c r="K9" s="19" t="inlineStr">
        <x:is>
          <x:t xml:space="preserve">I</x:t>
        </x:is>
      </x:c>
      <x:c r="L9" s="19" t="inlineStr">
        <x:is>
          <x:t xml:space="preserve">I</x:t>
        </x:is>
      </x:c>
      <x:c r="M9" s="19" t="inlineStr">
        <x:is>
          <x:t xml:space="preserve">I</x:t>
        </x:is>
      </x:c>
      <x:c r="N9" s="19" t="inlineStr">
        <x:is>
          <x:t xml:space="preserve">C</x:t>
        </x:is>
      </x:c>
      <x:c r="O9" s="19" t="inlineStr">
        <x:is>
          <x:t xml:space="preserve">I</x:t>
        </x:is>
      </x:c>
      <x:c r="P9" s="19" t="inlineStr">
        <x:is>
          <x:t xml:space="preserve">I</x:t>
        </x:is>
      </x:c>
      <x:c r="Q9" s="19" t="inlineStr">
        <x:is>
          <x:t xml:space="preserve">I</x:t>
        </x:is>
      </x:c>
    </x:row>
    <x:row r="10">
      <x:c r="A10" s="4" t="inlineStr">
        <x:is>
          <x:t xml:space="preserve">P-09</x:t>
        </x:is>
      </x:c>
      <x:c r="B10" s="4" t="inlineStr">
        <x:is>
          <x:t xml:space="preserve">پایپ‌لاین لید و اتوماسیون B2B</x:t>
        </x:is>
      </x:c>
      <x:c r="C10" s="17" t="inlineStr">
        <x:is>
          <x:t xml:space="preserve">I</x:t>
        </x:is>
      </x:c>
      <x:c r="D10" s="17" t="inlineStr">
        <x:is>
          <x:t xml:space="preserve">A</x:t>
        </x:is>
      </x:c>
      <x:c r="E10" s="17" t="inlineStr">
        <x:is>
          <x:t xml:space="preserve">I</x:t>
        </x:is>
      </x:c>
      <x:c r="F10" s="17" t="inlineStr">
        <x:is>
          <x:t xml:space="preserve">C</x:t>
        </x:is>
      </x:c>
      <x:c r="G10" s="17" t="inlineStr">
        <x:is>
          <x:t xml:space="preserve">I</x:t>
        </x:is>
      </x:c>
      <x:c r="H10" s="17" t="inlineStr">
        <x:is>
          <x:t xml:space="preserve">C</x:t>
        </x:is>
      </x:c>
      <x:c r="I10" s="17" t="inlineStr">
        <x:is>
          <x:t xml:space="preserve">I</x:t>
        </x:is>
      </x:c>
      <x:c r="J10" s="17" t="inlineStr">
        <x:is>
          <x:t xml:space="preserve">I</x:t>
        </x:is>
      </x:c>
      <x:c r="K10" s="17" t="inlineStr">
        <x:is>
          <x:t xml:space="preserve">I</x:t>
        </x:is>
      </x:c>
      <x:c r="L10" s="17" t="inlineStr">
        <x:is>
          <x:t xml:space="preserve">R</x:t>
        </x:is>
      </x:c>
      <x:c r="M10" s="17" t="inlineStr">
        <x:is>
          <x:t xml:space="preserve">R</x:t>
        </x:is>
      </x:c>
      <x:c r="N10" s="17" t="inlineStr">
        <x:is>
          <x:t xml:space="preserve">I</x:t>
        </x:is>
      </x:c>
      <x:c r="O10" s="17" t="inlineStr">
        <x:is>
          <x:t xml:space="preserve">I</x:t>
        </x:is>
      </x:c>
      <x:c r="P10" s="17" t="inlineStr">
        <x:is>
          <x:t xml:space="preserve">I</x:t>
        </x:is>
      </x:c>
      <x:c r="Q10" s="17" t="inlineStr">
        <x:is>
          <x:t xml:space="preserve">I</x:t>
        </x:is>
      </x:c>
    </x:row>
    <x:row r="11">
      <x:c r="A11" s="6" t="inlineStr">
        <x:is>
          <x:t xml:space="preserve">P-10</x:t>
        </x:is>
      </x:c>
      <x:c r="B11" s="6" t="inlineStr">
        <x:is>
          <x:t xml:space="preserve">بازطراحی قیف تسویه و کاهش رهاسازی سبد</x:t>
        </x:is>
      </x:c>
      <x:c r="C11" s="19" t="inlineStr">
        <x:is>
          <x:t xml:space="preserve">I</x:t>
        </x:is>
      </x:c>
      <x:c r="D11" s="19" t="inlineStr">
        <x:is>
          <x:t xml:space="preserve">C</x:t>
        </x:is>
      </x:c>
      <x:c r="E11" s="19" t="inlineStr">
        <x:is>
          <x:t xml:space="preserve">C</x:t>
        </x:is>
      </x:c>
      <x:c r="F11" s="19" t="inlineStr">
        <x:is>
          <x:t xml:space="preserve">C</x:t>
        </x:is>
      </x:c>
      <x:c r="G11" s="19" t="inlineStr">
        <x:is>
          <x:t xml:space="preserve">I</x:t>
        </x:is>
      </x:c>
      <x:c r="H11" s="19" t="inlineStr">
        <x:is>
          <x:t xml:space="preserve">C</x:t>
        </x:is>
      </x:c>
      <x:c r="I11" s="19" t="inlineStr">
        <x:is>
          <x:t xml:space="preserve">I</x:t>
        </x:is>
      </x:c>
      <x:c r="J11" s="19" t="inlineStr">
        <x:is>
          <x:t xml:space="preserve">C</x:t>
        </x:is>
      </x:c>
      <x:c r="K11" s="19" t="inlineStr">
        <x:is>
          <x:t xml:space="preserve">R</x:t>
        </x:is>
      </x:c>
      <x:c r="L11" s="19" t="inlineStr">
        <x:is>
          <x:t xml:space="preserve">I</x:t>
        </x:is>
      </x:c>
      <x:c r="M11" s="19" t="inlineStr">
        <x:is>
          <x:t xml:space="preserve">C</x:t>
        </x:is>
      </x:c>
      <x:c r="N11" s="19" t="inlineStr">
        <x:is>
          <x:t xml:space="preserve">C</x:t>
        </x:is>
      </x:c>
      <x:c r="O11" s="19" t="inlineStr">
        <x:is>
          <x:t xml:space="preserve">I</x:t>
        </x:is>
      </x:c>
      <x:c r="P11" s="19" t="inlineStr">
        <x:is>
          <x:t xml:space="preserve">I</x:t>
        </x:is>
      </x:c>
      <x:c r="Q11" s="19" t="inlineStr">
        <x:is>
          <x:t xml:space="preserve">I</x:t>
        </x:is>
      </x:c>
    </x:row>
    <x:row r="12">
      <x:c r="A12" s="4" t="inlineStr">
        <x:is>
          <x:t xml:space="preserve">P-11</x:t>
        </x:is>
      </x:c>
      <x:c r="B12" s="4" t="inlineStr">
        <x:is>
          <x:t xml:space="preserve">اتریبیوشن چندلمسی داده‌محور (MTA)</x:t>
        </x:is>
      </x:c>
      <x:c r="C12" s="17" t="inlineStr">
        <x:is>
          <x:t xml:space="preserve">I</x:t>
        </x:is>
      </x:c>
      <x:c r="D12" s="17" t="inlineStr">
        <x:is>
          <x:t xml:space="preserve">C</x:t>
        </x:is>
      </x:c>
      <x:c r="E12" s="17" t="inlineStr">
        <x:is>
          <x:t xml:space="preserve">I</x:t>
        </x:is>
      </x:c>
      <x:c r="F12" s="17" t="inlineStr">
        <x:is>
          <x:t xml:space="preserve">C</x:t>
        </x:is>
      </x:c>
      <x:c r="G12" s="17" t="inlineStr">
        <x:is>
          <x:t xml:space="preserve">I</x:t>
        </x:is>
      </x:c>
      <x:c r="H12" s="17" t="inlineStr">
        <x:is>
          <x:t xml:space="preserve">R</x:t>
        </x:is>
      </x:c>
      <x:c r="I12" s="17" t="inlineStr">
        <x:is>
          <x:t xml:space="preserve">R</x:t>
        </x:is>
      </x:c>
      <x:c r="J12" s="17" t="inlineStr">
        <x:is>
          <x:t xml:space="preserve">C</x:t>
        </x:is>
      </x:c>
      <x:c r="K12" s="17" t="inlineStr">
        <x:is>
          <x:t xml:space="preserve">I</x:t>
        </x:is>
      </x:c>
      <x:c r="L12" s="17" t="inlineStr">
        <x:is>
          <x:t xml:space="preserve">I</x:t>
        </x:is>
      </x:c>
      <x:c r="M12" s="17" t="inlineStr">
        <x:is>
          <x:t xml:space="preserve">I</x:t>
        </x:is>
      </x:c>
      <x:c r="N12" s="17" t="inlineStr">
        <x:is>
          <x:t xml:space="preserve">I</x:t>
        </x:is>
      </x:c>
      <x:c r="O12" s="17" t="inlineStr">
        <x:is>
          <x:t xml:space="preserve">I</x:t>
        </x:is>
      </x:c>
      <x:c r="P12" s="17" t="inlineStr">
        <x:is>
          <x:t xml:space="preserve">I</x:t>
        </x:is>
      </x:c>
      <x:c r="Q12" s="17" t="inlineStr">
        <x:is>
          <x:t xml:space="preserve">I</x:t>
        </x:is>
      </x:c>
    </x:row>
    <x:row r="13">
      <x:c r="A13" s="6" t="inlineStr">
        <x:is>
          <x:t xml:space="preserve">P-12</x:t>
        </x:is>
      </x:c>
      <x:c r="B13" s="6" t="inlineStr">
        <x:is>
          <x:t xml:space="preserve">مدل CLV و سگمنت‌بندی RFM</x:t>
        </x:is>
      </x:c>
      <x:c r="C13" s="19" t="inlineStr">
        <x:is>
          <x:t xml:space="preserve">I</x:t>
        </x:is>
      </x:c>
      <x:c r="D13" s="19" t="inlineStr">
        <x:is>
          <x:t xml:space="preserve">C</x:t>
        </x:is>
      </x:c>
      <x:c r="E13" s="19" t="inlineStr">
        <x:is>
          <x:t xml:space="preserve">C</x:t>
        </x:is>
      </x:c>
      <x:c r="F13" s="19" t="inlineStr">
        <x:is>
          <x:t xml:space="preserve">C</x:t>
        </x:is>
      </x:c>
      <x:c r="G13" s="19" t="inlineStr">
        <x:is>
          <x:t xml:space="preserve">I</x:t>
        </x:is>
      </x:c>
      <x:c r="H13" s="19" t="inlineStr">
        <x:is>
          <x:t xml:space="preserve">C</x:t>
        </x:is>
      </x:c>
      <x:c r="I13" s="19" t="inlineStr">
        <x:is>
          <x:t xml:space="preserve">R</x:t>
        </x:is>
      </x:c>
      <x:c r="J13" s="19" t="inlineStr">
        <x:is>
          <x:t xml:space="preserve">C</x:t>
        </x:is>
      </x:c>
      <x:c r="K13" s="19" t="inlineStr">
        <x:is>
          <x:t xml:space="preserve">I</x:t>
        </x:is>
      </x:c>
      <x:c r="L13" s="19" t="inlineStr">
        <x:is>
          <x:t xml:space="preserve">R</x:t>
        </x:is>
      </x:c>
      <x:c r="M13" s="19" t="inlineStr">
        <x:is>
          <x:t xml:space="preserve">I</x:t>
        </x:is>
      </x:c>
      <x:c r="N13" s="19" t="inlineStr">
        <x:is>
          <x:t xml:space="preserve">I</x:t>
        </x:is>
      </x:c>
      <x:c r="O13" s="19" t="inlineStr">
        <x:is>
          <x:t xml:space="preserve">I</x:t>
        </x:is>
      </x:c>
      <x:c r="P13" s="19" t="inlineStr">
        <x:is>
          <x:t xml:space="preserve">I</x:t>
        </x:is>
      </x:c>
      <x:c r="Q13" s="19" t="inlineStr">
        <x:is>
          <x:t xml:space="preserve">I</x:t>
        </x:is>
      </x:c>
    </x:row>
    <x:row r="14">
      <x:c r="A14" s="4" t="inlineStr">
        <x:is>
          <x:t xml:space="preserve">P-13</x:t>
        </x:is>
      </x:c>
      <x:c r="B14" s="4" t="inlineStr">
        <x:is>
          <x:t xml:space="preserve">کمپین‌های خودکار شارژ مواد مصرفی</x:t>
        </x:is>
      </x:c>
      <x:c r="C14" s="17" t="inlineStr">
        <x:is>
          <x:t xml:space="preserve">I</x:t>
        </x:is>
      </x:c>
      <x:c r="D14" s="17" t="inlineStr">
        <x:is>
          <x:t xml:space="preserve">A</x:t>
        </x:is>
      </x:c>
      <x:c r="E14" s="17" t="inlineStr">
        <x:is>
          <x:t xml:space="preserve">I</x:t>
        </x:is>
      </x:c>
      <x:c r="F14" s="17" t="inlineStr">
        <x:is>
          <x:t xml:space="preserve">C</x:t>
        </x:is>
      </x:c>
      <x:c r="G14" s="17" t="inlineStr">
        <x:is>
          <x:t xml:space="preserve">I</x:t>
        </x:is>
      </x:c>
      <x:c r="H14" s="17" t="inlineStr">
        <x:is>
          <x:t xml:space="preserve">C</x:t>
        </x:is>
      </x:c>
      <x:c r="I14" s="17" t="inlineStr">
        <x:is>
          <x:t xml:space="preserve">C</x:t>
        </x:is>
      </x:c>
      <x:c r="J14" s="17" t="inlineStr">
        <x:is>
          <x:t xml:space="preserve">I</x:t>
        </x:is>
      </x:c>
      <x:c r="K14" s="17" t="inlineStr">
        <x:is>
          <x:t xml:space="preserve">I</x:t>
        </x:is>
      </x:c>
      <x:c r="L14" s="17" t="inlineStr">
        <x:is>
          <x:t xml:space="preserve">R</x:t>
        </x:is>
      </x:c>
      <x:c r="M14" s="17" t="inlineStr">
        <x:is>
          <x:t xml:space="preserve">C</x:t>
        </x:is>
      </x:c>
      <x:c r="N14" s="17" t="inlineStr">
        <x:is>
          <x:t xml:space="preserve">I</x:t>
        </x:is>
      </x:c>
      <x:c r="O14" s="17" t="inlineStr">
        <x:is>
          <x:t xml:space="preserve">I</x:t>
        </x:is>
      </x:c>
      <x:c r="P14" s="17" t="inlineStr">
        <x:is>
          <x:t xml:space="preserve">I</x:t>
        </x:is>
      </x:c>
      <x:c r="Q14" s="17" t="inlineStr">
        <x:is>
          <x:t xml:space="preserve">I</x:t>
        </x:is>
      </x:c>
    </x:row>
    <x:row r="15">
      <x:c r="A15" s="6" t="inlineStr">
        <x:is>
          <x:t xml:space="preserve">P-14</x:t>
        </x:is>
      </x:c>
      <x:c r="B15" s="6" t="inlineStr">
        <x:is>
          <x:t xml:space="preserve">فیلترینگ ترافیک نامعتبر و کلاهبرداری کلیکی</x:t>
        </x:is>
      </x:c>
      <x:c r="C15" s="19" t="inlineStr">
        <x:is>
          <x:t xml:space="preserve">I</x:t>
        </x:is>
      </x:c>
      <x:c r="D15" s="19" t="inlineStr">
        <x:is>
          <x:t xml:space="preserve">C</x:t>
        </x:is>
      </x:c>
      <x:c r="E15" s="19" t="inlineStr">
        <x:is>
          <x:t xml:space="preserve">I</x:t>
        </x:is>
      </x:c>
      <x:c r="F15" s="19" t="inlineStr">
        <x:is>
          <x:t xml:space="preserve">A</x:t>
        </x:is>
      </x:c>
      <x:c r="G15" s="19" t="inlineStr">
        <x:is>
          <x:t xml:space="preserve">C</x:t>
        </x:is>
      </x:c>
      <x:c r="H15" s="19" t="inlineStr">
        <x:is>
          <x:t xml:space="preserve">R</x:t>
        </x:is>
      </x:c>
      <x:c r="I15" s="19" t="inlineStr">
        <x:is>
          <x:t xml:space="preserve">R</x:t>
        </x:is>
      </x:c>
      <x:c r="J15" s="19" t="inlineStr">
        <x:is>
          <x:t xml:space="preserve">I</x:t>
        </x:is>
      </x:c>
      <x:c r="K15" s="19" t="inlineStr">
        <x:is>
          <x:t xml:space="preserve">I</x:t>
        </x:is>
      </x:c>
      <x:c r="L15" s="19" t="inlineStr">
        <x:is>
          <x:t xml:space="preserve">I</x:t>
        </x:is>
      </x:c>
      <x:c r="M15" s="19" t="inlineStr">
        <x:is>
          <x:t xml:space="preserve">I</x:t>
        </x:is>
      </x:c>
      <x:c r="N15" s="19" t="inlineStr">
        <x:is>
          <x:t xml:space="preserve">C</x:t>
        </x:is>
      </x:c>
      <x:c r="O15" s="19" t="inlineStr">
        <x:is>
          <x:t xml:space="preserve">I</x:t>
        </x:is>
      </x:c>
      <x:c r="P15" s="19" t="inlineStr">
        <x:is>
          <x:t xml:space="preserve">I</x:t>
        </x:is>
      </x:c>
      <x:c r="Q15" s="19" t="inlineStr">
        <x:is>
          <x:t xml:space="preserve">I</x:t>
        </x:is>
      </x:c>
    </x:row>
    <x:row r="16">
      <x:c r="A16" s="4" t="inlineStr">
        <x:is>
          <x:t xml:space="preserve">P-15</x:t>
        </x:is>
      </x:c>
      <x:c r="B16" s="4" t="inlineStr">
        <x:is>
          <x:t xml:space="preserve">اتصال بلادرنگ WMS به تبلیغات</x:t>
        </x:is>
      </x:c>
      <x:c r="C16" s="17" t="inlineStr">
        <x:is>
          <x:t xml:space="preserve">I</x:t>
        </x:is>
      </x:c>
      <x:c r="D16" s="17" t="inlineStr">
        <x:is>
          <x:t xml:space="preserve">C</x:t>
        </x:is>
      </x:c>
      <x:c r="E16" s="17" t="inlineStr">
        <x:is>
          <x:t xml:space="preserve">I</x:t>
        </x:is>
      </x:c>
      <x:c r="F16" s="17" t="inlineStr">
        <x:is>
          <x:t xml:space="preserve">C</x:t>
        </x:is>
      </x:c>
      <x:c r="G16" s="17" t="inlineStr">
        <x:is>
          <x:t xml:space="preserve">C</x:t>
        </x:is>
      </x:c>
      <x:c r="H16" s="17" t="inlineStr">
        <x:is>
          <x:t xml:space="preserve">R</x:t>
        </x:is>
      </x:c>
      <x:c r="I16" s="17" t="inlineStr">
        <x:is>
          <x:t xml:space="preserve">I</x:t>
        </x:is>
      </x:c>
      <x:c r="J16" s="17" t="inlineStr">
        <x:is>
          <x:t xml:space="preserve">I</x:t>
        </x:is>
      </x:c>
      <x:c r="K16" s="17" t="inlineStr">
        <x:is>
          <x:t xml:space="preserve">I</x:t>
        </x:is>
      </x:c>
      <x:c r="L16" s="17" t="inlineStr">
        <x:is>
          <x:t xml:space="preserve">I</x:t>
        </x:is>
      </x:c>
      <x:c r="M16" s="17" t="inlineStr">
        <x:is>
          <x:t xml:space="preserve">I</x:t>
        </x:is>
      </x:c>
      <x:c r="N16" s="17" t="inlineStr">
        <x:is>
          <x:t xml:space="preserve">R</x:t>
        </x:is>
      </x:c>
      <x:c r="O16" s="17" t="inlineStr">
        <x:is>
          <x:t xml:space="preserve">R</x:t>
        </x:is>
      </x:c>
      <x:c r="P16" s="17" t="inlineStr">
        <x:is>
          <x:t xml:space="preserve">I</x:t>
        </x:is>
      </x:c>
      <x:c r="Q16" s="17" t="inlineStr">
        <x:is>
          <x:t xml:space="preserve">I</x:t>
        </x:is>
      </x:c>
    </x:row>
    <x:row r="17">
      <x:c r="A17" s="6" t="inlineStr">
        <x:is>
          <x:t xml:space="preserve">P-16</x:t>
        </x:is>
      </x:c>
      <x:c r="B17" s="6" t="inlineStr">
        <x:is>
          <x:t xml:space="preserve">مدل امتیازدهی پیش‌بینانه لیدها</x:t>
        </x:is>
      </x:c>
      <x:c r="C17" s="19" t="inlineStr">
        <x:is>
          <x:t xml:space="preserve">I</x:t>
        </x:is>
      </x:c>
      <x:c r="D17" s="19" t="inlineStr">
        <x:is>
          <x:t xml:space="preserve">C</x:t>
        </x:is>
      </x:c>
      <x:c r="E17" s="19" t="inlineStr">
        <x:is>
          <x:t xml:space="preserve">I</x:t>
        </x:is>
      </x:c>
      <x:c r="F17" s="19" t="inlineStr">
        <x:is>
          <x:t xml:space="preserve">C</x:t>
        </x:is>
      </x:c>
      <x:c r="G17" s="19" t="inlineStr">
        <x:is>
          <x:t xml:space="preserve">I</x:t>
        </x:is>
      </x:c>
      <x:c r="H17" s="19" t="inlineStr">
        <x:is>
          <x:t xml:space="preserve">C</x:t>
        </x:is>
      </x:c>
      <x:c r="I17" s="19" t="inlineStr">
        <x:is>
          <x:t xml:space="preserve">R</x:t>
        </x:is>
      </x:c>
      <x:c r="J17" s="19" t="inlineStr">
        <x:is>
          <x:t xml:space="preserve">I</x:t>
        </x:is>
      </x:c>
      <x:c r="K17" s="19" t="inlineStr">
        <x:is>
          <x:t xml:space="preserve">I</x:t>
        </x:is>
      </x:c>
      <x:c r="L17" s="19" t="inlineStr">
        <x:is>
          <x:t xml:space="preserve">R</x:t>
        </x:is>
      </x:c>
      <x:c r="M17" s="19" t="inlineStr">
        <x:is>
          <x:t xml:space="preserve">C</x:t>
        </x:is>
      </x:c>
      <x:c r="N17" s="19" t="inlineStr">
        <x:is>
          <x:t xml:space="preserve">I</x:t>
        </x:is>
      </x:c>
      <x:c r="O17" s="19" t="inlineStr">
        <x:is>
          <x:t xml:space="preserve">I</x:t>
        </x:is>
      </x:c>
      <x:c r="P17" s="19" t="inlineStr">
        <x:is>
          <x:t xml:space="preserve">I</x:t>
        </x:is>
      </x:c>
      <x:c r="Q17" s="19" t="inlineStr">
        <x:is>
          <x:t xml:space="preserve">I</x:t>
        </x:is>
      </x:c>
    </x:row>
    <x:row r="18">
      <x:c r="A18" s="4" t="inlineStr">
        <x:is>
          <x:t xml:space="preserve">P-17</x:t>
        </x:is>
      </x:c>
      <x:c r="B18" s="4" t="inlineStr">
        <x:is>
          <x:t xml:space="preserve">چارچوب آزمایش لیفت استانی (Geo-Lift)</x:t>
        </x:is>
      </x:c>
      <x:c r="C18" s="17" t="inlineStr">
        <x:is>
          <x:t xml:space="preserve">I</x:t>
        </x:is>
      </x:c>
      <x:c r="D18" s="17" t="inlineStr">
        <x:is>
          <x:t xml:space="preserve">C</x:t>
        </x:is>
      </x:c>
      <x:c r="E18" s="17" t="inlineStr">
        <x:is>
          <x:t xml:space="preserve">I</x:t>
        </x:is>
      </x:c>
      <x:c r="F18" s="17" t="inlineStr">
        <x:is>
          <x:t xml:space="preserve">C</x:t>
        </x:is>
      </x:c>
      <x:c r="G18" s="17" t="inlineStr">
        <x:is>
          <x:t xml:space="preserve">C</x:t>
        </x:is>
      </x:c>
      <x:c r="H18" s="17" t="inlineStr">
        <x:is>
          <x:t xml:space="preserve">C</x:t>
        </x:is>
      </x:c>
      <x:c r="I18" s="17" t="inlineStr">
        <x:is>
          <x:t xml:space="preserve">R</x:t>
        </x:is>
      </x:c>
      <x:c r="J18" s="17" t="inlineStr">
        <x:is>
          <x:t xml:space="preserve">C</x:t>
        </x:is>
      </x:c>
      <x:c r="K18" s="17" t="inlineStr">
        <x:is>
          <x:t xml:space="preserve">I</x:t>
        </x:is>
      </x:c>
      <x:c r="L18" s="17" t="inlineStr">
        <x:is>
          <x:t xml:space="preserve">I</x:t>
        </x:is>
      </x:c>
      <x:c r="M18" s="17" t="inlineStr">
        <x:is>
          <x:t xml:space="preserve">I</x:t>
        </x:is>
      </x:c>
      <x:c r="N18" s="17" t="inlineStr">
        <x:is>
          <x:t xml:space="preserve">I</x:t>
        </x:is>
      </x:c>
      <x:c r="O18" s="17" t="inlineStr">
        <x:is>
          <x:t xml:space="preserve">I</x:t>
        </x:is>
      </x:c>
      <x:c r="P18" s="17" t="inlineStr">
        <x:is>
          <x:t xml:space="preserve">I</x:t>
        </x:is>
      </x:c>
      <x:c r="Q18" s="17" t="inlineStr">
        <x:is>
          <x:t xml:space="preserve">I</x:t>
        </x:is>
      </x:c>
    </x:row>
    <x:row r="19">
      <x:c r="A19" s="6" t="inlineStr">
        <x:is>
          <x:t xml:space="preserve">P-18</x:t>
        </x:is>
      </x:c>
      <x:c r="B19" s="6" t="inlineStr">
        <x:is>
          <x:t xml:space="preserve">مدل آمیخته بازاریابی بایزی (MMM)</x:t>
        </x:is>
      </x:c>
      <x:c r="C19" s="19" t="inlineStr">
        <x:is>
          <x:t xml:space="preserve">I</x:t>
        </x:is>
      </x:c>
      <x:c r="D19" s="19" t="inlineStr">
        <x:is>
          <x:t xml:space="preserve">C</x:t>
        </x:is>
      </x:c>
      <x:c r="E19" s="19" t="inlineStr">
        <x:is>
          <x:t xml:space="preserve">C</x:t>
        </x:is>
      </x:c>
      <x:c r="F19" s="19" t="inlineStr">
        <x:is>
          <x:t xml:space="preserve">C</x:t>
        </x:is>
      </x:c>
      <x:c r="G19" s="19" t="inlineStr">
        <x:is>
          <x:t xml:space="preserve">I</x:t>
        </x:is>
      </x:c>
      <x:c r="H19" s="19" t="inlineStr">
        <x:is>
          <x:t xml:space="preserve">R</x:t>
        </x:is>
      </x:c>
      <x:c r="I19" s="19" t="inlineStr">
        <x:is>
          <x:t xml:space="preserve">R</x:t>
        </x:is>
      </x:c>
      <x:c r="J19" s="19" t="inlineStr">
        <x:is>
          <x:t xml:space="preserve">C</x:t>
        </x:is>
      </x:c>
      <x:c r="K19" s="19" t="inlineStr">
        <x:is>
          <x:t xml:space="preserve">I</x:t>
        </x:is>
      </x:c>
      <x:c r="L19" s="19" t="inlineStr">
        <x:is>
          <x:t xml:space="preserve">I</x:t>
        </x:is>
      </x:c>
      <x:c r="M19" s="19" t="inlineStr">
        <x:is>
          <x:t xml:space="preserve">I</x:t>
        </x:is>
      </x:c>
      <x:c r="N19" s="19" t="inlineStr">
        <x:is>
          <x:t xml:space="preserve">I</x:t>
        </x:is>
      </x:c>
      <x:c r="O19" s="19" t="inlineStr">
        <x:is>
          <x:t xml:space="preserve">I</x:t>
        </x:is>
      </x:c>
      <x:c r="P19" s="19" t="inlineStr">
        <x:is>
          <x:t xml:space="preserve">I</x:t>
        </x:is>
      </x:c>
      <x:c r="Q19" s="19" t="inlineStr">
        <x:is>
          <x:t xml:space="preserve">I</x:t>
        </x:is>
      </x:c>
    </x:row>
    <x:row r="20">
      <x:c r="A20" s="4" t="inlineStr">
        <x:is>
          <x:t xml:space="preserve">P-19</x:t>
        </x:is>
      </x:c>
      <x:c r="B20" s="4" t="inlineStr">
        <x:is>
          <x:t xml:space="preserve">موتور پیشنهاد مکمل (NBP)</x:t>
        </x:is>
      </x:c>
      <x:c r="C20" s="17" t="inlineStr">
        <x:is>
          <x:t xml:space="preserve">I</x:t>
        </x:is>
      </x:c>
      <x:c r="D20" s="17" t="inlineStr">
        <x:is>
          <x:t xml:space="preserve">C</x:t>
        </x:is>
      </x:c>
      <x:c r="E20" s="17" t="inlineStr">
        <x:is>
          <x:t xml:space="preserve">I</x:t>
        </x:is>
      </x:c>
      <x:c r="F20" s="17" t="inlineStr">
        <x:is>
          <x:t xml:space="preserve">C</x:t>
        </x:is>
      </x:c>
      <x:c r="G20" s="17" t="inlineStr">
        <x:is>
          <x:t xml:space="preserve">I</x:t>
        </x:is>
      </x:c>
      <x:c r="H20" s="17" t="inlineStr">
        <x:is>
          <x:t xml:space="preserve">C</x:t>
        </x:is>
      </x:c>
      <x:c r="I20" s="17" t="inlineStr">
        <x:is>
          <x:t xml:space="preserve">R</x:t>
        </x:is>
      </x:c>
      <x:c r="J20" s="17" t="inlineStr">
        <x:is>
          <x:t xml:space="preserve">C</x:t>
        </x:is>
      </x:c>
      <x:c r="K20" s="17" t="inlineStr">
        <x:is>
          <x:t xml:space="preserve">I</x:t>
        </x:is>
      </x:c>
      <x:c r="L20" s="17" t="inlineStr">
        <x:is>
          <x:t xml:space="preserve">C</x:t>
        </x:is>
      </x:c>
      <x:c r="M20" s="17" t="inlineStr">
        <x:is>
          <x:t xml:space="preserve">I</x:t>
        </x:is>
      </x:c>
      <x:c r="N20" s="17" t="inlineStr">
        <x:is>
          <x:t xml:space="preserve">I</x:t>
        </x:is>
      </x:c>
      <x:c r="O20" s="17" t="inlineStr">
        <x:is>
          <x:t xml:space="preserve">I</x:t>
        </x:is>
      </x:c>
      <x:c r="P20" s="17" t="inlineStr">
        <x:is>
          <x:t xml:space="preserve">I</x:t>
        </x:is>
      </x:c>
      <x:c r="Q20" s="17" t="inlineStr">
        <x:is>
          <x:t xml:space="preserve">I</x:t>
        </x:is>
      </x:c>
    </x:row>
    <x:row r="21">
      <x:c r="A21" s="6" t="inlineStr">
        <x:is>
          <x:t xml:space="preserve">P-20</x:t>
        </x:is>
      </x:c>
      <x:c r="B21" s="6" t="inlineStr">
        <x:is>
          <x:t xml:space="preserve">پایش کیفیت داده و حاکمیت (Data Governance)</x:t>
        </x:is>
      </x:c>
      <x:c r="C21" s="19" t="inlineStr">
        <x:is>
          <x:t xml:space="preserve">I</x:t>
        </x:is>
      </x:c>
      <x:c r="D21" s="19" t="inlineStr">
        <x:is>
          <x:t xml:space="preserve">C</x:t>
        </x:is>
      </x:c>
      <x:c r="E21" s="19" t="inlineStr">
        <x:is>
          <x:t xml:space="preserve">C</x:t>
        </x:is>
      </x:c>
      <x:c r="F21" s="19" t="inlineStr">
        <x:is>
          <x:t xml:space="preserve">C</x:t>
        </x:is>
      </x:c>
      <x:c r="G21" s="19" t="inlineStr">
        <x:is>
          <x:t xml:space="preserve">I</x:t>
        </x:is>
      </x:c>
      <x:c r="H21" s="19" t="inlineStr">
        <x:is>
          <x:t xml:space="preserve">A</x:t>
        </x:is>
      </x:c>
      <x:c r="I21" s="19" t="inlineStr">
        <x:is>
          <x:t xml:space="preserve">C</x:t>
        </x:is>
      </x:c>
      <x:c r="J21" s="19" t="inlineStr">
        <x:is>
          <x:t xml:space="preserve">C</x:t>
        </x:is>
      </x:c>
      <x:c r="K21" s="19" t="inlineStr">
        <x:is>
          <x:t xml:space="preserve">I</x:t>
        </x:is>
      </x:c>
      <x:c r="L21" s="19" t="inlineStr">
        <x:is>
          <x:t xml:space="preserve">I</x:t>
        </x:is>
      </x:c>
      <x:c r="M21" s="19" t="inlineStr">
        <x:is>
          <x:t xml:space="preserve">I</x:t>
        </x:is>
      </x:c>
      <x:c r="N21" s="19" t="inlineStr">
        <x:is>
          <x:t xml:space="preserve">C</x:t>
        </x:is>
      </x:c>
      <x:c r="O21" s="19" t="inlineStr">
        <x:is>
          <x:t xml:space="preserve">C</x:t>
        </x:is>
      </x:c>
      <x:c r="P21" s="19" t="inlineStr">
        <x:is>
          <x:t xml:space="preserve">C</x:t>
        </x:is>
      </x:c>
      <x:c r="Q21" s="19" t="inlineStr">
        <x:is>
          <x:t xml:space="preserve">R</x:t>
        </x:is>
      </x:c>
    </x:row>
    <x:row r="22">
      <x:c r="A22" s="4" t="inlineStr">
        <x:is>
          <x:t xml:space="preserve">W0</x:t>
        </x:is>
      </x:c>
      <x:c r="B22" s="4" t="inlineStr">
        <x:is>
          <x:t xml:space="preserve">فاز ۰: حاکمیت، نام‌گذاری و UTM</x:t>
        </x:is>
      </x:c>
      <x:c r="C22" s="17" t="inlineStr">
        <x:is>
          <x:t xml:space="preserve">C</x:t>
        </x:is>
      </x:c>
      <x:c r="D22" s="17" t="inlineStr">
        <x:is>
          <x:t xml:space="preserve">A</x:t>
        </x:is>
      </x:c>
      <x:c r="E22" s="17" t="inlineStr">
        <x:is>
          <x:t xml:space="preserve">C</x:t>
        </x:is>
      </x:c>
      <x:c r="F22" s="17" t="inlineStr">
        <x:is>
          <x:t xml:space="preserve">R</x:t>
        </x:is>
      </x:c>
      <x:c r="G22" s="17" t="inlineStr">
        <x:is>
          <x:t xml:space="preserve">R</x:t>
        </x:is>
      </x:c>
      <x:c r="H22" s="17" t="inlineStr">
        <x:is>
          <x:t xml:space="preserve">R</x:t>
        </x:is>
      </x:c>
      <x:c r="I22" s="17" t="inlineStr">
        <x:is>
          <x:t xml:space="preserve">I</x:t>
        </x:is>
      </x:c>
      <x:c r="J22" s="17" t="inlineStr">
        <x:is>
          <x:t xml:space="preserve">R</x:t>
        </x:is>
      </x:c>
      <x:c r="K22" s="17" t="inlineStr">
        <x:is>
          <x:t xml:space="preserve">I</x:t>
        </x:is>
      </x:c>
      <x:c r="L22" s="17" t="inlineStr">
        <x:is>
          <x:t xml:space="preserve">I</x:t>
        </x:is>
      </x:c>
      <x:c r="M22" s="17" t="inlineStr">
        <x:is>
          <x:t xml:space="preserve">R</x:t>
        </x:is>
      </x:c>
      <x:c r="N22" s="17" t="inlineStr">
        <x:is>
          <x:t xml:space="preserve">I</x:t>
        </x:is>
      </x:c>
      <x:c r="O22" s="17" t="inlineStr">
        <x:is>
          <x:t xml:space="preserve">C</x:t>
        </x:is>
      </x:c>
      <x:c r="P22" s="17" t="inlineStr">
        <x:is>
          <x:t xml:space="preserve">I</x:t>
        </x:is>
      </x:c>
      <x:c r="Q22" s="17" t="inlineStr">
        <x:is>
          <x:t xml:space="preserve">I</x:t>
        </x:is>
      </x:c>
    </x:row>
    <x:row r="23">
      <x:c r="A23" s="6" t="inlineStr">
        <x:is>
          <x:t xml:space="preserve">W1</x:t>
        </x:is>
      </x:c>
      <x:c r="B23" s="6" t="inlineStr">
        <x:is>
          <x:t xml:space="preserve">فاز ۱: زیرساخت و هویت</x:t>
        </x:is>
      </x:c>
      <x:c r="C23" s="19" t="inlineStr">
        <x:is>
          <x:t xml:space="preserve">I</x:t>
        </x:is>
      </x:c>
      <x:c r="D23" s="19" t="inlineStr">
        <x:is>
          <x:t xml:space="preserve">C</x:t>
        </x:is>
      </x:c>
      <x:c r="E23" s="19" t="inlineStr">
        <x:is>
          <x:t xml:space="preserve">I</x:t>
        </x:is>
      </x:c>
      <x:c r="F23" s="19" t="inlineStr">
        <x:is>
          <x:t xml:space="preserve">C</x:t>
        </x:is>
      </x:c>
      <x:c r="G23" s="19" t="inlineStr">
        <x:is>
          <x:t xml:space="preserve">I</x:t>
        </x:is>
      </x:c>
      <x:c r="H23" s="19" t="inlineStr">
        <x:is>
          <x:t xml:space="preserve">R</x:t>
        </x:is>
      </x:c>
      <x:c r="I23" s="19" t="inlineStr">
        <x:is>
          <x:t xml:space="preserve">I</x:t>
        </x:is>
      </x:c>
      <x:c r="J23" s="19" t="inlineStr">
        <x:is>
          <x:t xml:space="preserve">I</x:t>
        </x:is>
      </x:c>
      <x:c r="K23" s="19" t="inlineStr">
        <x:is>
          <x:t xml:space="preserve">I</x:t>
        </x:is>
      </x:c>
      <x:c r="L23" s="19" t="inlineStr">
        <x:is>
          <x:t xml:space="preserve">I</x:t>
        </x:is>
      </x:c>
      <x:c r="M23" s="19" t="inlineStr">
        <x:is>
          <x:t xml:space="preserve">I</x:t>
        </x:is>
      </x:c>
      <x:c r="N23" s="19" t="inlineStr">
        <x:is>
          <x:t xml:space="preserve">R</x:t>
        </x:is>
      </x:c>
      <x:c r="O23" s="19" t="inlineStr">
        <x:is>
          <x:t xml:space="preserve">R</x:t>
        </x:is>
      </x:c>
      <x:c r="P23" s="19" t="inlineStr">
        <x:is>
          <x:t xml:space="preserve">C</x:t>
        </x:is>
      </x:c>
      <x:c r="Q23" s="19" t="inlineStr">
        <x:is>
          <x:t xml:space="preserve">I</x:t>
        </x:is>
      </x:c>
    </x:row>
    <x:row r="24">
      <x:c r="A24" s="4" t="inlineStr">
        <x:is>
          <x:t xml:space="preserve">W2</x:t>
        </x:is>
      </x:c>
      <x:c r="B24" s="4" t="inlineStr">
        <x:is>
          <x:t xml:space="preserve">فاز ۲: ترکینگ و ۲۴ رویداد</x:t>
        </x:is>
      </x:c>
      <x:c r="C24" s="17" t="inlineStr">
        <x:is>
          <x:t xml:space="preserve">I</x:t>
        </x:is>
      </x:c>
      <x:c r="D24" s="17" t="inlineStr">
        <x:is>
          <x:t xml:space="preserve">C</x:t>
        </x:is>
      </x:c>
      <x:c r="E24" s="17" t="inlineStr">
        <x:is>
          <x:t xml:space="preserve">I</x:t>
        </x:is>
      </x:c>
      <x:c r="F24" s="17" t="inlineStr">
        <x:is>
          <x:t xml:space="preserve">A</x:t>
        </x:is>
      </x:c>
      <x:c r="G24" s="17" t="inlineStr">
        <x:is>
          <x:t xml:space="preserve">C</x:t>
        </x:is>
      </x:c>
      <x:c r="H24" s="17" t="inlineStr">
        <x:is>
          <x:t xml:space="preserve">C</x:t>
        </x:is>
      </x:c>
      <x:c r="I24" s="17" t="inlineStr">
        <x:is>
          <x:t xml:space="preserve">I</x:t>
        </x:is>
      </x:c>
      <x:c r="J24" s="17" t="inlineStr">
        <x:is>
          <x:t xml:space="preserve">I</x:t>
        </x:is>
      </x:c>
      <x:c r="K24" s="17" t="inlineStr">
        <x:is>
          <x:t xml:space="preserve">I</x:t>
        </x:is>
      </x:c>
      <x:c r="L24" s="17" t="inlineStr">
        <x:is>
          <x:t xml:space="preserve">C</x:t>
        </x:is>
      </x:c>
      <x:c r="M24" s="17" t="inlineStr">
        <x:is>
          <x:t xml:space="preserve">I</x:t>
        </x:is>
      </x:c>
      <x:c r="N24" s="17" t="inlineStr">
        <x:is>
          <x:t xml:space="preserve">R</x:t>
        </x:is>
      </x:c>
      <x:c r="O24" s="17" t="inlineStr">
        <x:is>
          <x:t xml:space="preserve">C</x:t>
        </x:is>
      </x:c>
      <x:c r="P24" s="17" t="inlineStr">
        <x:is>
          <x:t xml:space="preserve">I</x:t>
        </x:is>
      </x:c>
      <x:c r="Q24" s="17" t="inlineStr">
        <x:is>
          <x:t xml:space="preserve">I</x:t>
        </x:is>
      </x:c>
    </x:row>
    <x:row r="25">
      <x:c r="A25" s="6" t="inlineStr">
        <x:is>
          <x:t xml:space="preserve">W3</x:t>
        </x:is>
      </x:c>
      <x:c r="B25" s="6" t="inlineStr">
        <x:is>
          <x:t xml:space="preserve">فاز ۳: DWH، ۱۳ کانکتور و ۲۹ موجودیت</x:t>
        </x:is>
      </x:c>
      <x:c r="C25" s="19" t="inlineStr">
        <x:is>
          <x:t xml:space="preserve">I</x:t>
        </x:is>
      </x:c>
      <x:c r="D25" s="19" t="inlineStr">
        <x:is>
          <x:t xml:space="preserve">C</x:t>
        </x:is>
      </x:c>
      <x:c r="E25" s="19" t="inlineStr">
        <x:is>
          <x:t xml:space="preserve">C</x:t>
        </x:is>
      </x:c>
      <x:c r="F25" s="19" t="inlineStr">
        <x:is>
          <x:t xml:space="preserve">C</x:t>
        </x:is>
      </x:c>
      <x:c r="G25" s="19" t="inlineStr">
        <x:is>
          <x:t xml:space="preserve">I</x:t>
        </x:is>
      </x:c>
      <x:c r="H25" s="19" t="inlineStr">
        <x:is>
          <x:t xml:space="preserve">A</x:t>
        </x:is>
      </x:c>
      <x:c r="I25" s="19" t="inlineStr">
        <x:is>
          <x:t xml:space="preserve">I</x:t>
        </x:is>
      </x:c>
      <x:c r="J25" s="19" t="inlineStr">
        <x:is>
          <x:t xml:space="preserve">C</x:t>
        </x:is>
      </x:c>
      <x:c r="K25" s="19" t="inlineStr">
        <x:is>
          <x:t xml:space="preserve">I</x:t>
        </x:is>
      </x:c>
      <x:c r="L25" s="19" t="inlineStr">
        <x:is>
          <x:t xml:space="preserve">R</x:t>
        </x:is>
      </x:c>
      <x:c r="M25" s="19" t="inlineStr">
        <x:is>
          <x:t xml:space="preserve">C</x:t>
        </x:is>
      </x:c>
      <x:c r="N25" s="19" t="inlineStr">
        <x:is>
          <x:t xml:space="preserve">C</x:t>
        </x:is>
      </x:c>
      <x:c r="O25" s="19" t="inlineStr">
        <x:is>
          <x:t xml:space="preserve">C</x:t>
        </x:is>
      </x:c>
      <x:c r="P25" s="19" t="inlineStr">
        <x:is>
          <x:t xml:space="preserve">C</x:t>
        </x:is>
      </x:c>
      <x:c r="Q25" s="19" t="inlineStr">
        <x:is>
          <x:t xml:space="preserve">R</x:t>
        </x:is>
      </x:c>
    </x:row>
    <x:row r="26">
      <x:c r="A26" s="4" t="inlineStr">
        <x:is>
          <x:t xml:space="preserve">W4</x:t>
        </x:is>
      </x:c>
      <x:c r="B26" s="4" t="inlineStr">
        <x:is>
          <x:t xml:space="preserve">فاز ۴: لایه متریک و ۸۵ KPI</x:t>
        </x:is>
      </x:c>
      <x:c r="C26" s="17" t="inlineStr">
        <x:is>
          <x:t xml:space="preserve">I</x:t>
        </x:is>
      </x:c>
      <x:c r="D26" s="17" t="inlineStr">
        <x:is>
          <x:t xml:space="preserve">C</x:t>
        </x:is>
      </x:c>
      <x:c r="E26" s="17" t="inlineStr">
        <x:is>
          <x:t xml:space="preserve">C</x:t>
        </x:is>
      </x:c>
      <x:c r="F26" s="17" t="inlineStr">
        <x:is>
          <x:t xml:space="preserve">C</x:t>
        </x:is>
      </x:c>
      <x:c r="G26" s="17" t="inlineStr">
        <x:is>
          <x:t xml:space="preserve">I</x:t>
        </x:is>
      </x:c>
      <x:c r="H26" s="17" t="inlineStr">
        <x:is>
          <x:t xml:space="preserve">R</x:t>
        </x:is>
      </x:c>
      <x:c r="I26" s="17" t="inlineStr">
        <x:is>
          <x:t xml:space="preserve">C</x:t>
        </x:is>
      </x:c>
      <x:c r="J26" s="17" t="inlineStr">
        <x:is>
          <x:t xml:space="preserve">R</x:t>
        </x:is>
      </x:c>
      <x:c r="K26" s="17" t="inlineStr">
        <x:is>
          <x:t xml:space="preserve">I</x:t>
        </x:is>
      </x:c>
      <x:c r="L26" s="17" t="inlineStr">
        <x:is>
          <x:t xml:space="preserve">I</x:t>
        </x:is>
      </x:c>
      <x:c r="M26" s="17" t="inlineStr">
        <x:is>
          <x:t xml:space="preserve">I</x:t>
        </x:is>
      </x:c>
      <x:c r="N26" s="17" t="inlineStr">
        <x:is>
          <x:t xml:space="preserve">C</x:t>
        </x:is>
      </x:c>
      <x:c r="O26" s="17" t="inlineStr">
        <x:is>
          <x:t xml:space="preserve">I</x:t>
        </x:is>
      </x:c>
      <x:c r="P26" s="17" t="inlineStr">
        <x:is>
          <x:t xml:space="preserve">I</x:t>
        </x:is>
      </x:c>
      <x:c r="Q26" s="17" t="inlineStr">
        <x:is>
          <x:t xml:space="preserve">R</x:t>
        </x:is>
      </x:c>
    </x:row>
    <x:row r="27">
      <x:c r="A27" s="6" t="inlineStr">
        <x:is>
          <x:t xml:space="preserve">W5</x:t>
        </x:is>
      </x:c>
      <x:c r="B27" s="6" t="inlineStr">
        <x:is>
          <x:t xml:space="preserve">فاز ۵: گزارش، داشبورد، هشدار و اتوماسیون</x:t>
        </x:is>
      </x:c>
      <x:c r="C27" s="19" t="inlineStr">
        <x:is>
          <x:t xml:space="preserve">I</x:t>
        </x:is>
      </x:c>
      <x:c r="D27" s="19" t="inlineStr">
        <x:is>
          <x:t xml:space="preserve">A</x:t>
        </x:is>
      </x:c>
      <x:c r="E27" s="19" t="inlineStr">
        <x:is>
          <x:t xml:space="preserve">C</x:t>
        </x:is>
      </x:c>
      <x:c r="F27" s="19" t="inlineStr">
        <x:is>
          <x:t xml:space="preserve">R</x:t>
        </x:is>
      </x:c>
      <x:c r="G27" s="19" t="inlineStr">
        <x:is>
          <x:t xml:space="preserve">C</x:t>
        </x:is>
      </x:c>
      <x:c r="H27" s="19" t="inlineStr">
        <x:is>
          <x:t xml:space="preserve">C</x:t>
        </x:is>
      </x:c>
      <x:c r="I27" s="19" t="inlineStr">
        <x:is>
          <x:t xml:space="preserve">C</x:t>
        </x:is>
      </x:c>
      <x:c r="J27" s="19" t="inlineStr">
        <x:is>
          <x:t xml:space="preserve">R</x:t>
        </x:is>
      </x:c>
      <x:c r="K27" s="19" t="inlineStr">
        <x:is>
          <x:t xml:space="preserve">C</x:t>
        </x:is>
      </x:c>
      <x:c r="L27" s="19" t="inlineStr">
        <x:is>
          <x:t xml:space="preserve">R</x:t>
        </x:is>
      </x:c>
      <x:c r="M27" s="19" t="inlineStr">
        <x:is>
          <x:t xml:space="preserve">C</x:t>
        </x:is>
      </x:c>
      <x:c r="N27" s="19" t="inlineStr">
        <x:is>
          <x:t xml:space="preserve">R</x:t>
        </x:is>
      </x:c>
      <x:c r="O27" s="19" t="inlineStr">
        <x:is>
          <x:t xml:space="preserve">C</x:t>
        </x:is>
      </x:c>
      <x:c r="P27" s="19" t="inlineStr">
        <x:is>
          <x:t xml:space="preserve">C</x:t>
        </x:is>
      </x:c>
      <x:c r="Q27" s="19" t="inlineStr">
        <x:is>
          <x:t xml:space="preserve">C</x:t>
        </x:is>
      </x:c>
    </x:row>
    <x:row r="28">
      <x:c r="A28" s="4" t="inlineStr">
        <x:is>
          <x:t xml:space="preserve">W6</x:t>
        </x:is>
      </x:c>
      <x:c r="B28" s="4" t="inlineStr">
        <x:is>
          <x:t xml:space="preserve">فاز ۶: ۲۵ مدل AI و پایلوت‌ها</x:t>
        </x:is>
      </x:c>
      <x:c r="C28" s="17" t="inlineStr">
        <x:is>
          <x:t xml:space="preserve">I</x:t>
        </x:is>
      </x:c>
      <x:c r="D28" s="17" t="inlineStr">
        <x:is>
          <x:t xml:space="preserve">C</x:t>
        </x:is>
      </x:c>
      <x:c r="E28" s="17" t="inlineStr">
        <x:is>
          <x:t xml:space="preserve">I</x:t>
        </x:is>
      </x:c>
      <x:c r="F28" s="17" t="inlineStr">
        <x:is>
          <x:t xml:space="preserve">C</x:t>
        </x:is>
      </x:c>
      <x:c r="G28" s="17" t="inlineStr">
        <x:is>
          <x:t xml:space="preserve">I</x:t>
        </x:is>
      </x:c>
      <x:c r="H28" s="17" t="inlineStr">
        <x:is>
          <x:t xml:space="preserve">R</x:t>
        </x:is>
      </x:c>
      <x:c r="I28" s="17" t="inlineStr">
        <x:is>
          <x:t xml:space="preserve">A</x:t>
        </x:is>
      </x:c>
      <x:c r="J28" s="17" t="inlineStr">
        <x:is>
          <x:t xml:space="preserve">C</x:t>
        </x:is>
      </x:c>
      <x:c r="K28" s="17" t="inlineStr">
        <x:is>
          <x:t xml:space="preserve">I</x:t>
        </x:is>
      </x:c>
      <x:c r="L28" s="17" t="inlineStr">
        <x:is>
          <x:t xml:space="preserve">I</x:t>
        </x:is>
      </x:c>
      <x:c r="M28" s="17" t="inlineStr">
        <x:is>
          <x:t xml:space="preserve">I</x:t>
        </x:is>
      </x:c>
      <x:c r="N28" s="17" t="inlineStr">
        <x:is>
          <x:t xml:space="preserve">I</x:t>
        </x:is>
      </x:c>
      <x:c r="O28" s="17" t="inlineStr">
        <x:is>
          <x:t xml:space="preserve">I</x:t>
        </x:is>
      </x:c>
      <x:c r="P28" s="17" t="inlineStr">
        <x:is>
          <x:t xml:space="preserve">I</x:t>
        </x:is>
      </x:c>
      <x:c r="Q28" s="17" t="inlineStr">
        <x:is>
          <x:t xml:space="preserve">I</x:t>
        </x:is>
      </x:c>
    </x:row>
    <x:row r="29">
      <x:c r="A29" s="6" t="inlineStr">
        <x:is>
          <x:t xml:space="preserve">X-1</x:t>
        </x:is>
      </x:c>
      <x:c r="B29" s="6" t="inlineStr">
        <x:is>
          <x:t xml:space="preserve">حاکمیت داده و قراردادهای SLA (سراسری)</x:t>
        </x:is>
      </x:c>
      <x:c r="C29" s="19" t="inlineStr">
        <x:is>
          <x:t xml:space="preserve">C</x:t>
        </x:is>
      </x:c>
      <x:c r="D29" s="19" t="inlineStr">
        <x:is>
          <x:t xml:space="preserve">A</x:t>
        </x:is>
      </x:c>
      <x:c r="E29" s="19" t="inlineStr">
        <x:is>
          <x:t xml:space="preserve">C</x:t>
        </x:is>
      </x:c>
      <x:c r="F29" s="19" t="inlineStr">
        <x:is>
          <x:t xml:space="preserve">C</x:t>
        </x:is>
      </x:c>
      <x:c r="G29" s="19" t="inlineStr">
        <x:is>
          <x:t xml:space="preserve">I</x:t>
        </x:is>
      </x:c>
      <x:c r="H29" s="19" t="inlineStr">
        <x:is>
          <x:t xml:space="preserve">C</x:t>
        </x:is>
      </x:c>
      <x:c r="I29" s="19" t="inlineStr">
        <x:is>
          <x:t xml:space="preserve">I</x:t>
        </x:is>
      </x:c>
      <x:c r="J29" s="19" t="inlineStr">
        <x:is>
          <x:t xml:space="preserve">C</x:t>
        </x:is>
      </x:c>
      <x:c r="K29" s="19" t="inlineStr">
        <x:is>
          <x:t xml:space="preserve">I</x:t>
        </x:is>
      </x:c>
      <x:c r="L29" s="19" t="inlineStr">
        <x:is>
          <x:t xml:space="preserve">C</x:t>
        </x:is>
      </x:c>
      <x:c r="M29" s="19" t="inlineStr">
        <x:is>
          <x:t xml:space="preserve">I</x:t>
        </x:is>
      </x:c>
      <x:c r="N29" s="19" t="inlineStr">
        <x:is>
          <x:t xml:space="preserve">C</x:t>
        </x:is>
      </x:c>
      <x:c r="O29" s="19" t="inlineStr">
        <x:is>
          <x:t xml:space="preserve">C</x:t>
        </x:is>
      </x:c>
      <x:c r="P29" s="19" t="inlineStr">
        <x:is>
          <x:t xml:space="preserve">C</x:t>
        </x:is>
      </x:c>
      <x:c r="Q29" s="19" t="inlineStr">
        <x:is>
          <x:t xml:space="preserve">C</x:t>
        </x:is>
      </x:c>
    </x:row>
    <x:row r="30">
      <x:c r="A30" s="4" t="inlineStr">
        <x:is>
          <x:t xml:space="preserve">X-2</x:t>
        </x:is>
      </x:c>
      <x:c r="B30" s="4" t="inlineStr">
        <x:is>
          <x:t xml:space="preserve">امنیت و حریم خصوصی (SHA-256/PII)</x:t>
        </x:is>
      </x:c>
      <x:c r="C30" s="17" t="inlineStr">
        <x:is>
          <x:t xml:space="preserve">C</x:t>
        </x:is>
      </x:c>
      <x:c r="D30" s="17" t="inlineStr">
        <x:is>
          <x:t xml:space="preserve">I</x:t>
        </x:is>
      </x:c>
      <x:c r="E30" s="17" t="inlineStr">
        <x:is>
          <x:t xml:space="preserve">I</x:t>
        </x:is>
      </x:c>
      <x:c r="F30" s="17" t="inlineStr">
        <x:is>
          <x:t xml:space="preserve">I</x:t>
        </x:is>
      </x:c>
      <x:c r="G30" s="17" t="inlineStr">
        <x:is>
          <x:t xml:space="preserve">I</x:t>
        </x:is>
      </x:c>
      <x:c r="H30" s="17" t="inlineStr">
        <x:is>
          <x:t xml:space="preserve">C</x:t>
        </x:is>
      </x:c>
      <x:c r="I30" s="17" t="inlineStr">
        <x:is>
          <x:t xml:space="preserve">I</x:t>
        </x:is>
      </x:c>
      <x:c r="J30" s="17" t="inlineStr">
        <x:is>
          <x:t xml:space="preserve">I</x:t>
        </x:is>
      </x:c>
      <x:c r="K30" s="17" t="inlineStr">
        <x:is>
          <x:t xml:space="preserve">I</x:t>
        </x:is>
      </x:c>
      <x:c r="L30" s="17" t="inlineStr">
        <x:is>
          <x:t xml:space="preserve">I</x:t>
        </x:is>
      </x:c>
      <x:c r="M30" s="17" t="inlineStr">
        <x:is>
          <x:t xml:space="preserve">I</x:t>
        </x:is>
      </x:c>
      <x:c r="N30" s="17" t="inlineStr">
        <x:is>
          <x:t xml:space="preserve">R</x:t>
        </x:is>
      </x:c>
      <x:c r="O30" s="17" t="inlineStr">
        <x:is>
          <x:t xml:space="preserve">C</x:t>
        </x:is>
      </x:c>
      <x:c r="P30" s="17" t="inlineStr">
        <x:is>
          <x:t xml:space="preserve">I</x:t>
        </x:is>
      </x:c>
      <x:c r="Q30" s="17" t="inlineStr">
        <x:is>
          <x:t xml:space="preserve">I</x:t>
        </x:is>
      </x:c>
    </x:row>
    <x:row r="31">
      <x:c r="A31" s="6" t="inlineStr">
        <x:is>
          <x:t xml:space="preserve">X-3</x:t>
        </x:is>
      </x:c>
      <x:c r="B31" s="6" t="inlineStr">
        <x:is>
          <x:t xml:space="preserve">ریتم گزارش‌دهی CAD-01..04</x:t>
        </x:is>
      </x:c>
      <x:c r="C31" s="19" t="inlineStr">
        <x:is>
          <x:t xml:space="preserve">A</x:t>
        </x:is>
      </x:c>
      <x:c r="D31" s="19" t="inlineStr">
        <x:is>
          <x:t xml:space="preserve">A</x:t>
        </x:is>
      </x:c>
      <x:c r="E31" s="19" t="inlineStr">
        <x:is>
          <x:t xml:space="preserve">C</x:t>
        </x:is>
      </x:c>
      <x:c r="F31" s="19" t="inlineStr">
        <x:is>
          <x:t xml:space="preserve">R</x:t>
        </x:is>
      </x:c>
      <x:c r="G31" s="19" t="inlineStr">
        <x:is>
          <x:t xml:space="preserve">R</x:t>
        </x:is>
      </x:c>
      <x:c r="H31" s="19" t="inlineStr">
        <x:is>
          <x:t xml:space="preserve">I</x:t>
        </x:is>
      </x:c>
      <x:c r="I31" s="19" t="inlineStr">
        <x:is>
          <x:t xml:space="preserve">I</x:t>
        </x:is>
      </x:c>
      <x:c r="J31" s="19" t="inlineStr">
        <x:is>
          <x:t xml:space="preserve">R</x:t>
        </x:is>
      </x:c>
      <x:c r="K31" s="19" t="inlineStr">
        <x:is>
          <x:t xml:space="preserve">I</x:t>
        </x:is>
      </x:c>
      <x:c r="L31" s="19" t="inlineStr">
        <x:is>
          <x:t xml:space="preserve">C</x:t>
        </x:is>
      </x:c>
      <x:c r="M31" s="19" t="inlineStr">
        <x:is>
          <x:t xml:space="preserve">C</x:t>
        </x:is>
      </x:c>
      <x:c r="N31" s="19" t="inlineStr">
        <x:is>
          <x:t xml:space="preserve">I</x:t>
        </x:is>
      </x:c>
      <x:c r="O31" s="19" t="inlineStr">
        <x:is>
          <x:t xml:space="preserve">I</x:t>
        </x:is>
      </x:c>
      <x:c r="P31" s="19" t="inlineStr">
        <x:is>
          <x:t xml:space="preserve">I</x:t>
        </x:is>
      </x:c>
      <x:c r="Q31" s="19" t="inlineStr">
        <x:is>
          <x:t xml:space="preserve">I</x:t>
        </x:is>
      </x:c>
    </x:row>
  </x:sheetData>
  <x:conditionalFormatting sqref="C2:Q31">
    <x:cfRule type="cellIs" dxfId="0" priority="1" operator="equal">
      <x:formula>"A"</x:formula>
    </x:cfRule>
    <x:cfRule type="cellIs" dxfId="8" priority="2" operator="equal">
      <x:formula>"R"</x:formula>
    </x:cfRule>
    <x:cfRule type="cellIs" dxfId="9" priority="3" operator="equal">
      <x:formula>"C"</x:formula>
    </x:cfRule>
    <x:cfRule type="cellIs" dxfId="10" priority="4" operator="equal">
      <x:formula>"I"</x:formula>
    </x:cfRule>
  </x:conditionalFormatting>
  <x:pageMargins left="0.7" right="0.7" top="0.75" bottom="0.75" header="0.3" footer="0.3"/>
  <x:tableParts count="1">
    <x:tablePart xmlns:r="http://schemas.openxmlformats.org/officeDocument/2006/relationships" r:id="R9f555e54f9d54bcf"/>
  </x:tableParts>
</x:worksheet>
</file>

<file path=xl/worksheets/sheet18.xml><?xml version="1.0" encoding="utf-8"?>
<x:worksheet xmlns:x="http://schemas.openxmlformats.org/spreadsheetml/2006/main">
  <x:sheetPr>
    <x:tabColor rgb="FF1F4E78"/>
  </x:sheetPr>
  <x:sheetViews>
    <x:sheetView workbookViewId="0">
      <x:pane ySplit="1" topLeftCell="A2" activePane="bottomLeft" state="frozen"/>
    </x:sheetView>
  </x:sheetViews>
  <x:sheetFormatPr baseColWidth="8" defaultRowHeight="15"/>
  <x:cols>
    <x:col min="1" max="1" width="9" customWidth="1"/>
    <x:col min="2" max="2" width="36" customWidth="1"/>
    <x:col min="3" max="3" width="50" customWidth="1"/>
    <x:col min="4" max="4" width="10" customWidth="1"/>
    <x:col min="5" max="5" width="120" customWidth="1"/>
    <x:col min="6" max="6" width="30" customWidth="1"/>
    <x:col min="7" max="7" width="10" customWidth="1"/>
    <x:col min="8" max="8" width="7" customWidth="1"/>
    <x:col min="9" max="9" width="20" customWidth="1"/>
    <x:col min="10" max="10" width="22"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s>
  <x:sheetData>
    <x:row r="1" ht="30" customHeight="1">
      <x:c r="A1" s="5" t="inlineStr">
        <x:is>
          <x:t xml:space="preserve">Test_ID</x:t>
        </x:is>
      </x:c>
      <x:c r="B1" s="5" t="inlineStr">
        <x:is>
          <x:t xml:space="preserve">Name_EN</x:t>
        </x:is>
      </x:c>
      <x:c r="C1" s="5" t="inlineStr">
        <x:is>
          <x:t xml:space="preserve">Name_FA</x:t>
        </x:is>
      </x:c>
      <x:c r="D1" s="5" t="inlineStr">
        <x:is>
          <x:t xml:space="preserve">Scope</x:t>
        </x:is>
      </x:c>
      <x:c r="E1" s="5" t="inlineStr">
        <x:is>
          <x:t xml:space="preserve">Steps_FA</x:t>
        </x:is>
      </x:c>
      <x:c r="F1" s="5" t="inlineStr">
        <x:is>
          <x:t xml:space="preserve">Expected_FA</x:t>
        </x:is>
      </x:c>
      <x:c r="G1" s="5" t="inlineStr">
        <x:is>
          <x:t xml:space="preserve">Severity</x:t>
        </x:is>
      </x:c>
      <x:c r="H1" s="5" t="inlineStr">
        <x:is>
          <x:t xml:space="preserve">Wave</x:t>
        </x:is>
      </x:c>
      <x:c r="I1" s="5" t="inlineStr">
        <x:is>
          <x:t xml:space="preserve">Owner_Role</x:t>
        </x:is>
      </x:c>
      <x:c r="J1" s="5" t="inlineStr">
        <x:is>
          <x:t xml:space="preserve">Linked_Items</x:t>
        </x:is>
      </x:c>
      <x:c r="K1" s="27" t="str">
        <x:v>Test_ID_Link</x:v>
      </x:c>
      <x:c r="L1" s="27" t="str">
        <x:v>Actual_Result</x:v>
      </x:c>
      <x:c r="M1" s="27" t="str">
        <x:v>Environment</x:v>
      </x:c>
      <x:c r="N1" s="27" t="str">
        <x:v>Priority</x:v>
      </x:c>
      <x:c r="O1" s="27" t="str">
        <x:v>Status</x:v>
      </x:c>
      <x:c r="P1" s="27" t="str">
        <x:v>Defect_ID</x:v>
      </x:c>
      <x:c r="Q1" s="27" t="str">
        <x:v>Retest_Required</x:v>
      </x:c>
      <x:c r="R1" s="27" t="str">
        <x:v>Evidence_Link</x:v>
      </x:c>
    </x:row>
    <x:row r="2">
      <x:c r="A2" s="17" t="inlineStr">
        <x:is>
          <x:t xml:space="preserve">TST-01</x:t>
        </x:is>
      </x:c>
      <x:c r="B2" s="4" t="inlineStr">
        <x:is>
          <x:t xml:space="preserve">Event Firing — Page &amp; Navigation (EVT-01,02,03,22)</x:t>
        </x:is>
      </x:c>
      <x:c r="C2" s="4" t="inlineStr">
        <x:is>
          <x:t xml:space="preserve">شلیک صحیح رویدادهای صفحه و ناوبری</x:t>
        </x:is>
      </x:c>
      <x:c r="D2" s="4" t="inlineStr">
        <x:is>
          <x:t xml:space="preserve">EVT-01..03, EVT-22</x:t>
        </x:is>
      </x:c>
      <x:c r="E2" s="4" t="inlineStr">
        <x:is>
          <x:t xml:space="preserve">۱) باز کردن صفحه‌های اصلی با Tag Assistant و Test Events ۲) بررسی پارامترهای page_location و search term</x:t>
        </x:is>
      </x:c>
      <x:c r="F2" s="4" t="inlineStr">
        <x:is>
          <x:t xml:space="preserve">۱۰۰٪ رویدادها با پارامتر کامل در GA4 و BigQuery ثبت می‌شوند؛ بدون تکرار در ریفرش</x:t>
        </x:is>
      </x:c>
      <x:c r="G2" s="17" t="inlineStr">
        <x:is>
          <x:t xml:space="preserve">P1</x:t>
        </x:is>
      </x:c>
      <x:c r="H2" s="17" t="inlineStr">
        <x:is>
          <x:t xml:space="preserve">W2</x:t>
        </x:is>
      </x:c>
      <x:c r="I2" s="4" t="inlineStr">
        <x:is>
          <x:t xml:space="preserve">DevOps/Web Engineer</x:t>
        </x:is>
      </x:c>
      <x:c r="J2" s="4" t="inlineStr">
        <x:is>
          <x:t xml:space="preserve">EVT-01..03,22</x:t>
        </x:is>
      </x:c>
      <x:c r="K2" s="30" t="str">
        <x:v>TST-01</x:v>
      </x:c>
      <x:c r="L2" s="30" t="str">
        <x:v>Not Run</x:v>
      </x:c>
      <x:c r="M2" s="30" t="str">
        <x:v>Staging</x:v>
      </x:c>
      <x:c r="N2" s="30" t="str">
        <x:v>High</x:v>
      </x:c>
      <x:c r="O2" s="30" t="str">
        <x:v>Open</x:v>
      </x:c>
      <x:c r="P2" s="30" t="str"/>
      <x:c r="Q2" s="34" t="b">
        <x:v>1</x:v>
      </x:c>
      <x:c r="R2" s="30" t="str"/>
    </x:row>
    <x:row r="3">
      <x:c r="A3" s="19" t="inlineStr">
        <x:is>
          <x:t xml:space="preserve">TST-02</x:t>
        </x:is>
      </x:c>
      <x:c r="B3" s="6" t="inlineStr">
        <x:is>
          <x:t xml:space="preserve">Event Firing — Product &amp; Cart (EVT-04..09)</x:t>
        </x:is>
      </x:c>
      <x:c r="C3" s="6" t="inlineStr">
        <x:is>
          <x:t xml:space="preserve">شلیک صحیح رویدادهای محصول و سبد</x:t>
        </x:is>
      </x:c>
      <x:c r="D3" s="6" t="inlineStr">
        <x:is>
          <x:t xml:space="preserve">EVT-04..09</x:t>
        </x:is>
      </x:c>
      <x:c r="E3" s="6" t="inlineStr">
        <x:is>
          <x:t xml:space="preserve">۱) مسیر PDP → افزودن/حذف/مشاهده سبد ۲) تطبیق item_id و ارزش سبد با بک‌اند</x:t>
        </x:is>
      </x:c>
      <x:c r="F3" s="6" t="inlineStr">
        <x:is>
          <x:t xml:space="preserve">مقدار value سبد در ایونت = جمع اقلام × قیمت خالص بک‌اند؛ item_list_id ثابت در مسیر</x:t>
        </x:is>
      </x:c>
      <x:c r="G3" s="19" t="inlineStr">
        <x:is>
          <x:t xml:space="preserve">P1</x:t>
        </x:is>
      </x:c>
      <x:c r="H3" s="19" t="inlineStr">
        <x:is>
          <x:t xml:space="preserve">W2</x:t>
        </x:is>
      </x:c>
      <x:c r="I3" s="6" t="inlineStr">
        <x:is>
          <x:t xml:space="preserve">DevOps/Web Engineer</x:t>
        </x:is>
      </x:c>
      <x:c r="J3" s="6" t="inlineStr">
        <x:is>
          <x:t xml:space="preserve">EVT-04..09</x:t>
        </x:is>
      </x:c>
      <x:c r="K3" s="30" t="str">
        <x:v>TST-02</x:v>
      </x:c>
      <x:c r="L3" s="30" t="str">
        <x:v>Not Run</x:v>
      </x:c>
      <x:c r="M3" s="30" t="str">
        <x:v>Staging</x:v>
      </x:c>
      <x:c r="N3" s="30" t="str">
        <x:v>High</x:v>
      </x:c>
      <x:c r="O3" s="30" t="str">
        <x:v>Open</x:v>
      </x:c>
      <x:c r="P3" s="30" t="str"/>
      <x:c r="Q3" s="34" t="b">
        <x:v>1</x:v>
      </x:c>
      <x:c r="R3" s="30" t="str"/>
    </x:row>
    <x:row r="4">
      <x:c r="A4" s="17" t="inlineStr">
        <x:is>
          <x:t xml:space="preserve">TST-03</x:t>
        </x:is>
      </x:c>
      <x:c r="B4" s="4" t="inlineStr">
        <x:is>
          <x:t xml:space="preserve">Event Firing — Checkout &amp; Purchase (EVT-10..13)</x:t>
        </x:is>
      </x:c>
      <x:c r="C4" s="4" t="inlineStr">
        <x:is>
          <x:t xml:space="preserve">شلیک صحیح قیف تسویه و خرید قطعی</x:t>
        </x:is>
      </x:c>
      <x:c r="D4" s="4" t="inlineStr">
        <x:is>
          <x:t xml:space="preserve">EVT-10..13</x:t>
        </x:is>
      </x:c>
      <x:c r="E4" s="4" t="inlineStr">
        <x:is>
          <x:t xml:space="preserve">۱) خرید آزمایشی کامل با کارت تست ۲) تطبیق transaction_id و revenue با فاکتور مالی</x:t>
        </x:is>
      </x:c>
      <x:c r="F4" s="4" t="inlineStr">
        <x:is>
          <x:t xml:space="preserve">purchase با currency=IRR و value همسان فاکتور؛ transaction_id یکتا؛ ارسال همزمان Web/CAPI با Dedup</x:t>
        </x:is>
      </x:c>
      <x:c r="G4" s="17" t="inlineStr">
        <x:is>
          <x:t xml:space="preserve">P1</x:t>
        </x:is>
      </x:c>
      <x:c r="H4" s="17" t="inlineStr">
        <x:is>
          <x:t xml:space="preserve">W2</x:t>
        </x:is>
      </x:c>
      <x:c r="I4" s="4" t="inlineStr">
        <x:is>
          <x:t xml:space="preserve">Senior Data Engineer</x:t>
        </x:is>
      </x:c>
      <x:c r="J4" s="4" t="inlineStr">
        <x:is>
          <x:t xml:space="preserve">EVT-10..13</x:t>
        </x:is>
      </x:c>
      <x:c r="K4" s="30" t="str">
        <x:v>TST-03</x:v>
      </x:c>
      <x:c r="L4" s="30" t="str">
        <x:v>Not Run</x:v>
      </x:c>
      <x:c r="M4" s="30" t="str">
        <x:v>Staging</x:v>
      </x:c>
      <x:c r="N4" s="30" t="str">
        <x:v>High</x:v>
      </x:c>
      <x:c r="O4" s="30" t="str">
        <x:v>Open</x:v>
      </x:c>
      <x:c r="P4" s="30" t="str"/>
      <x:c r="Q4" s="34" t="b">
        <x:v>1</x:v>
      </x:c>
      <x:c r="R4" s="30" t="str"/>
    </x:row>
    <x:row r="5">
      <x:c r="A5" s="19" t="inlineStr">
        <x:is>
          <x:t xml:space="preserve">TST-04</x:t>
        </x:is>
      </x:c>
      <x:c r="B5" s="6" t="inlineStr">
        <x:is>
          <x:t xml:space="preserve">Event Firing — B2B Leads (EVT-16..19)</x:t>
        </x:is>
      </x:c>
      <x:c r="C5" s="6" t="inlineStr">
        <x:is>
          <x:t xml:space="preserve">شلیک رویدادهای لید و استعلام کلینیکی</x:t>
        </x:is>
      </x:c>
      <x:c r="D5" s="6" t="inlineStr">
        <x:is>
          <x:t xml:space="preserve">EVT-16..19</x:t>
        </x:is>
      </x:c>
      <x:c r="E5" s="6" t="inlineStr">
        <x:is>
          <x:t xml:space="preserve">۱) ثبت فرم لید، استعلام پیش‌فاکتور، درخواست دمو و رزرو تماس ۲) بررسی مقادیر lead_id و budget</x:t>
        </x:is>
      </x:c>
      <x:c r="F5" s="6" t="inlineStr">
        <x:is>
          <x:t xml:space="preserve">لیدها در CRM و GA4/CAPI ثبت می‌شوند؛ medical_council_id در فرم الزامی</x:t>
        </x:is>
      </x:c>
      <x:c r="G5" s="19" t="inlineStr">
        <x:is>
          <x:t xml:space="preserve">P1</x:t>
        </x:is>
      </x:c>
      <x:c r="H5" s="19" t="inlineStr">
        <x:is>
          <x:t xml:space="preserve">W2</x:t>
        </x:is>
      </x:c>
      <x:c r="I5" s="6" t="inlineStr">
        <x:is>
          <x:t xml:space="preserve">CRM Manager</x:t>
        </x:is>
      </x:c>
      <x:c r="J5" s="6" t="inlineStr">
        <x:is>
          <x:t xml:space="preserve">EVT-16..19</x:t>
        </x:is>
      </x:c>
      <x:c r="K5" s="30" t="str">
        <x:v>TST-04</x:v>
      </x:c>
      <x:c r="L5" s="30" t="str">
        <x:v>Not Run</x:v>
      </x:c>
      <x:c r="M5" s="30" t="str">
        <x:v>Staging</x:v>
      </x:c>
      <x:c r="N5" s="30" t="str">
        <x:v>High</x:v>
      </x:c>
      <x:c r="O5" s="30" t="str">
        <x:v>Open</x:v>
      </x:c>
      <x:c r="P5" s="30" t="str"/>
      <x:c r="Q5" s="34" t="b">
        <x:v>1</x:v>
      </x:c>
      <x:c r="R5" s="30" t="str"/>
    </x:row>
    <x:row r="6">
      <x:c r="A6" s="17" t="inlineStr">
        <x:is>
          <x:t xml:space="preserve">TST-05</x:t>
        </x:is>
      </x:c>
      <x:c r="B6" s="4" t="inlineStr">
        <x:is>
          <x:t xml:space="preserve">Event Firing — Refund &amp; Repeat (EVT-14,15,24)</x:t>
        </x:is>
      </x:c>
      <x:c r="C6" s="4" t="inlineStr">
        <x:is>
          <x:t xml:space="preserve">شلیک مرجوعی، خرید مجدد و ثبت‌نام رسمی</x:t>
        </x:is>
      </x:c>
      <x:c r="D6" s="4" t="inlineStr">
        <x:is>
          <x:t xml:space="preserve">EVT-14,15,24</x:t>
        </x:is>
      </x:c>
      <x:c r="E6" s="4" t="inlineStr">
        <x:is>
          <x:t xml:space="preserve">۱) مرجوعی آزمایشی + خرید دوم مشتری تست + ثبت‌نام کلینیک جدید ۲) تطبیق refund_id با اسناد مالی</x:t>
        </x:is>
      </x:c>
      <x:c r="F6" s="4" t="inlineStr">
        <x:is>
          <x:t xml:space="preserve">refund با reason استاندارد؛ repeat_purchase فقط با فاصله ≥۱ سفارش قبلی؛ sign_up با کد نظام معتبر</x:t>
        </x:is>
      </x:c>
      <x:c r="G6" s="17" t="inlineStr">
        <x:is>
          <x:t xml:space="preserve">P1</x:t>
        </x:is>
      </x:c>
      <x:c r="H6" s="17" t="inlineStr">
        <x:is>
          <x:t xml:space="preserve">W2</x:t>
        </x:is>
      </x:c>
      <x:c r="I6" s="4" t="inlineStr">
        <x:is>
          <x:t xml:space="preserve">Senior Data Engineer</x:t>
        </x:is>
      </x:c>
      <x:c r="J6" s="4" t="inlineStr">
        <x:is>
          <x:t xml:space="preserve">EVT-14,15,24</x:t>
        </x:is>
      </x:c>
      <x:c r="K6" s="30" t="str">
        <x:v>TST-05</x:v>
      </x:c>
      <x:c r="L6" s="30" t="str">
        <x:v>Not Run</x:v>
      </x:c>
      <x:c r="M6" s="30" t="str">
        <x:v>Staging</x:v>
      </x:c>
      <x:c r="N6" s="30" t="str">
        <x:v>High</x:v>
      </x:c>
      <x:c r="O6" s="30" t="str">
        <x:v>Open</x:v>
      </x:c>
      <x:c r="P6" s="30" t="str"/>
      <x:c r="Q6" s="34" t="b">
        <x:v>1</x:v>
      </x:c>
      <x:c r="R6" s="30" t="str"/>
    </x:row>
    <x:row r="7">
      <x:c r="A7" s="19" t="inlineStr">
        <x:is>
          <x:t xml:space="preserve">TST-06</x:t>
        </x:is>
      </x:c>
      <x:c r="B7" s="6" t="inlineStr">
        <x:is>
          <x:t xml:space="preserve">Dedup &amp; Event Hygiene</x:t>
        </x:is>
      </x:c>
      <x:c r="C7" s="6" t="inlineStr">
        <x:is>
          <x:t xml:space="preserve">حذف تکراری و سلامت رویدادها</x:t>
        </x:is>
      </x:c>
      <x:c r="D7" s="6" t="inlineStr">
        <x:is>
          <x:t xml:space="preserve">EVT-13,16</x:t>
        </x:is>
      </x:c>
      <x:c r="E7" s="6" t="inlineStr">
        <x:is>
          <x:t xml:space="preserve">۱) خرید با ۲ تب + ریفرش ۲) بررسی COUNT(event) vs COUNT(DISTINCT transaction_id) در BigQuery</x:t>
        </x:is>
      </x:c>
      <x:c r="F7" s="6" t="inlineStr">
        <x:is>
          <x:t xml:space="preserve">دوبار ثبت purchase = ۰ (KPI-77 = 0.0٪)؛ session_storage flag فعال</x:t>
        </x:is>
      </x:c>
      <x:c r="G7" s="19" t="inlineStr">
        <x:is>
          <x:t xml:space="preserve">P1</x:t>
        </x:is>
      </x:c>
      <x:c r="H7" s="19" t="inlineStr">
        <x:is>
          <x:t xml:space="preserve">W2</x:t>
        </x:is>
      </x:c>
      <x:c r="I7" s="6" t="inlineStr">
        <x:is>
          <x:t xml:space="preserve">Senior Data Engineer</x:t>
        </x:is>
      </x:c>
      <x:c r="J7" s="6" t="inlineStr">
        <x:is>
          <x:t xml:space="preserve">KPI-75,76,77</x:t>
        </x:is>
      </x:c>
      <x:c r="K7" s="30" t="str">
        <x:v>TST-06</x:v>
      </x:c>
      <x:c r="L7" s="30" t="str">
        <x:v>Not Run</x:v>
      </x:c>
      <x:c r="M7" s="30" t="str">
        <x:v>Staging</x:v>
      </x:c>
      <x:c r="N7" s="30" t="str">
        <x:v>High</x:v>
      </x:c>
      <x:c r="O7" s="30" t="str">
        <x:v>Open</x:v>
      </x:c>
      <x:c r="P7" s="30" t="str"/>
      <x:c r="Q7" s="34" t="b">
        <x:v>1</x:v>
      </x:c>
      <x:c r="R7" s="30" t="str"/>
    </x:row>
    <x:row r="8">
      <x:c r="A8" s="17" t="inlineStr">
        <x:is>
          <x:t xml:space="preserve">TST-07</x:t>
        </x:is>
      </x:c>
      <x:c r="B8" s="4" t="inlineStr">
        <x:is>
          <x:t xml:space="preserve">Revenue Reconciliation (Web/CAPI ↔ Finance)</x:t>
        </x:is>
      </x:c>
      <x:c r="C8" s="4" t="inlineStr">
        <x:is>
          <x:t xml:space="preserve">مغایرت‌زدایی درآمد</x:t>
        </x:is>
      </x:c>
      <x:c r="D8" s="4" t="inlineStr">
        <x:is>
          <x:t xml:space="preserve">EVT-13 vs مالی</x:t>
        </x:is>
      </x:c>
      <x:c r="E8" s="4" t="inlineStr">
        <x:is>
          <x:t xml:space="preserve">۱) تطبیق مجموع revenue ایونت‌ها با فاکتورهای قطعی ۷ روزه ۲) بررسی مغایرت به ریال</x:t>
        </x:is>
      </x:c>
      <x:c r="F8" s="4" t="inlineStr">
        <x:is>
          <x:t xml:space="preserve">مغایرت صفر ریالی (الزام ممیزی)؛ هر مغایرت &gt;۰ با ریشه‌یابی ثبت می‌شود</x:t>
        </x:is>
      </x:c>
      <x:c r="G8" s="17" t="inlineStr">
        <x:is>
          <x:t xml:space="preserve">P1</x:t>
        </x:is>
      </x:c>
      <x:c r="H8" s="17" t="inlineStr">
        <x:is>
          <x:t xml:space="preserve">W4</x:t>
        </x:is>
      </x:c>
      <x:c r="I8" s="4" t="inlineStr">
        <x:is>
          <x:t xml:space="preserve">Senior Data Engineer</x:t>
        </x:is>
      </x:c>
      <x:c r="J8" s="4" t="inlineStr">
        <x:is>
          <x:t xml:space="preserve">KPI-66</x:t>
        </x:is>
      </x:c>
      <x:c r="K8" s="30" t="str">
        <x:v>TST-07</x:v>
      </x:c>
      <x:c r="L8" s="30" t="str">
        <x:v>Not Run</x:v>
      </x:c>
      <x:c r="M8" s="30" t="str">
        <x:v>Staging</x:v>
      </x:c>
      <x:c r="N8" s="30" t="str">
        <x:v>High</x:v>
      </x:c>
      <x:c r="O8" s="30" t="str">
        <x:v>Open</x:v>
      </x:c>
      <x:c r="P8" s="30" t="str"/>
      <x:c r="Q8" s="34" t="b">
        <x:v>1</x:v>
      </x:c>
      <x:c r="R8" s="30" t="str"/>
    </x:row>
    <x:row r="9">
      <x:c r="A9" s="19" t="inlineStr">
        <x:is>
          <x:t xml:space="preserve">TST-08</x:t>
        </x:is>
      </x:c>
      <x:c r="B9" s="6" t="inlineStr">
        <x:is>
          <x:t xml:space="preserve">Offline EXIDA QR &amp; Clinic Registration</x:t>
        </x:is>
      </x:c>
      <x:c r="C9" s="6" t="inlineStr">
        <x:is>
          <x:t xml:space="preserve">آزمایش QR کنگره و ثبت کلینیک آفلاین</x:t>
        </x:is>
      </x:c>
      <x:c r="D9" s="6" t="inlineStr">
        <x:is>
          <x:t xml:space="preserve">TK-083</x:t>
        </x:is>
      </x:c>
      <x:c r="E9" s="6" t="inlineStr">
        <x:is>
          <x:t xml:space="preserve">۱) اسکن QR غرفه با گوشی تست ۲) ثبت فرم تبلت با registration_source=EXIDA_2026 ۳) صدور پیش‌فاکتور</x:t>
        </x:is>
      </x:c>
      <x:c r="F9" s="6" t="inlineStr">
        <x:is>
          <x:t xml:space="preserve">master_customer_id در لحظه پیش‌فاکتور ایجاد و تاچ‌پوینت آفلاین در DWH ثبت می‌شود</x:t>
        </x:is>
      </x:c>
      <x:c r="G9" s="19" t="inlineStr">
        <x:is>
          <x:t xml:space="preserve">P2</x:t>
        </x:is>
      </x:c>
      <x:c r="H9" s="19" t="inlineStr">
        <x:is>
          <x:t xml:space="preserve">W3</x:t>
        </x:is>
      </x:c>
      <x:c r="I9" s="6" t="inlineStr">
        <x:is>
          <x:t xml:space="preserve">B2B Sales Director</x:t>
        </x:is>
      </x:c>
      <x:c r="J9" s="6" t="inlineStr">
        <x:is>
          <x:t xml:space="preserve">TK-083</x:t>
        </x:is>
      </x:c>
      <x:c r="K9" s="30" t="str">
        <x:v>TST-08</x:v>
      </x:c>
      <x:c r="L9" s="30" t="str">
        <x:v>Not Run</x:v>
      </x:c>
      <x:c r="M9" s="30" t="str">
        <x:v>Staging</x:v>
      </x:c>
      <x:c r="N9" s="30" t="str">
        <x:v>High</x:v>
      </x:c>
      <x:c r="O9" s="30" t="str">
        <x:v>Open</x:v>
      </x:c>
      <x:c r="P9" s="30" t="str"/>
      <x:c r="Q9" s="34" t="b">
        <x:v>1</x:v>
      </x:c>
      <x:c r="R9" s="30" t="str"/>
    </x:row>
    <x:row r="10">
      <x:c r="A10" s="17" t="inlineStr">
        <x:is>
          <x:t xml:space="preserve">TST-09</x:t>
        </x:is>
      </x:c>
      <x:c r="B10" s="4" t="inlineStr">
        <x:is>
          <x:t xml:space="preserve">VoIP / DNI &amp; Offline Purchase</x:t>
        </x:is>
      </x:c>
      <x:c r="C10" s="4" t="inlineStr">
        <x:is>
          <x:t xml:space="preserve">آزمایش ردیابی تلفن و خرید آفلاین</x:t>
        </x:is>
      </x:c>
      <x:c r="D10" s="4" t="inlineStr">
        <x:is>
          <x:t xml:space="preserve">TK-084</x:t>
        </x:is>
      </x:c>
      <x:c r="E10" s="4" t="inlineStr">
        <x:is>
          <x:t xml:space="preserve">۱) تماس از وب‌سایت با شماره داینامیک ۲) تبدیل تماس به فروش ۳) بررسی شلیک Offline_Purchase</x:t>
        </x:is>
      </x:c>
      <x:c r="F10" s="4" t="inlineStr">
        <x:is>
          <x:t xml:space="preserve">Call Log با DNI در DWH؛ رویداد آفلاین در CAPI/EC با EMQ معتبر</x:t>
        </x:is>
      </x:c>
      <x:c r="G10" s="17" t="inlineStr">
        <x:is>
          <x:t xml:space="preserve">P2</x:t>
        </x:is>
      </x:c>
      <x:c r="H10" s="17" t="inlineStr">
        <x:is>
          <x:t xml:space="preserve">W3</x:t>
        </x:is>
      </x:c>
      <x:c r="I10" s="4" t="inlineStr">
        <x:is>
          <x:t xml:space="preserve">DevOps/Web Engineer</x:t>
        </x:is>
      </x:c>
      <x:c r="J10" s="4" t="inlineStr">
        <x:is>
          <x:t xml:space="preserve">TK-084, KPI-65</x:t>
        </x:is>
      </x:c>
      <x:c r="K10" s="30" t="str">
        <x:v>TST-09</x:v>
      </x:c>
      <x:c r="L10" s="30" t="str">
        <x:v>Not Run</x:v>
      </x:c>
      <x:c r="M10" s="30" t="str">
        <x:v>Staging</x:v>
      </x:c>
      <x:c r="N10" s="30" t="str">
        <x:v>High</x:v>
      </x:c>
      <x:c r="O10" s="30" t="str">
        <x:v>Open</x:v>
      </x:c>
      <x:c r="P10" s="30" t="str"/>
      <x:c r="Q10" s="34" t="b">
        <x:v>1</x:v>
      </x:c>
      <x:c r="R10" s="30" t="str"/>
    </x:row>
    <x:row r="11">
      <x:c r="A11" s="19" t="inlineStr">
        <x:is>
          <x:t xml:space="preserve">TST-10</x:t>
        </x:is>
      </x:c>
      <x:c r="B11" s="6" t="inlineStr">
        <x:is>
          <x:t xml:space="preserve">UTM Tagging &amp; Channel Taxonomy</x:t>
        </x:is>
      </x:c>
      <x:c r="C11" s="6" t="inlineStr">
        <x:is>
          <x:t xml:space="preserve">آزمون انضباط UTM</x:t>
        </x:is>
      </x:c>
      <x:c r="D11" s="6" t="inlineStr">
        <x:is>
          <x:t xml:space="preserve">EVT-01, KPI-78</x:t>
        </x:is>
      </x:c>
      <x:c r="E11" s="6" t="inlineStr">
        <x:is>
          <x:t xml:space="preserve">۱) کلیک از ۵ لینک کمپینی ۲) بررسی ۵ پارامتر در GA4 و DWH</x:t>
        </x:is>
      </x:c>
      <x:c r="F11" s="6" t="inlineStr">
        <x:is>
          <x:t xml:space="preserve">UTM-Comp% ≥ ۹۸٪؛ هیچ سشن پولی بدون source/medium/campaign نیست</x:t>
        </x:is>
      </x:c>
      <x:c r="G11" s="19" t="inlineStr">
        <x:is>
          <x:t xml:space="preserve">P1</x:t>
        </x:is>
      </x:c>
      <x:c r="H11" s="19" t="inlineStr">
        <x:is>
          <x:t xml:space="preserve">W2</x:t>
        </x:is>
      </x:c>
      <x:c r="I11" s="6" t="inlineStr">
        <x:is>
          <x:t xml:space="preserve">Performance Marketing Lead</x:t>
        </x:is>
      </x:c>
      <x:c r="J11" s="6" t="inlineStr">
        <x:is>
          <x:t xml:space="preserve">KPI-78</x:t>
        </x:is>
      </x:c>
      <x:c r="K11" s="30" t="str">
        <x:v>TST-10</x:v>
      </x:c>
      <x:c r="L11" s="30" t="str">
        <x:v>Not Run</x:v>
      </x:c>
      <x:c r="M11" s="30" t="str">
        <x:v>Staging</x:v>
      </x:c>
      <x:c r="N11" s="30" t="str">
        <x:v>High</x:v>
      </x:c>
      <x:c r="O11" s="30" t="str">
        <x:v>Open</x:v>
      </x:c>
      <x:c r="P11" s="30" t="str"/>
      <x:c r="Q11" s="34" t="b">
        <x:v>1</x:v>
      </x:c>
      <x:c r="R11" s="30" t="str"/>
    </x:row>
    <x:row r="12">
      <x:c r="A12" s="17" t="inlineStr">
        <x:is>
          <x:t xml:space="preserve">TST-11</x:t>
        </x:is>
      </x:c>
      <x:c r="B12" s="4" t="inlineStr">
        <x:is>
          <x:t xml:space="preserve">Data Freshness SLA</x:t>
        </x:is>
      </x:c>
      <x:c r="C12" s="4" t="inlineStr">
        <x:is>
          <x:t xml:space="preserve">تازگی داده‌ها</x:t>
        </x:is>
      </x:c>
      <x:c r="D12" s="4" t="inlineStr">
        <x:is>
          <x:t xml:space="preserve">Pipelines</x:t>
        </x:is>
      </x:c>
      <x:c r="E12" s="4" t="inlineStr">
        <x:is>
          <x:t xml:space="preserve">۱) ایجاد رویداد تست ساعت ۱۴:۰۰ ۲) زمان مشاهده در داشبورد هر لایه</x:t>
        </x:is>
      </x:c>
      <x:c r="F12" s="4" t="inlineStr">
        <x:is>
          <x:t xml:space="preserve">ترافیک/لید &lt;۳۰ دقیقه؛ فروش تا ۹ صبح روز بعد؛ Tier-3 &lt;۱۵ دقیقه</x:t>
        </x:is>
      </x:c>
      <x:c r="G12" s="17" t="inlineStr">
        <x:is>
          <x:t xml:space="preserve">P2</x:t>
        </x:is>
      </x:c>
      <x:c r="H12" s="17" t="inlineStr">
        <x:is>
          <x:t xml:space="preserve">W4</x:t>
        </x:is>
      </x:c>
      <x:c r="I12" s="4" t="inlineStr">
        <x:is>
          <x:t xml:space="preserve">Senior Data Engineer</x:t>
        </x:is>
      </x:c>
      <x:c r="J12" s="4" t="inlineStr">
        <x:is>
          <x:t xml:space="preserve">KPI-79</x:t>
        </x:is>
      </x:c>
      <x:c r="K12" s="30" t="str">
        <x:v>TST-11</x:v>
      </x:c>
      <x:c r="L12" s="30" t="str">
        <x:v>Not Run</x:v>
      </x:c>
      <x:c r="M12" s="30" t="str">
        <x:v>Staging</x:v>
      </x:c>
      <x:c r="N12" s="30" t="str">
        <x:v>High</x:v>
      </x:c>
      <x:c r="O12" s="30" t="str">
        <x:v>Open</x:v>
      </x:c>
      <x:c r="P12" s="30" t="str"/>
      <x:c r="Q12" s="34" t="b">
        <x:v>1</x:v>
      </x:c>
      <x:c r="R12" s="30" t="str"/>
    </x:row>
    <x:row r="13">
      <x:c r="A13" s="19" t="inlineStr">
        <x:is>
          <x:t xml:space="preserve">TST-12</x:t>
        </x:is>
      </x:c>
      <x:c r="B13" s="6" t="inlineStr">
        <x:is>
          <x:t xml:space="preserve">DQ: Nulls &amp; Duplicates</x:t>
        </x:is>
      </x:c>
      <x:c r="C13" s="6" t="inlineStr">
        <x:is>
          <x:t xml:space="preserve">کیفیت داده — مقادیر خالی و تکراری</x:t>
        </x:is>
      </x:c>
      <x:c r="D13" s="6" t="inlineStr">
        <x:is>
          <x:t xml:space="preserve">127 fields</x:t>
        </x:is>
      </x:c>
      <x:c r="E13" s="6" t="inlineStr">
        <x:is>
          <x:t xml:space="preserve">۱) اجرای dbt tests روی ۱۲۷ فیلد ۲) بررسی PK یکتایی و Not-Null اجباری‌ها</x:t>
        </x:is>
      </x:c>
      <x:c r="F13" s="6" t="inlineStr">
        <x:is>
          <x:t xml:space="preserve">تست‌ها صفر شکست؛ حقل‌های اجباری &lt;۲٪ Unassigned</x:t>
        </x:is>
      </x:c>
      <x:c r="G13" s="19" t="inlineStr">
        <x:is>
          <x:t xml:space="preserve">P2</x:t>
        </x:is>
      </x:c>
      <x:c r="H13" s="19" t="inlineStr">
        <x:is>
          <x:t xml:space="preserve">W3</x:t>
        </x:is>
      </x:c>
      <x:c r="I13" s="6" t="inlineStr">
        <x:is>
          <x:t xml:space="preserve">Senior Data Engineer</x:t>
        </x:is>
      </x:c>
      <x:c r="J13" s="6" t="inlineStr">
        <x:is>
          <x:t xml:space="preserve">127 FLD</x:t>
        </x:is>
      </x:c>
      <x:c r="K13" s="30" t="str">
        <x:v>TST-12</x:v>
      </x:c>
      <x:c r="L13" s="30" t="str">
        <x:v>Not Run</x:v>
      </x:c>
      <x:c r="M13" s="30" t="str">
        <x:v>Staging</x:v>
      </x:c>
      <x:c r="N13" s="30" t="str">
        <x:v>High</x:v>
      </x:c>
      <x:c r="O13" s="30" t="str">
        <x:v>Open</x:v>
      </x:c>
      <x:c r="P13" s="30" t="str"/>
      <x:c r="Q13" s="34" t="b">
        <x:v>1</x:v>
      </x:c>
      <x:c r="R13" s="30" t="str"/>
    </x:row>
    <x:row r="14">
      <x:c r="A14" s="17" t="inlineStr">
        <x:is>
          <x:t xml:space="preserve">TST-13</x:t>
        </x:is>
      </x:c>
      <x:c r="B14" s="4" t="inlineStr">
        <x:is>
          <x:t xml:space="preserve">DQ: Referential Integrity</x:t>
        </x:is>
      </x:c>
      <x:c r="C14" s="4" t="inlineStr">
        <x:is>
          <x:t xml:space="preserve">یکپارچگی ارجاعی فک/دایمنشن</x:t>
        </x:is>
      </x:c>
      <x:c r="D14" s="4" t="inlineStr">
        <x:is>
          <x:t xml:space="preserve">DWH</x:t>
        </x:is>
      </x:c>
      <x:c r="E14" s="4" t="inlineStr">
        <x:is>
          <x:t xml:space="preserve">۱) join fct_orders→dim_customer/campaign/product ۲) شمارش اورفان رکورد</x:t>
        </x:is>
      </x:c>
      <x:c r="F14" s="4" t="inlineStr">
        <x:is>
          <x:t xml:space="preserve">اورفان سفارش/لید/ایونت = ۰؛ join rate 100٪</x:t>
        </x:is>
      </x:c>
      <x:c r="G14" s="17" t="inlineStr">
        <x:is>
          <x:t xml:space="preserve">P1</x:t>
        </x:is>
      </x:c>
      <x:c r="H14" s="17" t="inlineStr">
        <x:is>
          <x:t xml:space="preserve">W3</x:t>
        </x:is>
      </x:c>
      <x:c r="I14" s="4" t="inlineStr">
        <x:is>
          <x:t xml:space="preserve">Senior Data Engineer</x:t>
        </x:is>
      </x:c>
      <x:c r="J14" s="4" t="inlineStr">
        <x:is>
          <x:t xml:space="preserve">DWH</x:t>
        </x:is>
      </x:c>
      <x:c r="K14" s="30" t="str">
        <x:v>TST-13</x:v>
      </x:c>
      <x:c r="L14" s="30" t="str">
        <x:v>Not Run</x:v>
      </x:c>
      <x:c r="M14" s="30" t="str">
        <x:v>Staging</x:v>
      </x:c>
      <x:c r="N14" s="30" t="str">
        <x:v>High</x:v>
      </x:c>
      <x:c r="O14" s="30" t="str">
        <x:v>Open</x:v>
      </x:c>
      <x:c r="P14" s="30" t="str"/>
      <x:c r="Q14" s="34" t="b">
        <x:v>1</x:v>
      </x:c>
      <x:c r="R14" s="30" t="str"/>
    </x:row>
    <x:row r="15">
      <x:c r="A15" s="19" t="inlineStr">
        <x:is>
          <x:t xml:space="preserve">TST-14</x:t>
        </x:is>
      </x:c>
      <x:c r="B15" s="6" t="inlineStr">
        <x:is>
          <x:t xml:space="preserve">Dashboard Reconciliation — Executive</x:t>
        </x:is>
      </x:c>
      <x:c r="C15" s="6" t="inlineStr">
        <x:is>
          <x:t xml:space="preserve">تطبیق داشبورد مدیرعامل</x:t>
        </x:is>
      </x:c>
      <x:c r="D15" s="6" t="inlineStr">
        <x:is>
          <x:t xml:space="preserve">DASH-EXEC-01</x:t>
        </x:is>
      </x:c>
      <x:c r="E15" s="6" t="inlineStr">
        <x:is>
          <x:t xml:space="preserve">۱) مقایسه Net Revenue داشبورد با صورت مالی ماه ۲) مقایسه POAS با محاسبه دستی</x:t>
        </x:is>
      </x:c>
      <x:c r="F15" s="6" t="inlineStr">
        <x:is>
          <x:t xml:space="preserve">مغایرت صفر ریالی با دفاتر؛ POAS ±۱٪ با محاسبه دستی</x:t>
        </x:is>
      </x:c>
      <x:c r="G15" s="19" t="inlineStr">
        <x:is>
          <x:t xml:space="preserve">P1</x:t>
        </x:is>
      </x:c>
      <x:c r="H15" s="19" t="inlineStr">
        <x:is>
          <x:t xml:space="preserve">W5</x:t>
        </x:is>
      </x:c>
      <x:c r="I15" s="6" t="inlineStr">
        <x:is>
          <x:t xml:space="preserve">BI Lead</x:t>
        </x:is>
      </x:c>
      <x:c r="J15" s="6" t="inlineStr">
        <x:is>
          <x:t xml:space="preserve">REP-01</x:t>
        </x:is>
      </x:c>
      <x:c r="K15" s="30" t="str">
        <x:v>TST-14</x:v>
      </x:c>
      <x:c r="L15" s="30" t="str">
        <x:v>Not Run</x:v>
      </x:c>
      <x:c r="M15" s="30" t="str">
        <x:v>Staging</x:v>
      </x:c>
      <x:c r="N15" s="30" t="str">
        <x:v>High</x:v>
      </x:c>
      <x:c r="O15" s="30" t="str">
        <x:v>Open</x:v>
      </x:c>
      <x:c r="P15" s="30" t="str"/>
      <x:c r="Q15" s="34" t="b">
        <x:v>1</x:v>
      </x:c>
      <x:c r="R15" s="30" t="str"/>
    </x:row>
    <x:row r="16">
      <x:c r="A16" s="17" t="inlineStr">
        <x:is>
          <x:t xml:space="preserve">TST-15</x:t>
        </x:is>
      </x:c>
      <x:c r="B16" s="4" t="inlineStr">
        <x:is>
          <x:t xml:space="preserve">Dashboard Reconciliation — CMO</x:t>
        </x:is>
      </x:c>
      <x:c r="C16" s="4" t="inlineStr">
        <x:is>
          <x:t xml:space="preserve">تطبیق داشبورد CMO</x:t>
        </x:is>
      </x:c>
      <x:c r="D16" s="4" t="inlineStr">
        <x:is>
          <x:t xml:space="preserve">DASH-CMO-02</x:t>
        </x:is>
      </x:c>
      <x:c r="E16" s="4" t="inlineStr">
        <x:is>
          <x:t xml:space="preserve">۱) تطبیق Pacing با فاکتور پلتفرم ۲) تطبیق پایپ‌لاین با CRM</x:t>
        </x:is>
      </x:c>
      <x:c r="F16" s="4" t="inlineStr">
        <x:is>
          <x:t xml:space="preserve">مغایرت هزینه &lt;۱٪؛ تعداد MQL/SQL همسان CRM</x:t>
        </x:is>
      </x:c>
      <x:c r="G16" s="17" t="inlineStr">
        <x:is>
          <x:t xml:space="preserve">P1</x:t>
        </x:is>
      </x:c>
      <x:c r="H16" s="17" t="inlineStr">
        <x:is>
          <x:t xml:space="preserve">W5</x:t>
        </x:is>
      </x:c>
      <x:c r="I16" s="4" t="inlineStr">
        <x:is>
          <x:t xml:space="preserve">BI Lead</x:t>
        </x:is>
      </x:c>
      <x:c r="J16" s="4" t="inlineStr">
        <x:is>
          <x:t xml:space="preserve">REP-32</x:t>
        </x:is>
      </x:c>
      <x:c r="K16" s="30" t="str">
        <x:v>TST-15</x:v>
      </x:c>
      <x:c r="L16" s="30" t="str">
        <x:v>Not Run</x:v>
      </x:c>
      <x:c r="M16" s="30" t="str">
        <x:v>Staging</x:v>
      </x:c>
      <x:c r="N16" s="30" t="str">
        <x:v>High</x:v>
      </x:c>
      <x:c r="O16" s="30" t="str">
        <x:v>Open</x:v>
      </x:c>
      <x:c r="P16" s="30" t="str"/>
      <x:c r="Q16" s="34" t="b">
        <x:v>1</x:v>
      </x:c>
      <x:c r="R16" s="30" t="str"/>
    </x:row>
    <x:row r="17">
      <x:c r="A17" s="19" t="inlineStr">
        <x:is>
          <x:t xml:space="preserve">TST-16</x:t>
        </x:is>
      </x:c>
      <x:c r="B17" s="6" t="inlineStr">
        <x:is>
          <x:t xml:space="preserve">Dashboard Reconciliation — Operational</x:t>
        </x:is>
      </x:c>
      <x:c r="C17" s="6" t="inlineStr">
        <x:is>
          <x:t xml:space="preserve">تطبیق داشبورد عملیاتی</x:t>
        </x:is>
      </x:c>
      <x:c r="D17" s="6" t="inlineStr">
        <x:is>
          <x:t xml:space="preserve">DASH-PERF-03</x:t>
        </x:is>
      </x:c>
      <x:c r="E17" s="6" t="inlineStr">
        <x:is>
          <x:t xml:space="preserve">۱) تطبیق CTR/CPC لحظه‌ای با پنل گوگل/متا ۲) تطبیق EMQ با Events Manager</x:t>
        </x:is>
      </x:c>
      <x:c r="F17" s="6" t="inlineStr">
        <x:is>
          <x:t xml:space="preserve">مغایرت &lt;۵٪ (طبیعت تاخیر پلتفرم)؛ EMQ همسان پنل</x:t>
        </x:is>
      </x:c>
      <x:c r="G17" s="19" t="inlineStr">
        <x:is>
          <x:t xml:space="preserve">P2</x:t>
        </x:is>
      </x:c>
      <x:c r="H17" s="19" t="inlineStr">
        <x:is>
          <x:t xml:space="preserve">W5</x:t>
        </x:is>
      </x:c>
      <x:c r="I17" s="6" t="inlineStr">
        <x:is>
          <x:t xml:space="preserve">BI Lead</x:t>
        </x:is>
      </x:c>
      <x:c r="J17" s="6" t="inlineStr">
        <x:is>
          <x:t xml:space="preserve">REP-36</x:t>
        </x:is>
      </x:c>
      <x:c r="K17" s="30" t="str">
        <x:v>TST-16</x:v>
      </x:c>
      <x:c r="L17" s="30" t="str">
        <x:v>Not Run</x:v>
      </x:c>
      <x:c r="M17" s="30" t="str">
        <x:v>Staging</x:v>
      </x:c>
      <x:c r="N17" s="30" t="str">
        <x:v>High</x:v>
      </x:c>
      <x:c r="O17" s="30" t="str">
        <x:v>Open</x:v>
      </x:c>
      <x:c r="P17" s="30" t="str"/>
      <x:c r="Q17" s="34" t="b">
        <x:v>1</x:v>
      </x:c>
      <x:c r="R17" s="30" t="str"/>
    </x:row>
    <x:row r="18">
      <x:c r="A18" s="17" t="inlineStr">
        <x:is>
          <x:t xml:space="preserve">TST-17</x:t>
        </x:is>
      </x:c>
      <x:c r="B18" s="4" t="inlineStr">
        <x:is>
          <x:t xml:space="preserve">Alert Trigger &amp; Cooldown — P1</x:t>
        </x:is>
      </x:c>
      <x:c r="C18" s="4" t="inlineStr">
        <x:is>
          <x:t xml:space="preserve">شلیک و خنک‌شدن هشدارهای بحرانی</x:t>
        </x:is>
      </x:c>
      <x:c r="D18" s="4" t="inlineStr">
        <x:is>
          <x:t xml:space="preserve">ALT-01..16</x:t>
        </x:is>
      </x:c>
      <x:c r="E18" s="4" t="inlineStr">
        <x:is>
          <x:t xml:space="preserve">۱) شبیه‌سازی افت ۴۰٪ خرید ۲) بررسی پیامک/تلگرام/بنر ۳) تکرار در ۱۰ دقیقه</x:t>
        </x:is>
      </x:c>
      <x:c r="F18" s="4" t="inlineStr">
        <x:is>
          <x:t xml:space="preserve">هشدار در &lt;۵ دقیقه می‌رسد؛ کول‌داون ۳۰ دقیقه؛ Escalation در ۳۰ دقیقه</x:t>
        </x:is>
      </x:c>
      <x:c r="G18" s="17" t="inlineStr">
        <x:is>
          <x:t xml:space="preserve">P1</x:t>
        </x:is>
      </x:c>
      <x:c r="H18" s="17" t="inlineStr">
        <x:is>
          <x:t xml:space="preserve">W5</x:t>
        </x:is>
      </x:c>
      <x:c r="I18" s="4" t="inlineStr">
        <x:is>
          <x:t xml:space="preserve">Senior Data Engineer</x:t>
        </x:is>
      </x:c>
      <x:c r="J18" s="4" t="inlineStr">
        <x:is>
          <x:t xml:space="preserve">ALT-01</x:t>
        </x:is>
      </x:c>
      <x:c r="K18" s="30" t="str">
        <x:v>TST-17</x:v>
      </x:c>
      <x:c r="L18" s="30" t="str">
        <x:v>Not Run</x:v>
      </x:c>
      <x:c r="M18" s="30" t="str">
        <x:v>Staging</x:v>
      </x:c>
      <x:c r="N18" s="30" t="str">
        <x:v>High</x:v>
      </x:c>
      <x:c r="O18" s="30" t="str">
        <x:v>Open</x:v>
      </x:c>
      <x:c r="P18" s="30" t="str"/>
      <x:c r="Q18" s="34" t="b">
        <x:v>1</x:v>
      </x:c>
      <x:c r="R18" s="30" t="str"/>
    </x:row>
    <x:row r="19">
      <x:c r="A19" s="19" t="inlineStr">
        <x:is>
          <x:t xml:space="preserve">TST-18</x:t>
        </x:is>
      </x:c>
      <x:c r="B19" s="6" t="inlineStr">
        <x:is>
          <x:t xml:space="preserve">Alert False-Positive Guard</x:t>
        </x:is>
      </x:c>
      <x:c r="C19" s="6" t="inlineStr">
        <x:is>
          <x:t xml:space="preserve">محافظت در برابر هشدار کاذب</x:t>
        </x:is>
      </x:c>
      <x:c r="D19" s="6" t="inlineStr">
        <x:is>
          <x:t xml:space="preserve">ALT-03,06,11</x:t>
        </x:is>
      </x:c>
      <x:c r="E19" s="6" t="inlineStr">
        <x:is>
          <x:t xml:space="preserve">۱) شبیه‌سازی کمبود ترافیک ۲) بررسی شرط «ترافیک عادی» در تریگر</x:t>
        </x:is>
      </x:c>
      <x:c r="F19" s="6" t="inlineStr">
        <x:is>
          <x:t xml:space="preserve">در ترافیک &lt;آستانه حجم، هشدار شلیک نمی‌شود (Suppression Rule)</x:t>
        </x:is>
      </x:c>
      <x:c r="G19" s="19" t="inlineStr">
        <x:is>
          <x:t xml:space="preserve">P2</x:t>
        </x:is>
      </x:c>
      <x:c r="H19" s="19" t="inlineStr">
        <x:is>
          <x:t xml:space="preserve">W5</x:t>
        </x:is>
      </x:c>
      <x:c r="I19" s="6" t="inlineStr">
        <x:is>
          <x:t xml:space="preserve">Data Scientist</x:t>
        </x:is>
      </x:c>
      <x:c r="J19" s="6" t="inlineStr">
        <x:is>
          <x:t xml:space="preserve">ALT-03,06,11</x:t>
        </x:is>
      </x:c>
      <x:c r="K19" s="30" t="str">
        <x:v>TST-18</x:v>
      </x:c>
      <x:c r="L19" s="30" t="str">
        <x:v>Not Run</x:v>
      </x:c>
      <x:c r="M19" s="30" t="str">
        <x:v>Staging</x:v>
      </x:c>
      <x:c r="N19" s="30" t="str">
        <x:v>High</x:v>
      </x:c>
      <x:c r="O19" s="30" t="str">
        <x:v>Open</x:v>
      </x:c>
      <x:c r="P19" s="30" t="str"/>
      <x:c r="Q19" s="34" t="b">
        <x:v>1</x:v>
      </x:c>
      <x:c r="R19" s="30" t="str"/>
    </x:row>
    <x:row r="20">
      <x:c r="A20" s="17" t="inlineStr">
        <x:is>
          <x:t xml:space="preserve">TST-19</x:t>
        </x:is>
      </x:c>
      <x:c r="B20" s="4" t="inlineStr">
        <x:is>
          <x:t xml:space="preserve">CAPI Event Match Quality</x:t>
        </x:is>
      </x:c>
      <x:c r="C20" s="4" t="inlineStr">
        <x:is>
          <x:t xml:space="preserve">کیفیت تطابق CAPI</x:t>
        </x:is>
      </x:c>
      <x:c r="D20" s="4" t="inlineStr">
        <x:is>
          <x:t xml:space="preserve">EVT-13,16 → Meta</x:t>
        </x:is>
      </x:c>
      <x:c r="E20" s="4" t="inlineStr">
        <x:is>
          <x:t xml:space="preserve">۱) ارسال رویداد با ph+email+client_id ۲) خواندن EMQ از Events Manager</x:t>
        </x:is>
      </x:c>
      <x:c r="F20" s="4" t="inlineStr">
        <x:is>
          <x:t xml:space="preserve">EMQ ≥ 8.0 در Test و Production؛ KPI-65 در بازه سبز</x:t>
        </x:is>
      </x:c>
      <x:c r="G20" s="17" t="inlineStr">
        <x:is>
          <x:t xml:space="preserve">P1</x:t>
        </x:is>
      </x:c>
      <x:c r="H20" s="17" t="inlineStr">
        <x:is>
          <x:t xml:space="preserve">W2</x:t>
        </x:is>
      </x:c>
      <x:c r="I20" s="4" t="inlineStr">
        <x:is>
          <x:t xml:space="preserve">Senior Data Engineer</x:t>
        </x:is>
      </x:c>
      <x:c r="J20" s="4" t="inlineStr">
        <x:is>
          <x:t xml:space="preserve">KPI-65</x:t>
        </x:is>
      </x:c>
      <x:c r="K20" s="30" t="str">
        <x:v>TST-19</x:v>
      </x:c>
      <x:c r="L20" s="30" t="str">
        <x:v>Not Run</x:v>
      </x:c>
      <x:c r="M20" s="30" t="str">
        <x:v>Staging</x:v>
      </x:c>
      <x:c r="N20" s="30" t="str">
        <x:v>High</x:v>
      </x:c>
      <x:c r="O20" s="30" t="str">
        <x:v>Open</x:v>
      </x:c>
      <x:c r="P20" s="30" t="str"/>
      <x:c r="Q20" s="34" t="b">
        <x:v>1</x:v>
      </x:c>
      <x:c r="R20" s="30" t="str"/>
    </x:row>
    <x:row r="21">
      <x:c r="A21" s="19" t="inlineStr">
        <x:is>
          <x:t xml:space="preserve">TST-20</x:t>
        </x:is>
      </x:c>
      <x:c r="B21" s="6" t="inlineStr">
        <x:is>
          <x:t xml:space="preserve">AdBlock Resilience</x:t>
        </x:is>
      </x:c>
      <x:c r="C21" s="6" t="inlineStr">
        <x:is>
          <x:t xml:space="preserve">استقامت در برابر AdBlock</x:t>
        </x:is>
      </x:c>
      <x:c r="D21" s="6" t="inlineStr">
        <x:is>
          <x:t xml:space="preserve">EVT-13</x:t>
        </x:is>
      </x:c>
      <x:c r="E21" s="6" t="inlineStr">
        <x:is>
          <x:t xml:space="preserve">۱) خرید با مرورگر + uBlock فعال ۲) بررسی دریافت سروری</x:t>
        </x:is>
      </x:c>
      <x:c r="F21" s="6" t="inlineStr">
        <x:is>
          <x:t xml:space="preserve">رویداد purchase با CAPI سرور دریافت می‌شود حتی با AdBlock</x:t>
        </x:is>
      </x:c>
      <x:c r="G21" s="19" t="inlineStr">
        <x:is>
          <x:t xml:space="preserve">P1</x:t>
        </x:is>
      </x:c>
      <x:c r="H21" s="19" t="inlineStr">
        <x:is>
          <x:t xml:space="preserve">W2</x:t>
        </x:is>
      </x:c>
      <x:c r="I21" s="6" t="inlineStr">
        <x:is>
          <x:t xml:space="preserve">DevOps/Web Engineer</x:t>
        </x:is>
      </x:c>
      <x:c r="J21" s="6" t="inlineStr">
        <x:is>
          <x:t xml:space="preserve">KPI-76</x:t>
        </x:is>
      </x:c>
      <x:c r="K21" s="30" t="str">
        <x:v>TST-20</x:v>
      </x:c>
      <x:c r="L21" s="30" t="str">
        <x:v>Not Run</x:v>
      </x:c>
      <x:c r="M21" s="30" t="str">
        <x:v>Staging</x:v>
      </x:c>
      <x:c r="N21" s="30" t="str">
        <x:v>High</x:v>
      </x:c>
      <x:c r="O21" s="30" t="str">
        <x:v>Open</x:v>
      </x:c>
      <x:c r="P21" s="30" t="str"/>
      <x:c r="Q21" s="34" t="b">
        <x:v>1</x:v>
      </x:c>
      <x:c r="R21" s="30" t="str"/>
    </x:row>
    <x:row r="22">
      <x:c r="A22" s="17" t="inlineStr">
        <x:is>
          <x:t xml:space="preserve">TST-21</x:t>
        </x:is>
      </x:c>
      <x:c r="B22" s="4" t="inlineStr">
        <x:is>
          <x:t xml:space="preserve">In-App Browser Handling</x:t>
        </x:is>
      </x:c>
      <x:c r="C22" s="4" t="inlineStr">
        <x:is>
          <x:t xml:space="preserve">مرورگر داخل اپ (اینستاگرام/تلگرام)</x:t>
        </x:is>
      </x:c>
      <x:c r="D22" s="4" t="inlineStr">
        <x:is>
          <x:t xml:space="preserve">EVT-01,10</x:t>
        </x:is>
      </x:c>
      <x:c r="E22" s="4" t="inlineStr">
        <x:is>
          <x:t xml:space="preserve">۱) باز کردن لندینگ از داخل اپ ۲) بررسی s2s فیلر و شلیک ایونت</x:t>
        </x:is>
      </x:c>
      <x:c r="F22" s="4" t="inlineStr">
        <x:is>
          <x:t xml:space="preserve">page_view ثبت می‌شود؛ در نبود s2s فیلر، درگاه پرداخت بدون خطا باز می‌شود</x:t>
        </x:is>
      </x:c>
      <x:c r="G22" s="17" t="inlineStr">
        <x:is>
          <x:t xml:space="preserve">P2</x:t>
        </x:is>
      </x:c>
      <x:c r="H22" s="17" t="inlineStr">
        <x:is>
          <x:t xml:space="preserve">W2</x:t>
        </x:is>
      </x:c>
      <x:c r="I22" s="4" t="inlineStr">
        <x:is>
          <x:t xml:space="preserve">DevOps/Web Engineer</x:t>
        </x:is>
      </x:c>
      <x:c r="J22" s="4" t="inlineStr">
        <x:is>
          <x:t xml:space="preserve">EVT-01,10</x:t>
        </x:is>
      </x:c>
      <x:c r="K22" s="30" t="str">
        <x:v>TST-21</x:v>
      </x:c>
      <x:c r="L22" s="30" t="str">
        <x:v>Not Run</x:v>
      </x:c>
      <x:c r="M22" s="30" t="str">
        <x:v>Staging</x:v>
      </x:c>
      <x:c r="N22" s="30" t="str">
        <x:v>High</x:v>
      </x:c>
      <x:c r="O22" s="30" t="str">
        <x:v>Open</x:v>
      </x:c>
      <x:c r="P22" s="30" t="str"/>
      <x:c r="Q22" s="34" t="b">
        <x:v>1</x:v>
      </x:c>
      <x:c r="R22" s="30" t="str"/>
    </x:row>
    <x:row r="23">
      <x:c r="A23" s="19" t="inlineStr">
        <x:is>
          <x:t xml:space="preserve">TST-22</x:t>
        </x:is>
      </x:c>
      <x:c r="B23" s="6" t="inlineStr">
        <x:is>
          <x:t xml:space="preserve">Failed Payment Guard</x:t>
        </x:is>
      </x:c>
      <x:c r="C23" s="6" t="inlineStr">
        <x:is>
          <x:t xml:space="preserve">محافظت پرداخت ناموفق</x:t>
        </x:is>
      </x:c>
      <x:c r="D23" s="6" t="inlineStr">
        <x:is>
          <x:t xml:space="preserve">EVT-12,13</x:t>
        </x:is>
      </x:c>
      <x:c r="E23" s="6" t="inlineStr">
        <x:is>
          <x:t xml:space="preserve">۱) پرداخت ۳ بار ناموفق ۲) بررسی عدم شلیک purchase و شلیک add_payment_info</x:t>
        </x:is>
      </x:c>
      <x:c r="F23" s="6" t="inlineStr">
        <x:is>
          <x:t xml:space="preserve">purchase بدون تسویه = ۰؛ add_payment_info با payment_status=failed</x:t>
        </x:is>
      </x:c>
      <x:c r="G23" s="19" t="inlineStr">
        <x:is>
          <x:t xml:space="preserve">P1</x:t>
        </x:is>
      </x:c>
      <x:c r="H23" s="19" t="inlineStr">
        <x:is>
          <x:t xml:space="preserve">W2</x:t>
        </x:is>
      </x:c>
      <x:c r="I23" s="6" t="inlineStr">
        <x:is>
          <x:t xml:space="preserve">DevOps/Web Engineer</x:t>
        </x:is>
      </x:c>
      <x:c r="J23" s="6" t="inlineStr">
        <x:is>
          <x:t xml:space="preserve">EVT-12,13</x:t>
        </x:is>
      </x:c>
      <x:c r="K23" s="30" t="str">
        <x:v>TST-22</x:v>
      </x:c>
      <x:c r="L23" s="30" t="str">
        <x:v>Not Run</x:v>
      </x:c>
      <x:c r="M23" s="30" t="str">
        <x:v>Staging</x:v>
      </x:c>
      <x:c r="N23" s="30" t="str">
        <x:v>High</x:v>
      </x:c>
      <x:c r="O23" s="30" t="str">
        <x:v>Open</x:v>
      </x:c>
      <x:c r="P23" s="30" t="str"/>
      <x:c r="Q23" s="34" t="b">
        <x:v>1</x:v>
      </x:c>
      <x:c r="R23" s="30" t="str"/>
    </x:row>
    <x:row r="24">
      <x:c r="A24" s="17" t="inlineStr">
        <x:is>
          <x:t xml:space="preserve">TST-23</x:t>
        </x:is>
      </x:c>
      <x:c r="B24" s="4" t="inlineStr">
        <x:is>
          <x:t xml:space="preserve">Historical Backfill</x:t>
        </x:is>
      </x:c>
      <x:c r="C24" s="4" t="inlineStr">
        <x:is>
          <x:t xml:space="preserve">بازسازی تاریخچه داده</x:t>
        </x:is>
      </x:c>
      <x:c r="D24" s="4" t="inlineStr">
        <x:is>
          <x:t xml:space="preserve">DWH</x:t>
        </x:is>
      </x:c>
      <x:c r="E24" s="4" t="inlineStr">
        <x:is>
          <x:t xml:space="preserve">۱) بک‌فیل ۹۰ روز (یا بیش‌تر اگر موجود) از GA4 و فاکتورهای مالی ۲) تطبیق با پنل‌ها</x:t>
        </x:is>
      </x:c>
      <x:c r="F24" s="4" t="inlineStr">
        <x:is>
          <x:t xml:space="preserve">داده‌های تاریخی در DWH با همخوانی &gt;۹۵٪ با پنل پلتفرم</x:t>
        </x:is>
      </x:c>
      <x:c r="G24" s="17" t="inlineStr">
        <x:is>
          <x:t xml:space="preserve">P2</x:t>
        </x:is>
      </x:c>
      <x:c r="H24" s="17" t="inlineStr">
        <x:is>
          <x:t xml:space="preserve">W3</x:t>
        </x:is>
      </x:c>
      <x:c r="I24" s="4" t="inlineStr">
        <x:is>
          <x:t xml:space="preserve">Senior Data Engineer</x:t>
        </x:is>
      </x:c>
      <x:c r="J24" s="4" t="inlineStr">
        <x:is>
          <x:t xml:space="preserve">TK-088</x:t>
        </x:is>
      </x:c>
      <x:c r="K24" s="30" t="str">
        <x:v>TST-23</x:v>
      </x:c>
      <x:c r="L24" s="30" t="str">
        <x:v>Not Run</x:v>
      </x:c>
      <x:c r="M24" s="30" t="str">
        <x:v>Staging</x:v>
      </x:c>
      <x:c r="N24" s="30" t="str">
        <x:v>High</x:v>
      </x:c>
      <x:c r="O24" s="30" t="str">
        <x:v>Open</x:v>
      </x:c>
      <x:c r="P24" s="30" t="str"/>
      <x:c r="Q24" s="34" t="b">
        <x:v>1</x:v>
      </x:c>
      <x:c r="R24" s="30" t="str"/>
    </x:row>
    <x:row r="25">
      <x:c r="A25" s="19" t="inlineStr">
        <x:is>
          <x:t xml:space="preserve">TST-24</x:t>
        </x:is>
      </x:c>
      <x:c r="B25" s="6" t="inlineStr">
        <x:is>
          <x:t xml:space="preserve">A/B Test Statistical Validity</x:t>
        </x:is>
      </x:c>
      <x:c r="C25" s="6" t="inlineStr">
        <x:is>
          <x:t xml:space="preserve">اعتبار آماری تست A/B</x:t>
        </x:is>
      </x:c>
      <x:c r="D25" s="6" t="inlineStr">
        <x:is>
          <x:t xml:space="preserve">REP-35</x:t>
        </x:is>
      </x:c>
      <x:c r="E25" s="6" t="inlineStr">
        <x:is>
          <x:t xml:space="preserve">۱) اجرای تست لندینگ با نمونه‌ی حداقل محاسبه‌شده ۲) بررسی معناداری</x:t>
        </x:is>
      </x:c>
      <x:c r="F25" s="6" t="inlineStr">
        <x:is>
          <x:t xml:space="preserve">test فقط بعد از رسیدن به Sample Size و p&lt;0.05 قضاوت می‌شود</x:t>
        </x:is>
      </x:c>
      <x:c r="G25" s="19" t="inlineStr">
        <x:is>
          <x:t xml:space="preserve">P2</x:t>
        </x:is>
      </x:c>
      <x:c r="H25" s="19" t="inlineStr">
        <x:is>
          <x:t xml:space="preserve">W5</x:t>
        </x:is>
      </x:c>
      <x:c r="I25" s="6" t="inlineStr">
        <x:is>
          <x:t xml:space="preserve">Data Scientist</x:t>
        </x:is>
      </x:c>
      <x:c r="J25" s="6" t="inlineStr">
        <x:is>
          <x:t xml:space="preserve">REP-35</x:t>
        </x:is>
      </x:c>
      <x:c r="K25" s="30" t="str">
        <x:v>TST-24</x:v>
      </x:c>
      <x:c r="L25" s="30" t="str">
        <x:v>Not Run</x:v>
      </x:c>
      <x:c r="M25" s="30" t="str">
        <x:v>Staging</x:v>
      </x:c>
      <x:c r="N25" s="30" t="str">
        <x:v>High</x:v>
      </x:c>
      <x:c r="O25" s="30" t="str">
        <x:v>Open</x:v>
      </x:c>
      <x:c r="P25" s="30" t="str"/>
      <x:c r="Q25" s="34" t="b">
        <x:v>1</x:v>
      </x:c>
      <x:c r="R25" s="30" t="str"/>
    </x:row>
    <x:row r="26">
      <x:c r="A26" s="17" t="inlineStr">
        <x:is>
          <x:t xml:space="preserve">TST-25</x:t>
        </x:is>
      </x:c>
      <x:c r="B26" s="4" t="inlineStr">
        <x:is>
          <x:t xml:space="preserve">Bot / Invalid Traffic Filter</x:t>
        </x:is>
      </x:c>
      <x:c r="C26" s="4" t="inlineStr">
        <x:is>
          <x:t xml:space="preserve">فیلتر ترافیک نامعتبر</x:t>
        </x:is>
      </x:c>
      <x:c r="D26" s="4" t="inlineStr">
        <x:is>
          <x:t xml:space="preserve">MOD-15</x:t>
        </x:is>
      </x:c>
      <x:c r="E26" s="4" t="inlineStr">
        <x:is>
          <x:t xml:space="preserve">۱) شبیه‌سازی کلیک رباتی از چند IP ۲) بررسی flag در DWH</x:t>
        </x:is>
      </x:c>
      <x:c r="F26" s="4" t="inlineStr">
        <x:is>
          <x:t xml:space="preserve">سهم Bot &lt;۵٪؛ ریکوردها با flag=bot برای تحلیل هزینه حذف می‌شوند</x:t>
        </x:is>
      </x:c>
      <x:c r="G26" s="17" t="inlineStr">
        <x:is>
          <x:t xml:space="preserve">P2</x:t>
        </x:is>
      </x:c>
      <x:c r="H26" s="17" t="inlineStr">
        <x:is>
          <x:t xml:space="preserve">W5</x:t>
        </x:is>
      </x:c>
      <x:c r="I26" s="4" t="inlineStr">
        <x:is>
          <x:t xml:space="preserve">Data Scientist</x:t>
        </x:is>
      </x:c>
      <x:c r="J26" s="4" t="inlineStr">
        <x:is>
          <x:t xml:space="preserve">KPI-34 (MET-34)</x:t>
        </x:is>
      </x:c>
      <x:c r="K26" s="30" t="str">
        <x:v>TST-25</x:v>
      </x:c>
      <x:c r="L26" s="30" t="str">
        <x:v>Not Run</x:v>
      </x:c>
      <x:c r="M26" s="30" t="str">
        <x:v>Staging</x:v>
      </x:c>
      <x:c r="N26" s="30" t="str">
        <x:v>High</x:v>
      </x:c>
      <x:c r="O26" s="30" t="str">
        <x:v>Open</x:v>
      </x:c>
      <x:c r="P26" s="30" t="str"/>
      <x:c r="Q26" s="34" t="b">
        <x:v>1</x:v>
      </x:c>
      <x:c r="R26" s="30" t="str"/>
    </x:row>
    <x:row r="27">
      <x:c r="A27" s="19" t="inlineStr">
        <x:is>
          <x:t xml:space="preserve">TST-26</x:t>
        </x:is>
      </x:c>
      <x:c r="B27" s="6" t="inlineStr">
        <x:is>
          <x:t xml:space="preserve">RBAC &amp; Data Masking</x:t>
        </x:is>
      </x:c>
      <x:c r="C27" s="6" t="inlineStr">
        <x:is>
          <x:t xml:space="preserve">نقش‌ها و پنهان‌سازی داده</x:t>
        </x:is>
      </x:c>
      <x:c r="D27" s="6" t="inlineStr">
        <x:is>
          <x:t xml:space="preserve">DWH, CRM</x:t>
        </x:is>
      </x:c>
      <x:c r="E27" s="6" t="inlineStr">
        <x:is>
          <x:t xml:space="preserve">۱) ورود با نقش‌های CEO/CMO/Analyst ۲) بررسی دسترسی به فیلدهای حساس</x:t>
        </x:is>
      </x:c>
      <x:c r="F27" s="6" t="inlineStr">
        <x:is>
          <x:t xml:space="preserve">hashed_phone فقط برای نقش‌های مجاز؛ PII خام در هیچ لایه‌ای ذخیره نمی‌شود</x:t>
        </x:is>
      </x:c>
      <x:c r="G27" s="19" t="inlineStr">
        <x:is>
          <x:t xml:space="preserve">P1</x:t>
        </x:is>
      </x:c>
      <x:c r="H27" s="19" t="inlineStr">
        <x:is>
          <x:t xml:space="preserve">W3</x:t>
        </x:is>
      </x:c>
      <x:c r="I27" s="6" t="inlineStr">
        <x:is>
          <x:t xml:space="preserve">Security &amp; Governance</x:t>
        </x:is>
      </x:c>
      <x:c r="J27" s="6" t="inlineStr">
        <x:is>
          <x:t xml:space="preserve">FLD Customer</x:t>
        </x:is>
      </x:c>
      <x:c r="K27" s="30" t="str">
        <x:v>TST-26</x:v>
      </x:c>
      <x:c r="L27" s="30" t="str">
        <x:v>Not Run</x:v>
      </x:c>
      <x:c r="M27" s="30" t="str">
        <x:v>Staging</x:v>
      </x:c>
      <x:c r="N27" s="30" t="str">
        <x:v>High</x:v>
      </x:c>
      <x:c r="O27" s="30" t="str">
        <x:v>Open</x:v>
      </x:c>
      <x:c r="P27" s="30" t="str"/>
      <x:c r="Q27" s="34" t="b">
        <x:v>1</x:v>
      </x:c>
      <x:c r="R27" s="30" t="str"/>
    </x:row>
    <x:row r="28">
      <x:c r="A28" s="17" t="inlineStr">
        <x:is>
          <x:t xml:space="preserve">TST-27</x:t>
        </x:is>
      </x:c>
      <x:c r="B28" s="4" t="inlineStr">
        <x:is>
          <x:t xml:space="preserve">Token &amp; Access Expiry Monitoring</x:t>
        </x:is>
      </x:c>
      <x:c r="C28" s="4" t="inlineStr">
        <x:is>
          <x:t xml:space="preserve">پایش انقضای توکن‌ها</x:t>
        </x:is>
      </x:c>
      <x:c r="D28" s="4" t="inlineStr">
        <x:is>
          <x:t xml:space="preserve">All connectors</x:t>
        </x:is>
      </x:c>
      <x:c r="E28" s="4" t="inlineStr">
        <x:is>
          <x:t xml:space="preserve">۱) شبیه‌سازی انقضای توکن Meta/Google ۲) بررسی هشدار خودکار</x:t>
        </x:is>
      </x:c>
      <x:c r="F28" s="4" t="inlineStr">
        <x:is>
          <x:t xml:space="preserve">هشدار ۱۴ روز قبل از انقضا؛ قطعی کانکتور &lt;۲ ساعت قابل ردیابی است</x:t>
        </x:is>
      </x:c>
      <x:c r="G28" s="17" t="inlineStr">
        <x:is>
          <x:t xml:space="preserve">P2</x:t>
        </x:is>
      </x:c>
      <x:c r="H28" s="17" t="inlineStr">
        <x:is>
          <x:t xml:space="preserve">W3</x:t>
        </x:is>
      </x:c>
      <x:c r="I28" s="4" t="inlineStr">
        <x:is>
          <x:t xml:space="preserve">DevOps/Web Engineer</x:t>
        </x:is>
      </x:c>
      <x:c r="J28" s="4" t="inlineStr">
        <x:is>
          <x:t xml:space="preserve">SRC-01..13</x:t>
        </x:is>
      </x:c>
      <x:c r="K28" s="30" t="str">
        <x:v>TST-27</x:v>
      </x:c>
      <x:c r="L28" s="30" t="str">
        <x:v>Not Run</x:v>
      </x:c>
      <x:c r="M28" s="30" t="str">
        <x:v>Staging</x:v>
      </x:c>
      <x:c r="N28" s="30" t="str">
        <x:v>High</x:v>
      </x:c>
      <x:c r="O28" s="30" t="str">
        <x:v>Open</x:v>
      </x:c>
      <x:c r="P28" s="30" t="str"/>
      <x:c r="Q28" s="34" t="b">
        <x:v>1</x:v>
      </x:c>
      <x:c r="R28" s="30" t="str"/>
    </x:row>
    <x:row r="29">
      <x:c r="A29" s="19" t="inlineStr">
        <x:is>
          <x:t xml:space="preserve">TST-28</x:t>
        </x:is>
      </x:c>
      <x:c r="B29" s="6" t="inlineStr">
        <x:is>
          <x:t xml:space="preserve">WMS Auto-Stop Integration</x:t>
        </x:is>
      </x:c>
      <x:c r="C29" s="6" t="inlineStr">
        <x:is>
          <x:t xml:space="preserve">توقف خودکار تبلیغ ناموجودی</x:t>
        </x:is>
      </x:c>
      <x:c r="D29" s="6" t="inlineStr">
        <x:is>
          <x:t xml:space="preserve">TK-085, ALT-13</x:t>
        </x:is>
      </x:c>
      <x:c r="E29" s="6" t="inlineStr">
        <x:is>
          <x:t xml:space="preserve">۱) صفرکردن موجودی SKU تبلیغ‌شده در WMS ۲) زمان توقف ادست در گوگل</x:t>
        </x:is>
      </x:c>
      <x:c r="F29" s="6" t="inlineStr">
        <x:is>
          <x:t xml:space="preserve">ادست در &lt;۱۵ دقیقه متوقف می‌شود (Webhook→اسکریپت Ads API)</x:t>
        </x:is>
      </x:c>
      <x:c r="G29" s="19" t="inlineStr">
        <x:is>
          <x:t xml:space="preserve">P1</x:t>
        </x:is>
      </x:c>
      <x:c r="H29" s="19" t="inlineStr">
        <x:is>
          <x:t xml:space="preserve">W5</x:t>
        </x:is>
      </x:c>
      <x:c r="I29" s="6" t="inlineStr">
        <x:is>
          <x:t xml:space="preserve">Warehouse/Materials Manager</x:t>
        </x:is>
      </x:c>
      <x:c r="J29" s="6" t="inlineStr">
        <x:is>
          <x:t xml:space="preserve">ALT-13</x:t>
        </x:is>
      </x:c>
      <x:c r="K29" s="30" t="str">
        <x:v>TST-28</x:v>
      </x:c>
      <x:c r="L29" s="30" t="str">
        <x:v>Not Run</x:v>
      </x:c>
      <x:c r="M29" s="30" t="str">
        <x:v>Staging</x:v>
      </x:c>
      <x:c r="N29" s="30" t="str">
        <x:v>High</x:v>
      </x:c>
      <x:c r="O29" s="30" t="str">
        <x:v>Open</x:v>
      </x:c>
      <x:c r="P29" s="30" t="str"/>
      <x:c r="Q29" s="34" t="b">
        <x:v>1</x:v>
      </x:c>
      <x:c r="R29" s="30" t="str"/>
    </x:row>
    <x:row r="30">
      <x:c r="A30" s="17" t="inlineStr">
        <x:is>
          <x:t xml:space="preserve">TST-29</x:t>
        </x:is>
      </x:c>
      <x:c r="B30" s="4" t="inlineStr">
        <x:is>
          <x:t xml:space="preserve">Lead Response SLA Timer</x:t>
        </x:is>
      </x:c>
      <x:c r="C30" s="4" t="inlineStr">
        <x:is>
          <x:t xml:space="preserve">زمان‌سنج SLA پاسخ لید</x:t>
        </x:is>
      </x:c>
      <x:c r="D30" s="4" t="inlineStr">
        <x:is>
          <x:t xml:space="preserve">ALT-10</x:t>
        </x:is>
      </x:c>
      <x:c r="E30" s="4" t="inlineStr">
        <x:is>
          <x:t xml:space="preserve">۱) ورود لید جدید در ساعت کاری ۲) تأخیر پاسخ تا ۳۵ دقیقه</x:t>
        </x:is>
      </x:c>
      <x:c r="F30" s="4" t="inlineStr">
        <x:is>
          <x:t xml:space="preserve">هشدار ALT-10 شلیک و Escalation به سوپروایزر؛ SLA &lt;۳۰ دقیقه پایش می‌شود</x:t>
        </x:is>
      </x:c>
      <x:c r="G30" s="17" t="inlineStr">
        <x:is>
          <x:t xml:space="preserve">P1</x:t>
        </x:is>
      </x:c>
      <x:c r="H30" s="17" t="inlineStr">
        <x:is>
          <x:t xml:space="preserve">W5</x:t>
        </x:is>
      </x:c>
      <x:c r="I30" s="4" t="inlineStr">
        <x:is>
          <x:t xml:space="preserve">B2B Sales Director</x:t>
        </x:is>
      </x:c>
      <x:c r="J30" s="4" t="inlineStr">
        <x:is>
          <x:t xml:space="preserve">ALT-10</x:t>
        </x:is>
      </x:c>
      <x:c r="K30" s="30" t="str">
        <x:v>TST-29</x:v>
      </x:c>
      <x:c r="L30" s="30" t="str">
        <x:v>Not Run</x:v>
      </x:c>
      <x:c r="M30" s="30" t="str">
        <x:v>Staging</x:v>
      </x:c>
      <x:c r="N30" s="30" t="str">
        <x:v>High</x:v>
      </x:c>
      <x:c r="O30" s="30" t="str">
        <x:v>Open</x:v>
      </x:c>
      <x:c r="P30" s="30" t="str"/>
      <x:c r="Q30" s="34" t="b">
        <x:v>1</x:v>
      </x:c>
      <x:c r="R30" s="30" t="str"/>
    </x:row>
    <x:row r="31">
      <x:c r="A31" s="19" t="inlineStr">
        <x:is>
          <x:t xml:space="preserve">TST-30</x:t>
        </x:is>
      </x:c>
      <x:c r="B31" s="6" t="inlineStr">
        <x:is>
          <x:t xml:space="preserve">Currency &amp; Rounding Consistency</x:t>
        </x:is>
      </x:c>
      <x:c r="C31" s="6" t="inlineStr">
        <x:is>
          <x:t xml:space="preserve">یکدستی ارز و گردکردن</x:t>
        </x:is>
      </x:c>
      <x:c r="D31" s="6" t="inlineStr">
        <x:is>
          <x:t xml:space="preserve">Financial KPIs</x:t>
        </x:is>
      </x:c>
      <x:c r="E31" s="6" t="inlineStr">
        <x:is>
          <x:t xml:space="preserve">۱) بررسی همه مقادیر مالی در ۳ لایه (رویداد/دایمنشن/گزارش)</x:t>
        </x:is>
      </x:c>
      <x:c r="F31" s="6" t="inlineStr">
        <x:is>
          <x:t xml:space="preserve">IRR واحد سراسری؛ گردکردن فقط در لایه نمایش؛ جمع‌ها روی ارقام خام</x:t>
        </x:is>
      </x:c>
      <x:c r="G31" s="19" t="inlineStr">
        <x:is>
          <x:t xml:space="preserve">P2</x:t>
        </x:is>
      </x:c>
      <x:c r="H31" s="19" t="inlineStr">
        <x:is>
          <x:t xml:space="preserve">W4</x:t>
        </x:is>
      </x:c>
      <x:c r="I31" s="6" t="inlineStr">
        <x:is>
          <x:t xml:space="preserve">Finance Manager</x:t>
        </x:is>
      </x:c>
      <x:c r="J31" s="6" t="inlineStr">
        <x:is>
          <x:t xml:space="preserve">MET-19..27</x:t>
        </x:is>
      </x:c>
      <x:c r="K31" s="30" t="str">
        <x:v>TST-30</x:v>
      </x:c>
      <x:c r="L31" s="30" t="str">
        <x:v>Not Run</x:v>
      </x:c>
      <x:c r="M31" s="30" t="str">
        <x:v>Staging</x:v>
      </x:c>
      <x:c r="N31" s="30" t="str">
        <x:v>High</x:v>
      </x:c>
      <x:c r="O31" s="30" t="str">
        <x:v>Open</x:v>
      </x:c>
      <x:c r="P31" s="30" t="str"/>
      <x:c r="Q31" s="34" t="b">
        <x:v>1</x:v>
      </x:c>
      <x:c r="R31" s="30" t="str"/>
    </x:row>
    <x:row r="32">
      <x:c r="A32" s="17" t="inlineStr">
        <x:is>
          <x:t xml:space="preserve">TST-31</x:t>
        </x:is>
      </x:c>
      <x:c r="B32" s="4" t="inlineStr">
        <x:is>
          <x:t xml:space="preserve">Cross-Device / Pseudo-ID Matching</x:t>
        </x:is>
      </x:c>
      <x:c r="C32" s="4" t="inlineStr">
        <x:is>
          <x:t xml:space="preserve">پیوند سشن‌های چنددستگاهی</x:t>
        </x:is>
      </x:c>
      <x:c r="D32" s="4" t="inlineStr">
        <x:is>
          <x:t xml:space="preserve">KPI-32</x:t>
        </x:is>
      </x:c>
      <x:c r="E32" s="4" t="inlineStr">
        <x:is>
          <x:t xml:space="preserve">۱) مشاهده از موبایل → ورود از دسکتاپ با همان account ۲) بررسی پیوند مسیر</x:t>
        </x:is>
      </x:c>
      <x:c r="F32" s="4" t="inlineStr">
        <x:is>
          <x:t xml:space="preserve">مسیر کاربر به master_customer_id پیوند می‌شود؛ Time-to-Convert بدون شکاف</x:t>
        </x:is>
      </x:c>
      <x:c r="G32" s="17" t="inlineStr">
        <x:is>
          <x:t xml:space="preserve">P3</x:t>
        </x:is>
      </x:c>
      <x:c r="H32" s="17" t="inlineStr">
        <x:is>
          <x:t xml:space="preserve">W4</x:t>
        </x:is>
      </x:c>
      <x:c r="I32" s="4" t="inlineStr">
        <x:is>
          <x:t xml:space="preserve">Data Analyst</x:t>
        </x:is>
      </x:c>
      <x:c r="J32" s="4" t="inlineStr">
        <x:is>
          <x:t xml:space="preserve">KPI-32</x:t>
        </x:is>
      </x:c>
      <x:c r="K32" s="30" t="str">
        <x:v>TST-31</x:v>
      </x:c>
      <x:c r="L32" s="30" t="str">
        <x:v>Not Run</x:v>
      </x:c>
      <x:c r="M32" s="30" t="str">
        <x:v>Staging</x:v>
      </x:c>
      <x:c r="N32" s="30" t="str">
        <x:v>High</x:v>
      </x:c>
      <x:c r="O32" s="30" t="str">
        <x:v>Open</x:v>
      </x:c>
      <x:c r="P32" s="30" t="str"/>
      <x:c r="Q32" s="34" t="b">
        <x:v>1</x:v>
      </x:c>
      <x:c r="R32" s="30" t="str"/>
    </x:row>
    <x:row r="33">
      <x:c r="A33" s="19" t="inlineStr">
        <x:is>
          <x:t xml:space="preserve">TST-32</x:t>
        </x:is>
      </x:c>
      <x:c r="B33" s="6" t="inlineStr">
        <x:is>
          <x:t xml:space="preserve">Time Zone &amp; DST Handling</x:t>
        </x:is>
      </x:c>
      <x:c r="C33" s="6" t="inlineStr">
        <x:is>
          <x:t xml:space="preserve">منطقه زمانی</x:t>
        </x:is>
      </x:c>
      <x:c r="D33" s="6" t="inlineStr">
        <x:is>
          <x:t xml:space="preserve">All time fields</x:t>
        </x:is>
      </x:c>
      <x:c r="E33" s="6" t="inlineStr">
        <x:is>
          <x:t xml:space="preserve">۱) بررسی timestamp رویدادها در UTC و نمایش ایران (Asia/Tehran)</x:t>
        </x:is>
      </x:c>
      <x:c r="F33" s="6" t="inlineStr">
        <x:is>
          <x:t xml:space="preserve">epoch میلی‌ثانیه UTC در ذخیره‌سازی؛ نمایش +3:30 بدون خطای ساعت</x:t>
        </x:is>
      </x:c>
      <x:c r="G33" s="19" t="inlineStr">
        <x:is>
          <x:t xml:space="preserve">P3</x:t>
        </x:is>
      </x:c>
      <x:c r="H33" s="19" t="inlineStr">
        <x:is>
          <x:t xml:space="preserve">W3</x:t>
        </x:is>
      </x:c>
      <x:c r="I33" s="6" t="inlineStr">
        <x:is>
          <x:t xml:space="preserve">Senior Data Engineer</x:t>
        </x:is>
      </x:c>
      <x:c r="J33" s="6" t="inlineStr">
        <x:is>
          <x:t xml:space="preserve">FLD Event</x:t>
        </x:is>
      </x:c>
      <x:c r="K33" s="30" t="str">
        <x:v>TST-32</x:v>
      </x:c>
      <x:c r="L33" s="30" t="str">
        <x:v>Not Run</x:v>
      </x:c>
      <x:c r="M33" s="30" t="str">
        <x:v>Staging</x:v>
      </x:c>
      <x:c r="N33" s="30" t="str">
        <x:v>High</x:v>
      </x:c>
      <x:c r="O33" s="30" t="str">
        <x:v>Open</x:v>
      </x:c>
      <x:c r="P33" s="30" t="str"/>
      <x:c r="Q33" s="34" t="b">
        <x:v>1</x:v>
      </x:c>
      <x:c r="R33" s="30" t="str"/>
    </x:row>
    <x:row r="34">
      <x:c r="A34" s="17" t="inlineStr">
        <x:is>
          <x:t xml:space="preserve">TST-33</x:t>
        </x:is>
      </x:c>
      <x:c r="B34" s="4" t="inlineStr">
        <x:is>
          <x:t xml:space="preserve">SMS/Email Deliverability Check</x:t>
        </x:is>
      </x:c>
      <x:c r="C34" s="4" t="inlineStr">
        <x:is>
          <x:t xml:space="preserve">تحویل پیامک و ایمیل</x:t>
        </x:is>
      </x:c>
      <x:c r="D34" s="4" t="inlineStr">
        <x:is>
          <x:t xml:space="preserve">SRC-10</x:t>
        </x:is>
      </x:c>
      <x:c r="E34" s="4" t="inlineStr">
        <x:is>
          <x:t xml:space="preserve">۱) ارسال کمپین تست ۱۰۰ پیام ۲) بررسی نرخ تحویل و کلیک</x:t>
        </x:is>
      </x:c>
      <x:c r="F34" s="4" t="inlineStr">
        <x:is>
          <x:t xml:space="preserve">تحویل ۸۸-۹۵٪؛ کلیک با UTM اختصاصی در DWH</x:t>
        </x:is>
      </x:c>
      <x:c r="G34" s="17" t="inlineStr">
        <x:is>
          <x:t xml:space="preserve">P3</x:t>
        </x:is>
      </x:c>
      <x:c r="H34" s="17" t="inlineStr">
        <x:is>
          <x:t xml:space="preserve">W5</x:t>
        </x:is>
      </x:c>
      <x:c r="I34" s="4" t="inlineStr">
        <x:is>
          <x:t xml:space="preserve">CRM Manager</x:t>
        </x:is>
      </x:c>
      <x:c r="J34" s="4" t="inlineStr">
        <x:is>
          <x:t xml:space="preserve">REP-25,26</x:t>
        </x:is>
      </x:c>
      <x:c r="K34" s="30" t="str">
        <x:v>TST-33</x:v>
      </x:c>
      <x:c r="L34" s="30" t="str">
        <x:v>Not Run</x:v>
      </x:c>
      <x:c r="M34" s="30" t="str">
        <x:v>Staging</x:v>
      </x:c>
      <x:c r="N34" s="30" t="str">
        <x:v>High</x:v>
      </x:c>
      <x:c r="O34" s="30" t="str">
        <x:v>Open</x:v>
      </x:c>
      <x:c r="P34" s="30" t="str"/>
      <x:c r="Q34" s="34" t="b">
        <x:v>1</x:v>
      </x:c>
      <x:c r="R34" s="30" t="str"/>
    </x:row>
    <x:row r="35">
      <x:c r="A35" s="19" t="inlineStr">
        <x:is>
          <x:t xml:space="preserve">TST-34</x:t>
        </x:is>
      </x:c>
      <x:c r="B35" s="6" t="inlineStr">
        <x:is>
          <x:t xml:space="preserve">Medical Council API Fallback</x:t>
        </x:is>
      </x:c>
      <x:c r="C35" s="6" t="inlineStr">
        <x:is>
          <x:t xml:space="preserve">سناریوی خرابی استعلام نظام</x:t>
        </x:is>
      </x:c>
      <x:c r="D35" s="6" t="inlineStr">
        <x:is>
          <x:t xml:space="preserve">EVT-24</x:t>
        </x:is>
      </x:c>
      <x:c r="E35" s="6" t="inlineStr">
        <x:is>
          <x:t xml:space="preserve">۱) قطع‌سازی سرویس نظام برای تست ۲) بررسی صف بازگشت (Retry Queue)</x:t>
        </x:is>
      </x:c>
      <x:c r="F35" s="6" t="inlineStr">
        <x:is>
          <x:t xml:space="preserve">لیدها در صف نگهداری و پس از بازگشت سرویس استعلام می‌شوند؛ بدون از دست‌رفتن</x:t>
        </x:is>
      </x:c>
      <x:c r="G35" s="19" t="inlineStr">
        <x:is>
          <x:t xml:space="preserve">P2</x:t>
        </x:is>
      </x:c>
      <x:c r="H35" s="19" t="inlineStr">
        <x:is>
          <x:t xml:space="preserve">W2</x:t>
        </x:is>
      </x:c>
      <x:c r="I35" s="6" t="inlineStr">
        <x:is>
          <x:t xml:space="preserve">Security &amp; Governance</x:t>
        </x:is>
      </x:c>
      <x:c r="J35" s="6" t="inlineStr">
        <x:is>
          <x:t xml:space="preserve">EVT-24, SRC-13</x:t>
        </x:is>
      </x:c>
      <x:c r="K35" s="30" t="str">
        <x:v>TST-34</x:v>
      </x:c>
      <x:c r="L35" s="30" t="str">
        <x:v>Not Run</x:v>
      </x:c>
      <x:c r="M35" s="30" t="str">
        <x:v>Staging</x:v>
      </x:c>
      <x:c r="N35" s="30" t="str">
        <x:v>High</x:v>
      </x:c>
      <x:c r="O35" s="30" t="str">
        <x:v>Open</x:v>
      </x:c>
      <x:c r="P35" s="30" t="str"/>
      <x:c r="Q35" s="34" t="b">
        <x:v>1</x:v>
      </x:c>
      <x:c r="R35" s="30" t="str"/>
    </x:row>
    <x:row r="36">
      <x:c r="A36" s="17" t="inlineStr">
        <x:is>
          <x:t xml:space="preserve">TST-35</x:t>
        </x:is>
      </x:c>
      <x:c r="B36" s="4" t="inlineStr">
        <x:is>
          <x:t xml:space="preserve">Report Export &amp; SLA Delivery</x:t>
        </x:is>
      </x:c>
      <x:c r="C36" s="4" t="inlineStr">
        <x:is>
          <x:t xml:space="preserve">خروجی و تحویل به‌موقع گزارش‌ها</x:t>
        </x:is>
      </x:c>
      <x:c r="D36" s="4" t="inlineStr">
        <x:is>
          <x:t xml:space="preserve">10 reports</x:t>
        </x:is>
      </x:c>
      <x:c r="E36" s="4" t="inlineStr">
        <x:is>
          <x:t xml:space="preserve">۱) زمان‌سنج تولید خودکار ۱۰ گزارش اصلی ۲) بررسی فرمت خروجی PDF/Sheet</x:t>
        </x:is>
      </x:c>
      <x:c r="F36" s="4" t="inlineStr">
        <x:is>
          <x:t xml:space="preserve">گزارش‌ها قبل از ساعت SLA جلسه (CAD) آماده و ارسال می‌شوند</x:t>
        </x:is>
      </x:c>
      <x:c r="G36" s="17" t="inlineStr">
        <x:is>
          <x:t xml:space="preserve">P2</x:t>
        </x:is>
      </x:c>
      <x:c r="H36" s="17" t="inlineStr">
        <x:is>
          <x:t xml:space="preserve">W5</x:t>
        </x:is>
      </x:c>
      <x:c r="I36" s="4" t="inlineStr">
        <x:is>
          <x:t xml:space="preserve">BI Lead</x:t>
        </x:is>
      </x:c>
      <x:c r="J36" s="4" t="inlineStr">
        <x:is>
          <x:t xml:space="preserve">CAD-01..04</x:t>
        </x:is>
      </x:c>
      <x:c r="K36" s="30" t="str">
        <x:v>TST-35</x:v>
      </x:c>
      <x:c r="L36" s="30" t="str">
        <x:v>Not Run</x:v>
      </x:c>
      <x:c r="M36" s="30" t="str">
        <x:v>Staging</x:v>
      </x:c>
      <x:c r="N36" s="30" t="str">
        <x:v>High</x:v>
      </x:c>
      <x:c r="O36" s="30" t="str">
        <x:v>Open</x:v>
      </x:c>
      <x:c r="P36" s="30" t="str"/>
      <x:c r="Q36" s="34" t="b">
        <x:v>1</x:v>
      </x:c>
      <x:c r="R36" s="30" t="str"/>
    </x:row>
    <x:row r="37">
      <x:c r="A37" s="19" t="inlineStr">
        <x:is>
          <x:t xml:space="preserve">TST-36</x:t>
        </x:is>
      </x:c>
      <x:c r="B37" s="6" t="inlineStr">
        <x:is>
          <x:t xml:space="preserve">Model Backtest — CLV &amp; Churn</x:t>
        </x:is>
      </x:c>
      <x:c r="C37" s="6" t="inlineStr">
        <x:is>
          <x:t xml:space="preserve">بازتست مدل‌های پیش‌بینی</x:t>
        </x:is>
      </x:c>
      <x:c r="D37" s="6" t="inlineStr">
        <x:is>
          <x:t xml:space="preserve">MOD-03,04</x:t>
        </x:is>
      </x:c>
      <x:c r="E37" s="6" t="inlineStr">
        <x:is>
          <x:t xml:space="preserve">۱) اجرای مدل روی داده ۶ ماهه گذشته ۲) مقایسه پیش‌بینی با واقعی</x:t>
        </x:is>
      </x:c>
      <x:c r="F37" s="6" t="inlineStr">
        <x:is>
          <x:t xml:space="preserve">MAPE &lt;۱۵٪ برای CLV؛ AUC &gt;۰.۷۵ برای Churn؛ در غیر این صورت مدل به Production نمی‌رود</x:t>
        </x:is>
      </x:c>
      <x:c r="G37" s="19" t="inlineStr">
        <x:is>
          <x:t xml:space="preserve">P2</x:t>
        </x:is>
      </x:c>
      <x:c r="H37" s="19" t="inlineStr">
        <x:is>
          <x:t xml:space="preserve">W6</x:t>
        </x:is>
      </x:c>
      <x:c r="I37" s="6" t="inlineStr">
        <x:is>
          <x:t xml:space="preserve">Data Scientist</x:t>
        </x:is>
      </x:c>
      <x:c r="J37" s="6" t="inlineStr">
        <x:is>
          <x:t xml:space="preserve">MOD-03,04</x:t>
        </x:is>
      </x:c>
      <x:c r="K37" s="30" t="str">
        <x:v>TST-36</x:v>
      </x:c>
      <x:c r="L37" s="30" t="str">
        <x:v>Not Run</x:v>
      </x:c>
      <x:c r="M37" s="30" t="str">
        <x:v>Staging</x:v>
      </x:c>
      <x:c r="N37" s="30" t="str">
        <x:v>High</x:v>
      </x:c>
      <x:c r="O37" s="30" t="str">
        <x:v>Open</x:v>
      </x:c>
      <x:c r="P37" s="30" t="str"/>
      <x:c r="Q37" s="34" t="b">
        <x:v>1</x:v>
      </x:c>
      <x:c r="R37" s="30" t="str"/>
    </x:row>
    <x:row r="39" ht="30" customHeight="1">
      <x:c r="A39" s="5" t="inlineStr">
        <x:is>
          <x:t xml:space="preserve">Chk_ID</x:t>
        </x:is>
      </x:c>
      <x:c r="B39" s="5" t="inlineStr">
        <x:is>
          <x:t xml:space="preserve">Title</x:t>
        </x:is>
      </x:c>
      <x:c r="C39" s="5" t="inlineStr">
        <x:is>
          <x:t xml:space="preserve">Intro_FA</x:t>
        </x:is>
      </x:c>
      <x:c r="D39" s="5" t="inlineStr">
        <x:is>
          <x:t xml:space="preserve">Item_Count</x:t>
        </x:is>
      </x:c>
      <x:c r="E39" s="5" t="inlineStr">
        <x:is>
          <x:t xml:space="preserve">Items_FA</x:t>
        </x:is>
      </x:c>
      <x:c r="F39" s="5" t="inlineStr">
        <x:is>
          <x:t xml:space="preserve">Cadence/Owner</x:t>
        </x:is>
      </x:c>
    </x:row>
    <x:row r="40">
      <x:c r="A40" s="17" t="inlineStr">
        <x:is>
          <x:t xml:space="preserve">CHK-01</x:t>
        </x:is>
      </x:c>
      <x:c r="B40" s="4" t="inlineStr">
        <x:is>
          <x:t xml:space="preserve">ممیزی جامع پرفورمنس مارکتینگ تیتانا (Audit Checklist)</x:t>
        </x:is>
      </x:c>
      <x:c r="C40" s="4" t="inlineStr">
        <x:is>
          <x:t xml:space="preserve">این چک‌لیست به صورت ماهانه توسط مدیر ارشد بازاریابی (CMO) و لید پرفورمنس جهت ارزیابی کلان سلامت کانال‌ها اجرا می‌شود:</x:t>
        </x:is>
      </x:c>
      <x:c r="D40" s="17" t="n">
        <x:v>8</x:v>
      </x:c>
      <x:c r="E40" s="4" t="inlineStr">
        <x:is>
          <x:t xml:space="preserve">1) هم‌راستایی اهداف تجاری: آیا تارگت‌های درآمدی و حاشیه سود ماه جاری با بودجه کلان مالی هیئت‌مدیره هم‌خوانی دارد؟؛ 2) تحلیل نسبت LTV:CAC: آیا نسبت ارزش طول عمر دندان‌پزشک به هزینه جذب در کانال‌های اصلی بالاتر از نسبت طلایی ۳:۱ است؟؛ 3) پایش بازدهی کلان بازاریابی (MER): آیا نسبت کل درآمد ناخالص به کل هزینه‌های بازاریابی در محدوده ایمن مصوب قرار دارد؟؛ 4) سود به ازای هزینه تبلیغات (POAS): آیا کمپین‌های مقیاس‌گرفته دارای حاشیه سود مثبت ناخالص (POAS &gt; 1.2) هستند؟؛ 5) سهم نمایش در عبارات برند (Brand Impression Share): آیا سهم نمایش کلمه کلیدی «تیتانا» و عبارات انحصاری بالای ۹۰٪ حفظ شده است؟؛ 6) بررسی نرخ تکرار خرید (Repeat Purchase Rate): آیا نرخ خرید مجدد کلینیک‌ها در مسیر صعودی نسبت به کوهورت قبلی قرار دارد؟؛ 7) پایش سرعت پاسخ‌گویی به لیدها: آیا میانگین زمان اولین تماس کارشناسان فروش تجهیزات زیر ۳۰ دقیقه حفظ شده است؟؛ 8) ممیزی کانال‌های ضعیف: آیا کانال‌ها یا ادست‌هایی با بازدهی کمتر از حد آستانه شناسایی و جهت بازنگری متوقف شده‌اند؟</x:t>
        </x:is>
      </x:c>
      <x:c r="F40" s="4" t="inlineStr">
        <x:is>
          <x:t xml:space="preserve">این چک‌لیست به صورت ماهانه توسط مدیر ارشد بازاریابی (CMO) و لید پرفورمنس جهت ارز</x:t>
        </x:is>
      </x:c>
    </x:row>
    <x:row r="41">
      <x:c r="A41" s="19" t="inlineStr">
        <x:is>
          <x:t xml:space="preserve">CHK-02</x:t>
        </x:is>
      </x:c>
      <x:c r="B41" s="6" t="inlineStr">
        <x:is>
          <x:t xml:space="preserve">پیش از لانچ کمپین‌های تبلیغاتی پولی (Pre-Launch QA Checklist)</x:t>
        </x:is>
      </x:c>
      <x:c r="C41" s="6" t="inlineStr">
        <x:is>
          <x:t xml:space="preserve">این چک‌لیست الزامی قبل از فعال‌سازی هر کمپین جدید در گوگل ادز، متا، پیامک یا کمپین‌های همسان باید توسط کارشناس مدیا بایینگ تایید شود:</x:t>
        </x:is>
      </x:c>
      <x:c r="D41" s="19" t="n">
        <x:v>8</x:v>
      </x:c>
      <x:c r="E41" s="6" t="inlineStr">
        <x:is>
          <x:t xml:space="preserve">1) صحت تگ‌گذاری UTM: آیا پارامترهای `utm_source`، `utm_medium`، `utm_campaign` و `utm_content` دقیقاً طبق تاکسونومی استاندارد تیتانا درج شده‌اند؟؛ 2) بررسی سلامت لینک و صفحات فرود: آیا تمامی لینک‌ها پروتکل HTTPS دارند و صفحه فرود بدون ارور ۴۰۴ یا ریدایرکت‌های تو در تو باز می‌شود؟؛ 3) سرعت بارگذاری لندینگ‌پیج: آیا زمان لود صفحه فرود در شبکه اینترنت همراه ایران زیر ۳ ثانیه است؟؛ 4) تنظیم سقف بودجه روزانه و بازه زمانی: آیا سقف بودجه روزانه (Daily Budget Cap) در پنل ادز تنظیم شده و تاریخ پایان مشخص دارد؟؛ 5) محدودسازی جغرافیایی (Geo-Targeting): آیا موقعیت مکانی نمایش کمپین دقیقاً به شهرهای تحت پوشش خدمات پس از فروش و توزیع تیتانا محدود است؟؛ 6) بررسی لیست کلمات منفی (Negative Keywords): آیا کلمات منفی عمومی (دانلود، رایگان، استخدام، آموزش رایگان، مقاله، PDF) به کمپین سرچ متصل شده‌اند؟؛ 7) موجودی انبار کالای تبلیغاتی: آیا انبار WMS حداقل به اندازه ۱۰ روز تقاضای تخمینی، موجودی آماده تحویل برای این SKU دارد؟؛ 8) تنظیم رویداد هدف تبدیل (Conversion Goal): آیا ایونت هدف کمپین دقیقاً بر روی رویداد نهایی موردنظر (مانند Purchase یا Lead) تنظیم شده است؟</x:t>
        </x:is>
      </x:c>
      <x:c r="F41" s="6" t="inlineStr">
        <x:is>
          <x:t xml:space="preserve">این چک‌لیست الزامی قبل از فعال‌سازی هر کمپین جدید در گوگل ادز، متا، پیامک یا کمپ</x:t>
        </x:is>
      </x:c>
    </x:row>
    <x:row r="42">
      <x:c r="A42" s="17" t="inlineStr">
        <x:is>
          <x:t xml:space="preserve">CHK-03</x:t>
        </x:is>
      </x:c>
      <x:c r="B42" s="4" t="inlineStr">
        <x:is>
          <x:t xml:space="preserve">ممیزی و سلامت ردیابی فنی و ترکینگ CAPI (Tracking Health Checklist)</x:t>
        </x:is>
      </x:c>
      <x:c r="C42" s="4" t="inlineStr">
        <x:is>
          <x:t xml:space="preserve">این چک‌لیست توسط مهندس داده و زیرساخت ردیابی به صورت هفتگی جهت تایید صحت سیگنال‌ها کنترل می‌شود:</x:t>
        </x:is>
      </x:c>
      <x:c r="D42" s="17" t="n">
        <x:v>7</x:v>
      </x:c>
      <x:c r="E42" s="4" t="inlineStr">
        <x:is>
          <x:t xml:space="preserve">1) نمره تطابق رویدادهای سرور (Meta CAPI Match Quality): آیا امتیاز EMQ برای رویدادهای اصلی Purchase و Lead بالاتر از ۸.۰ از ۱۰ است؟؛ 2) صحت اجرای Deduplication: آیا `event_id` یکسان در کلاینت‌ساید و سرورساید برای هر رخداد شلیک می‌شود و هم‌پوشانی بدون کسر/اضافه است؟؛ 3) رمزنگاری سیگنال‌های پیشرفته (PII Hashing): آیا شماره همراه و ایمیل دندان‌پزشک قبل از ارسال به شبکه تبلیغات با فرمت SHA-256 هش می‌شوند؟؛ 4) پایداری کوکی First-Party: آیا کوکی‌های `_fbp` و `_fbc` در سرور با مدت اعتبار پایدار تنظیم شده‌اند؟؛ 5) سلامت کانتینر Server-Side GTM: آیا سرور واسط ترکینگ فاقد ارورهای ۵۰۲، ۵۰۴ یا گلوگاه در حافظه رم است؟؛ 6) تست رویدادهای چک‌اوت: آیا ایونت‌های `view_item`، `add_to_cart`، `begin_checkout` و `purchase` به درستی مقادیر ریالی و آرایه کالاها را پاس می‌دهند؟؛ 7) اعتبارسنجی لاگ‌های BigQuery: آیا رکوردهای خام رویدادهای امروز به صورت ساعتی در انبار داده بازاریابی اینجِست می‌شوند؟</x:t>
        </x:is>
      </x:c>
      <x:c r="F42" s="4" t="inlineStr">
        <x:is>
          <x:t xml:space="preserve">این چک‌لیست توسط مهندس داده و زیرساخت ردیابی به صورت هفتگی جهت تایید صحت سیگنال‌</x:t>
        </x:is>
      </x:c>
    </x:row>
    <x:row r="43">
      <x:c r="A43" s="19" t="inlineStr">
        <x:is>
          <x:t xml:space="preserve">CHK-04</x:t>
        </x:is>
      </x:c>
      <x:c r="B43" s="6" t="inlineStr">
        <x:is>
          <x:t xml:space="preserve">ارزیابی کیفی خلاقه‌ها و آگهی‌های بصری (Creative Asset Quality Checklist)</x:t>
        </x:is>
      </x:c>
      <x:c r="C43" s="6" t="inlineStr">
        <x:is>
          <x:t xml:space="preserve">این چک‌لیست توسط سرپرست تیم محتوا و طراح گرافیک قبل از آپلود هر آگهی ویدیویی یا تصویری تکمیل می‌شود:</x:t>
        </x:is>
      </x:c>
      <x:c r="D43" s="19" t="n">
        <x:v>7</x:v>
      </x:c>
      <x:c r="E43" s="6" t="inlineStr">
        <x:is>
          <x:t xml:space="preserve">1) بررسی هوک ۳ ثانیه اول (Hook Quality): آیا در ۳ ثانیه ابتدای ویدیو، ارزش پیشنهادی یا چالش دندان‌پزشک با ریتم بالا پرزنت شده است؟؛ 2) اعتبار علمی و اصطلاحات پزشکی: آیا نام ژنریک مواد، مشخصات فنی تجهیزات و گواهی‌نامه‌های CE/FDA کالا با دقت علمی درج شده است؟؛ 3) خوانایی متن و زیرنویس (Captions): آیا ویدیو دارای زیرنویس خوانا برای مشاهده بدون صدا در محیط شلوغ مطب است؟؛ 4) دکمه و پیام دعوت به اقدام (CTA): آیا فراخوان به اقدام (ثبت درخواست دمو، خرید آنلاین، دریافت پیش‌فاکتور) واضح و برجسته است؟؛ 5) انطباق با ابعاد استاندارد پلتفرم: آیا فایل‌ها در نسبت‌های استاندارد ۹:۱۶ (استوری و ریلز) و ۱:۱ (فید و بنر) آماده شده‌اند؟؛ 6) حفظ هویت بصری برند تیتانا: آیا لوگوتایپ تیتانا، پالت رنگی استاندارد و فونت‌های سازمانی رعایت شده‌اند؟؛ 7) فقدان ادعاهای گمراه‌کننده پزشکی: آیا از ادعاهای اغراق‌آمیز درمانی که مغایر با قوانین وزارت بهداشت و نظام پزشکی است پرهیز شده است؟</x:t>
        </x:is>
      </x:c>
      <x:c r="F43" s="6" t="inlineStr">
        <x:is>
          <x:t xml:space="preserve">این چک‌لیست توسط سرپرست تیم محتوا و طراح گرافیک قبل از آپلود هر آگهی ویدیویی یا </x:t>
        </x:is>
      </x:c>
    </x:row>
    <x:row r="44">
      <x:c r="A44" s="17" t="inlineStr">
        <x:is>
          <x:t xml:space="preserve">CHK-05</x:t>
        </x:is>
      </x:c>
      <x:c r="B44" s="4" t="inlineStr">
        <x:is>
          <x:t xml:space="preserve">صلاحیت‌سنجی و پایپ‌لاین فروش B2B (Lead Qualification Checklist)</x:t>
        </x:is>
      </x:c>
      <x:c r="C44" s="4" t="inlineStr">
        <x:is>
          <x:t xml:space="preserve">این چک‌لیست فرآیند تحویل سرنخ بازاریابی (MQL) به واحد فروش تجهیزات دندان‌پزشکی (SQL) را استانداردسازی می‌کند:</x:t>
        </x:is>
      </x:c>
      <x:c r="D44" s="17" t="n">
        <x:v>7</x:v>
      </x:c>
      <x:c r="E44" s="4" t="inlineStr">
        <x:is>
          <x:t xml:space="preserve">1) احراز هویت صنفی (Medical Verification): آیا شماره نظام پزشکی معتبر یا پروانه مطب استعلام و ثبت شده است؟؛ 2) برآورد پتانسیل تجهیزاتی (Equipment Needs): آیا نیاز مطب مشخص شده است (خرید یونیت، نوسازی وسایل اندو، متریال مصرفی)؟؛ 3) توان مالی و بودجه کلینیک: آیا بازه بودجه تخمینی کلینیک با لیست قیمت دستگاه‌های انتخابی هم‌خوانی دارد؟؛ 4) تعیین مرجع تصمیم‌گیری: آیا مخاطب شخص دندان‌پزشک، موسس کلینیک یا مدیر بازرگانی بیمارستان است؟؛ 5) ثبت اولین تماس در SLA: آیا تماس اولیه در کمتر از ۳۰ دقیقه کاری برقرار و تاریخچه مذاکره در CRM ثبت شده است؟؛ 6) تعیین گام بعدی معامله: آیا تاریخ جلسه دمو حضوری شوروم یا ارسال پیش‌فاکتور رسمی نهایی شده است؟؛ 7) ثبت علت در صورت رد لید: در صورت عدم صلاحیت، آیا علت استاندارد (دانشجو، رقیب، فاقد بودجه، شماره نامعتبر) در CRM انتخاب شده است؟</x:t>
        </x:is>
      </x:c>
      <x:c r="F44" s="4" t="inlineStr">
        <x:is>
          <x:t xml:space="preserve">این چک‌لیست فرآیند تحویل سرنخ بازاریابی (MQL) به واحد فروش تجهیزات دندان‌پزشکی (</x:t>
        </x:is>
      </x:c>
    </x:row>
    <x:row r="45">
      <x:c r="A45" s="19" t="inlineStr">
        <x:is>
          <x:t xml:space="preserve">CHK-06</x:t>
        </x:is>
      </x:c>
      <x:c r="B45" s="6" t="inlineStr">
        <x:is>
          <x:t xml:space="preserve">بهینه‌سازی و سئوی صفحات فرود تجهیزات (Landing Page CRO Checklist)</x:t>
        </x:is>
      </x:c>
      <x:c r="C45" s="6" t="inlineStr">
        <x:is>
          <x:t xml:space="preserve">این چک‌لیست توسط تیم محصول و متخصص بهینه‌سازی نرخ تبدیل برای هر لندینگ کمپین تکمیل می‌شود:</x:t>
        </x:is>
      </x:c>
      <x:c r="D45" s="19" t="n">
        <x:v>7</x:v>
      </x:c>
      <x:c r="E45" s="6" t="inlineStr">
        <x:is>
          <x:t xml:space="preserve">1) تطابق پیام لندینگ با آگهی (Message Match): آیا عنوان اصلی بالای لندینگ دقیقاً پاسخی به وعده داده‌شده در آگهی تبلیغاتی است؟؛ 2) جدول مقایسه مشخصات فنی کالا: آیا مشخصات فنی، برند موتور، توان مصرفی و گارانتی تجهیزات در قالب جدول مقایسه‌ای شفاف درج شده است؟؛ 3) نمادهای اعتمادساز صنفی: آیا لوگوی اصالت تجهیزات، نشان استاندارد سازمان غذا و دارو و تصاویر شوروم تیتانا قابل مشاهده است؟؛ 4) سادگی فرم ثبت‌نام: آیا فرم اولیه درخواست فقط شامل ۳ فیلد ضروری (نام، شماره نظام پزشکی، شماره تماس) است؟؛ 5) ریسپانسیو بودن کامل در موبایل: آیا تمامی دکمه‌ها و فرم‌ها روی دستگاه‌های موبایل پزشکان به راحتی قابل لمس و تکمیل هستند؟؛ 6) سرعت زیرساخت و CDN: آیا تصاویر فشرده در فرمت WebP بوده و اسکریپت‌های تحلیلی به صورت ناهمگام (Async) لود می‌شوند؟؛ 7) فعال بودن ابزارهای ضبط رفتار (Heatmaps): آیا اسکریپت هیت‌مپ جهت بررسی رفتار اسکرول و کلیک کاربران فعال است؟</x:t>
        </x:is>
      </x:c>
      <x:c r="F45" s="6" t="inlineStr">
        <x:is>
          <x:t xml:space="preserve">این چک‌لیست توسط تیم محصول و متخصص بهینه‌سازی نرخ تبدیل برای هر لندینگ کمپین تکم</x:t>
        </x:is>
      </x:c>
    </x:row>
    <x:row r="46">
      <x:c r="A46" s="17" t="inlineStr">
        <x:is>
          <x:t xml:space="preserve">CHK-07</x:t>
        </x:is>
      </x:c>
      <x:c r="B46" s="4" t="inlineStr">
        <x:is>
          <x:t xml:space="preserve">استقرار و پذیرش داشبوردها (Dashboard Deployment &amp; UAT Checklist)</x:t>
        </x:is>
      </x:c>
      <x:c r="C46" s="4" t="inlineStr">
        <x:is>
          <x:t xml:space="preserve">این چک‌لیست پیش از انتشار رسمی داشبوردهای سه‌گانه به ذینفعان سازمانی توسط تیم BI اجرا می‌گردد:</x:t>
        </x:is>
      </x:c>
      <x:c r="D46" s="17" t="n">
        <x:v>6</x:v>
      </x:c>
      <x:c r="E46" s="4" t="inlineStr">
        <x:is>
          <x:t xml:space="preserve">1) صحت آماری اعداد در برابر دیتابیس مالی: آیا مجموع درآمد و سود نمایش‌داده‌شده در داشبورد با گزارش نهایی حسابداری مغایرت صفر دارد؟؛ 2) آزمون فیلترهای سلسله‌مراتبی: آیا تغییر فیلتر تاریخ، رده محصول و شهر، اعداد تمامی ویجت‌ها را به درستی و بدون ارور به‌روزرسانی می‌کند؟؛ 3) تنظیم سطوح دسترسی (Role-Based Access): آیا مدیرعامل به داشبورد استراتژیک و کارشناسان صرفاً به داشبورد عملیاتی دسترسی دارند؟؛ 4) تست لودینگ داشبورد: آیا کل داشبورد در زمان کمتر از ۴ ثانیه رندر شده و کوئری‌های پرمصرف بهینه‌سازی شده‌اند؟؛ 5) تعریف راهنمای Tooltip شاخص‌ها: آیا در کنار تمامی علائم اختصاری (مانند MER, POAS, CLV) توضیحات تعریفی درج شده است؟؛ 6) پذیرش نهایی کاربر (Sign-Off): آیا تاییدیه رسمی مدیر ارشد مربوطه برای استفاده از داشبورد دریافت شده است؟</x:t>
        </x:is>
      </x:c>
      <x:c r="F46" s="4" t="inlineStr">
        <x:is>
          <x:t xml:space="preserve">این چک‌لیست پیش از انتشار رسمی داشبوردهای سه‌گانه به ذینفعان سازمانی توسط تیم BI</x:t>
        </x:is>
      </x:c>
    </x:row>
    <x:row r="47">
      <x:c r="A47" s="19" t="inlineStr">
        <x:is>
          <x:t xml:space="preserve">CHK-08</x:t>
        </x:is>
      </x:c>
      <x:c r="B47" s="6" t="inlineStr">
        <x:is>
          <x:t xml:space="preserve">امنیت داده و حاکمیت اطلاعات محرمانه (Data Governance &amp; Privacy Checklist)</x:t>
        </x:is>
      </x:c>
      <x:c r="C47" s="6" t="inlineStr">
        <x:is>
          <x:t xml:space="preserve">این چک‌لیست توسط مدیر امنیت اطلاعات و مهندس حاکمیت داده جهت اطمینان از الزامات محرمانگی پزشکی بازبینی می‌شود:</x:t>
        </x:is>
      </x:c>
      <x:c r="D47" s="19" t="n">
        <x:v>5</x:v>
      </x:c>
      <x:c r="E47" s="6" t="inlineStr">
        <x:is>
          <x:t xml:space="preserve">1) جداسازی محیط‌های دیتابیس: آیا محیط توسعه و استیجینگ از داده‌های مشتریان واقعی ایزوله بوده و داده‌ها ماسک شده‌اند؟؛ 2) رمزنگاری داده‌های حساس: آیا شماره تلفن‌ها، آدرس مطب‌ها و اطلاعات بانکی در حالت سکون (At Rest) و در انتقال (In Transit) رمزنگاری شده‌اند؟؛ 3) ممیزی لاگ‌های دسترسی به داده‌ها: آیا گزارش افرادی که به جدول مشتریان و فاکتورها کوئری زده‌اند به صورت روزانه ثبت می‌شود؟؛ 4) مدیریت انقضای توکن‌های دسترسی: آیا توکن‌های API پلتفرم‌های خارجی دارای تاریخ انقضای محدود بوده و در Secret Manager نگهداری می‌شوند؟؛ 5) رعایت اصول بهداشت داده (Data Contracts): آیا فیلدهای ورودی طبق سند نیازمندی‌های داده ۱۲۷ فیلدی ارزیابی می‌شوند؟</x:t>
        </x:is>
      </x:c>
      <x:c r="F47" s="6" t="inlineStr">
        <x:is>
          <x:t xml:space="preserve">این چک‌لیست توسط مدیر امنیت اطلاعات و مهندس حاکمیت داده جهت اطمینان از الزامات م</x:t>
        </x:is>
      </x:c>
    </x:row>
    <x:row r="48">
      <x:c r="A48" s="17" t="inlineStr">
        <x:is>
          <x:t xml:space="preserve">CHK-09</x:t>
        </x:is>
      </x:c>
      <x:c r="B48" s="4" t="inlineStr">
        <x:is>
          <x:t xml:space="preserve">بازنگری و بهینه‌سازی بودجه فصلی (Quarterly Budget Allocation Checklist)</x:t>
        </x:is>
      </x:c>
      <x:c r="C48" s="4" t="inlineStr">
        <x:is>
          <x:t xml:space="preserve">این چک‌لیست در پایان هر فصل توسط مدیرعامل، مدیر مالی و CMO جهت تنظیم بودجه فصل آینده تکمیل می‌گردد:</x:t>
        </x:is>
      </x:c>
      <x:c r="D48" s="17" t="n">
        <x:v>5</x:v>
      </x:c>
      <x:c r="E48" s="4" t="inlineStr">
        <x:is>
          <x:t xml:space="preserve">1) بررسی خروجی مدل آمیخته بازاریابی (MMM): آیا اثر تاخیری و بازده نهایی سرمایه‌گذاری (mROAS) هر کانال در بودجه‌ریزی لحاظ شده است؟؛ 2) تراز سود سهمی (Contribution Margin): آیا سودآوری نهایی حاصل از کانال‌های پولی، هزینه‌های سربار و لجستیک را جبران کرده است؟؛ 3) پیش‌بینی روندهای فصلی و تقویمی: آیا بودجه‌ریزی بر اساس ماه‌های اوج تقاضای کلینیک‌ها (اسفندماه و فصل بازگشایی مطب‌ها) تعدیل شده است؟؛ 4) تخصیص سهم بودجه برای آزمایش و نوآوری (70-20-10 Rule): آیا ۱۰٪ از بودجه به تست کانال‌ها و کریتیوهای کاملاً تجربی اختصاص یافته است؟؛ 5) تصویب مصوبه رسمی تخصیص بودجه: آیا امضای مدیرعامل و تاییدیه تخصیص منابع ارزی/ریالی مالی اخذ گردیده است؟</x:t>
        </x:is>
      </x:c>
      <x:c r="F48" s="4" t="inlineStr">
        <x:is>
          <x:t xml:space="preserve">این چک‌لیست در پایان هر فصل توسط مدیرعامل، مدیر مالی و CMO جهت تنظیم بودجه فصل آ</x:t>
        </x:is>
      </x:c>
    </x:row>
    <x:row r="49">
      <x:c r="A49" s="19" t="inlineStr">
        <x:is>
          <x:t xml:space="preserve">CHK-10</x:t>
        </x:is>
      </x:c>
      <x:c r="B49" s="6" t="inlineStr">
        <x:is>
          <x:t xml:space="preserve">آمادگی برای کنگره‌های بزرگ دندان‌پزشکی (Major Dental Congress Readiness Checklist)</x:t>
        </x:is>
      </x:c>
      <x:c r="C49" s="6" t="inlineStr">
        <x:is>
          <x:t xml:space="preserve">این چک‌لیست جهت یکپارچه‌سازی پرفورمنس مارکتینگ آنلاین با حضور فیزیکی در کنگره‌هایی نظیر اکسیدا (EXIDA) اجرا می‌شود:</x:t>
        </x:is>
      </x:c>
      <x:c r="D49" s="19" t="n">
        <x:v>6</x:v>
      </x:c>
      <x:c r="E49" s="6" t="inlineStr">
        <x:is>
          <x:t xml:space="preserve">1) تولید کدهای QR رهگیری اختصاصی برای هر استند: آیا کدهای QR غرفه با پارامترهای دقیق UTM برای دانلود کاتالوگ آماده شده‌اند؟؛ 2) کمپین‌های ریتارگتینگ منطقه‌ای (Geo-Fencing Ads): آیا ادز مبتنی بر موقعیت مکانی حول محل نمایشگاه بین‌المللی فعال شده است؟؛ 3) کوپن‌های اختصاصی تخفیف کنگره: آیا کدهای کوپن اختصاصی برای پزشکان ثبت‌نام‌کننده در همایش در وب‌سایت فعال و تست شده‌اند؟؛ 4) آمادگی سرورها برای جهش ترافیک: آیا ظرفیت هاستینگ و پایگاه داده برای پاسخ‌گویی به هجوم همزمان ترافیک کلینیک‌ها افزایش یافته است؟؛ 5) هماهنگی آنلاین پایپ‌لاین فروش غرفه با CRM: آیا تبلت‌های پرسنل غرفه مستقیماً لیدهای ثبت‌شده را به پایپ‌لاین فروش تیتانا منتقل می‌کنند؟؛ 6) برنامه پیگیری فوری پس از نمایشگاه: آیا جریان پیامکی و ایمیلی اختصاصی برای قدردانی از بازدیدکنندگان ظرف ۲۴ ساعت پس از پایان رویداد تدوین شده است؟</x:t>
        </x:is>
      </x:c>
      <x:c r="F49" s="6" t="inlineStr">
        <x:is>
          <x:t xml:space="preserve">این چک‌لیست جهت یکپارچه‌سازی پرفورمنس مارکتینگ آنلاین با حضور فیزیکی در کنگره‌ها</x:t>
        </x:is>
      </x:c>
    </x:row>
  </x:sheetData>
  <x:conditionalFormatting sqref="G2:G37">
    <x:cfRule type="expression" dxfId="0" priority="1">
      <x:formula>ISNUMBER(SEARCH("P1",G2))</x:formula>
    </x:cfRule>
    <x:cfRule type="expression" dxfId="1" priority="2">
      <x:formula>ISNUMBER(SEARCH("P2",G2))</x:formula>
    </x:cfRule>
    <x:cfRule type="expression" dxfId="2" priority="3">
      <x:formula>ISNUMBER(SEARCH("P3",G2))</x:formula>
    </x:cfRule>
  </x:conditionalFormatting>
  <x:dataValidations count="2">
    <x:dataValidation type="list" allowBlank="1" showDropDown="0" showInputMessage="0" showErrorMessage="1" errorTitle="مقدار نامعتبر" error="مقدار از لیست مجاز انتخاب شود" promptTitle="فهرست" prompt="از فهرست کشویی انتخاب کنید" sqref="H2:H37">
      <x:formula1>=_LISTS!$A$2:$A$8</x:formula1>
    </x:dataValidation>
    <x:dataValidation type="list" sqref="O2:O37">
      <x:formula1>"Proposed,Ready,In Progress,Implemented,Tested,Blocked"</x:formula1>
    </x:dataValidation>
  </x:dataValidations>
  <x:pageMargins left="0.7" right="0.7" top="0.75" bottom="0.75" header="0.3" footer="0.3"/>
  <x:tableParts count="3">
    <x:tablePart xmlns:r="http://schemas.openxmlformats.org/officeDocument/2006/relationships" r:id="R80bd7164e70140e4"/>
    <x:tablePart xmlns:r="http://schemas.openxmlformats.org/officeDocument/2006/relationships" r:id="Rf8622bff89b046f2"/>
    <x:tablePart xmlns:r="http://schemas.openxmlformats.org/officeDocument/2006/relationships" r:id="Rb4b9e325c0c24cde"/>
  </x:tableParts>
</x:worksheet>
</file>

<file path=xl/worksheets/sheet19.xml><?xml version="1.0" encoding="utf-8"?>
<x:worksheet xmlns:x="http://schemas.openxmlformats.org/spreadsheetml/2006/main">
  <x:sheetPr>
    <x:tabColor rgb="FF1F4E78"/>
  </x:sheetPr>
  <x:sheetViews>
    <x:sheetView workbookViewId="0">
      <x:pane ySplit="1" topLeftCell="A2" activePane="bottomLeft" state="frozen"/>
    </x:sheetView>
  </x:sheetViews>
  <x:sheetFormatPr baseColWidth="8" defaultRowHeight="15"/>
  <x:cols>
    <x:col min="1" max="1" width="9" customWidth="1"/>
    <x:col min="2" max="2" width="20" customWidth="1"/>
    <x:col min="3" max="3" width="52" customWidth="1"/>
    <x:col min="4" max="4" width="34" customWidth="1"/>
    <x:col min="5" max="5" width="36" customWidth="1"/>
    <x:col min="6" max="6" width="44" customWidth="1"/>
    <x:col min="7" max="7" width="20" customWidth="1"/>
    <x:col min="8" max="8" width="7" customWidth="1"/>
    <x:col min="9" max="9" width="10" customWidth="1"/>
    <x:col min="10" max="10" width="18" hidden="0" customWidth="1"/>
    <x:col min="11" max="11" width="18" hidden="0" customWidth="1"/>
    <x:col min="12" max="12" width="18" hidden="0" customWidth="1"/>
  </x:cols>
  <x:sheetData>
    <x:row r="1" ht="30" customHeight="1">
      <x:c r="A1" s="5" t="inlineStr">
        <x:is>
          <x:t xml:space="preserve">Gap_ID</x:t>
        </x:is>
      </x:c>
      <x:c r="B1" s="5" t="inlineStr">
        <x:is>
          <x:t xml:space="preserve">Area</x:t>
        </x:is>
      </x:c>
      <x:c r="C1" s="5" t="inlineStr">
        <x:is>
          <x:t xml:space="preserve">Description_FA</x:t>
        </x:is>
      </x:c>
      <x:c r="D1" s="5" t="inlineStr">
        <x:is>
          <x:t xml:space="preserve">Evidence_Source</x:t>
        </x:is>
      </x:c>
      <x:c r="E1" s="5" t="inlineStr">
        <x:is>
          <x:t xml:space="preserve">Impact_FA</x:t>
        </x:is>
      </x:c>
      <x:c r="F1" s="5" t="inlineStr">
        <x:is>
          <x:t xml:space="preserve">Remediation_FA</x:t>
        </x:is>
      </x:c>
      <x:c r="G1" s="5" t="inlineStr">
        <x:is>
          <x:t xml:space="preserve">Owner</x:t>
        </x:is>
      </x:c>
      <x:c r="H1" s="5" t="inlineStr">
        <x:is>
          <x:t xml:space="preserve">Wave</x:t>
        </x:is>
      </x:c>
      <x:c r="I1" s="5" t="inlineStr">
        <x:is>
          <x:t xml:space="preserve">Status</x:t>
        </x:is>
      </x:c>
      <x:c r="J1" s="27" t="str">
        <x:v>Gap_ID_Link</x:v>
      </x:c>
      <x:c r="K1" s="27" t="str">
        <x:v>Root_Cause</x:v>
      </x:c>
      <x:c r="L1" s="27" t="str">
        <x:v>Evidence_Required</x:v>
      </x:c>
    </x:row>
    <x:row r="2">
      <x:c r="A2" s="17" t="inlineStr">
        <x:is>
          <x:t xml:space="preserve">GAP-01</x:t>
        </x:is>
      </x:c>
      <x:c r="B2" s="4" t="inlineStr">
        <x:is>
          <x:t xml:space="preserve">شکاف معماری داده</x:t>
        </x:is>
      </x:c>
      <x:c r="C2" s="4" t="inlineStr">
        <x:is>
          <x:t xml:space="preserve">شکاف اتصال فروش آفلاین کنگره‌ها و نمایشگاه‌ها به داده‌های دیجیتال — سفارش‌های منعقدشده در نمایشگاه بین‌المللی تجهیزات دندان‌پزشکی (اکسیدا) به صورت دستی در فاکتورهای سنتی ثبت شده و به تاچ‌پوینت‌های تبلیغاتی دیجیتال متصل نمی‌شدند.</x:t>
        </x:is>
      </x:c>
      <x:c r="D2" s="4" t="inlineStr">
        <x:is>
          <x:t xml:space="preserve">سند ۱۲ بخش ۳</x:t>
        </x:is>
      </x:c>
      <x:c r="E2" s="4" t="inlineStr">
        <x:is>
          <x:t xml:space="preserve">عدم اتصال آفلاین/آنلاین یا ریسک حریم خصوصی</x:t>
        </x:is>
      </x:c>
      <x:c r="F2" s="4" t="inlineStr">
        <x:is>
          <x:t xml:space="preserve">استقرار کدهای QR رهگیری اختصاصی در غرفه، فرم‌های تبلت متصل به CRM با فیلد `registration_source='EXIDA_2026'`، و الصاق شناسه `master_customer_id` در زمان صدور پیش‌فاکتور غرفه.</x:t>
        </x:is>
      </x:c>
      <x:c r="G2" s="4" t="inlineStr">
        <x:is>
          <x:t xml:space="preserve">Senior Data Engineer</x:t>
        </x:is>
      </x:c>
      <x:c r="H2" s="17" t="inlineStr">
        <x:is>
          <x:t xml:space="preserve">W3</x:t>
        </x:is>
      </x:c>
      <x:c r="I2" s="17" t="inlineStr">
        <x:is>
          <x:t xml:space="preserve">Proposed</x:t>
        </x:is>
      </x:c>
      <x:c r="J2" s="30" t="str">
        <x:v>GAP-01</x:v>
      </x:c>
      <x:c r="K2" s="30" t="str">
        <x:v>نیازمند تکمیل و تأیید مالک</x:v>
      </x:c>
      <x:c r="L2" s="30" t="str">
        <x:v>Yes</x:v>
      </x:c>
    </x:row>
    <x:row r="3">
      <x:c r="A3" s="19" t="inlineStr">
        <x:is>
          <x:t xml:space="preserve">GAP-02</x:t>
        </x:is>
      </x:c>
      <x:c r="B3" s="6" t="inlineStr">
        <x:is>
          <x:t xml:space="preserve">شکاف معماری داده</x:t>
        </x:is>
      </x:c>
      <x:c r="C3" s="6" t="inlineStr">
        <x:is>
          <x:t xml:space="preserve">شکاف ترکینگ تماس‌های تلفنی و مشاوره فنی تجهیزات (VoIP Integration) — درصد بالایی از دندان‌پزشکان پس از دیدن آگهی مستقیماً با تلفن شرکت تماس گرفته و این خریدها در سیستم‌های ادز به عنوان تبدیل ثبت نمی‌شدند.</x:t>
        </x:is>
      </x:c>
      <x:c r="D3" s="6" t="inlineStr">
        <x:is>
          <x:t xml:space="preserve">سند ۱۲ بخش ۳</x:t>
        </x:is>
      </x:c>
      <x:c r="E3" s="6" t="inlineStr">
        <x:is>
          <x:t xml:space="preserve">عدم اتصال آفلاین/آنلاین یا ریسک حریم خصوصی</x:t>
        </x:is>
      </x:c>
      <x:c r="F3" s="6" t="inlineStr">
        <x:is>
          <x:t xml:space="preserve">استقرار فناوری Dynamic Number Insertion (DNI) در وب‌سایت تیتانا، اتصال سانترال VoIP به انبار داده، و شلیک خودکار رویداد آفلاین `Offline_Purchase` به Meta CAPI و Google EC از طریق وب‌هوک CRM.</x:t>
        </x:is>
      </x:c>
      <x:c r="G3" s="6" t="inlineStr">
        <x:is>
          <x:t xml:space="preserve">Senior Data Engineer</x:t>
        </x:is>
      </x:c>
      <x:c r="H3" s="19" t="inlineStr">
        <x:is>
          <x:t xml:space="preserve">W3</x:t>
        </x:is>
      </x:c>
      <x:c r="I3" s="19" t="inlineStr">
        <x:is>
          <x:t xml:space="preserve">Proposed</x:t>
        </x:is>
      </x:c>
      <x:c r="J3" s="30" t="str">
        <x:v>GAP-02</x:v>
      </x:c>
      <x:c r="K3" s="30" t="str">
        <x:v>نیازمند تکمیل و تأیید مالک</x:v>
      </x:c>
      <x:c r="L3" s="30" t="str">
        <x:v>Yes</x:v>
      </x:c>
    </x:row>
    <x:row r="4">
      <x:c r="A4" s="17" t="inlineStr">
        <x:is>
          <x:t xml:space="preserve">GAP-03</x:t>
        </x:is>
      </x:c>
      <x:c r="B4" s="4" t="inlineStr">
        <x:is>
          <x:t xml:space="preserve">شکاف معماری داده</x:t>
        </x:is>
      </x:c>
      <x:c r="C4" s="4" t="inlineStr">
        <x:is>
          <x:t xml:space="preserve">شکاف تاخیر در همگام‌سازی موجودی انبار WMS با ادز — کالاهای ناموجود انبار تا چندین ساعت در گوگل ادز تبلیغ شده و باعث هدررفت بودجه و نارضایتی پزشکان می‌شد.</x:t>
        </x:is>
      </x:c>
      <x:c r="D4" s="4" t="inlineStr">
        <x:is>
          <x:t xml:space="preserve">سند ۱۲ بخش ۳</x:t>
        </x:is>
      </x:c>
      <x:c r="E4" s="4" t="inlineStr">
        <x:is>
          <x:t xml:space="preserve">عدم اتصال آفلاین/آنلاین یا ریسک حریم خصوصی</x:t>
        </x:is>
      </x:c>
      <x:c r="F4" s="4" t="inlineStr">
        <x:is>
          <x:t xml:space="preserve">راه‌اندازی وب‌هوک بلادرنگ WMS به اسکریپت اختصاصی گوگل ادز جهت توقف آنی ادست‌ها به محض صفر شدن موجودی (پروژه P-15).</x:t>
        </x:is>
      </x:c>
      <x:c r="G4" s="4" t="inlineStr">
        <x:is>
          <x:t xml:space="preserve">Senior Data Engineer</x:t>
        </x:is>
      </x:c>
      <x:c r="H4" s="17" t="inlineStr">
        <x:is>
          <x:t xml:space="preserve">W3</x:t>
        </x:is>
      </x:c>
      <x:c r="I4" s="17" t="inlineStr">
        <x:is>
          <x:t xml:space="preserve">Proposed</x:t>
        </x:is>
      </x:c>
      <x:c r="J4" s="30" t="str">
        <x:v>GAP-03</x:v>
      </x:c>
      <x:c r="K4" s="30" t="str">
        <x:v>نیازمند تکمیل و تأیید مالک</x:v>
      </x:c>
      <x:c r="L4" s="30" t="str">
        <x:v>Yes</x:v>
      </x:c>
    </x:row>
    <x:row r="5">
      <x:c r="A5" s="19" t="inlineStr">
        <x:is>
          <x:t xml:space="preserve">GAP-04</x:t>
        </x:is>
      </x:c>
      <x:c r="B5" s="6" t="inlineStr">
        <x:is>
          <x:t xml:space="preserve">شکاف معماری داده</x:t>
        </x:is>
      </x:c>
      <x:c r="C5" s="6" t="inlineStr">
        <x:is>
          <x:t xml:space="preserve">شکاف محرمانگی داده‌ها و تطابق هویت (Identity Resolution &amp; Hashing) — ارسال شماره تلفن‌های خام کاربران در برخی تگ‌ها ریسک نقض حریم شخصی داشت.</x:t>
        </x:is>
      </x:c>
      <x:c r="D5" s="6" t="inlineStr">
        <x:is>
          <x:t xml:space="preserve">سند ۱۲ بخش ۳</x:t>
        </x:is>
      </x:c>
      <x:c r="E5" s="6" t="inlineStr">
        <x:is>
          <x:t xml:space="preserve">عدم اتصال آفلاین/آنلاین یا ریسک حریم خصوصی</x:t>
        </x:is>
      </x:c>
      <x:c r="F5" s="6" t="inlineStr">
        <x:is>
          <x:t xml:space="preserve">تعبیه ماژول هشینگ یکپارچه SHA-256 در لایه سرور GTM و پایگاه داده تیتانا؛ ارسال صرفاً نسخه‌های هش‌شده طبق استاندارد بین‌المللی E.164.</x:t>
        </x:is>
      </x:c>
      <x:c r="G5" s="6" t="inlineStr">
        <x:is>
          <x:t xml:space="preserve">Senior Data Engineer</x:t>
        </x:is>
      </x:c>
      <x:c r="H5" s="19" t="inlineStr">
        <x:is>
          <x:t xml:space="preserve">W3</x:t>
        </x:is>
      </x:c>
      <x:c r="I5" s="19" t="inlineStr">
        <x:is>
          <x:t xml:space="preserve">Proposed</x:t>
        </x:is>
      </x:c>
      <x:c r="J5" s="30" t="str">
        <x:v>GAP-04</x:v>
      </x:c>
      <x:c r="K5" s="30" t="str">
        <x:v>نیازمند تکمیل و تأیید مالک</x:v>
      </x:c>
      <x:c r="L5" s="30" t="str">
        <x:v>Yes</x:v>
      </x:c>
    </x:row>
    <x:row r="6">
      <x:c r="A6" s="17" t="inlineStr">
        <x:is>
          <x:t xml:space="preserve">GAP-05</x:t>
        </x:is>
      </x:c>
      <x:c r="B6" s="4" t="inlineStr">
        <x:is>
          <x:t xml:space="preserve">دسترسی به سرچشمه</x:t>
        </x:is>
      </x:c>
      <x:c r="C6" s="4" t="inlineStr">
        <x:is>
          <x:t xml:space="preserve">وضعیت دسترسی گوگل ادز (Google Ads) «مجهول — نیازمند اعتبارسنجی دسترسی»</x:t>
        </x:is>
      </x:c>
      <x:c r="D6" s="4" t="inlineStr">
        <x:is>
          <x:t xml:space="preserve">ممیزی RITANA-ROADMAP + عدم وجود مدرک در مخزن</x:t>
        </x:is>
      </x:c>
      <x:c r="E6" s="4" t="inlineStr">
        <x:is>
          <x:t xml:space="preserve">بدون دسترسی، کانکتور و داده وابسته اجرا نمی‌شود</x:t>
        </x:is>
      </x:c>
      <x:c r="F6" s="4" t="inlineStr">
        <x:is>
          <x:t xml:space="preserve">اکانت Ads + API Client + تأیید مالکیت اکانت</x:t>
        </x:is>
      </x:c>
      <x:c r="G6" s="4" t="inlineStr">
        <x:is>
          <x:t xml:space="preserve">Senior Data Engineer</x:t>
        </x:is>
      </x:c>
      <x:c r="H6" s="17" t="inlineStr">
        <x:is>
          <x:t xml:space="preserve">W3</x:t>
        </x:is>
      </x:c>
      <x:c r="I6" s="17" t="inlineStr">
        <x:is>
          <x:t xml:space="preserve">Blocked</x:t>
        </x:is>
      </x:c>
      <x:c r="J6" s="30" t="str">
        <x:v>GAP-05</x:v>
      </x:c>
      <x:c r="K6" s="30" t="str">
        <x:v>نیازمند تکمیل و تأیید مالک</x:v>
      </x:c>
      <x:c r="L6" s="30" t="str">
        <x:v>Yes</x:v>
      </x:c>
    </x:row>
    <x:row r="7">
      <x:c r="A7" s="19" t="inlineStr">
        <x:is>
          <x:t xml:space="preserve">GAP-06</x:t>
        </x:is>
      </x:c>
      <x:c r="B7" s="6" t="inlineStr">
        <x:is>
          <x:t xml:space="preserve">دسترسی به سرچشمه</x:t>
        </x:is>
      </x:c>
      <x:c r="C7" s="6" t="inlineStr">
        <x:is>
          <x:t xml:space="preserve">وضعیت دسترسی متا / اینستاگرام (Meta Ads (Facebook/Instagram)) «مجهول — نیازمند اعتبارسنجی دسترسی»</x:t>
        </x:is>
      </x:c>
      <x:c r="D7" s="6" t="inlineStr">
        <x:is>
          <x:t xml:space="preserve">ممیزی RITANA-ROADMAP + عدم وجود مدرک در مخزن</x:t>
        </x:is>
      </x:c>
      <x:c r="E7" s="6" t="inlineStr">
        <x:is>
          <x:t xml:space="preserve">بدون دسترسی، کانکتور و داده وابسته اجرا نمی‌شود</x:t>
        </x:is>
      </x:c>
      <x:c r="F7" s="6" t="inlineStr">
        <x:is>
          <x:t xml:space="preserve">Graph API Token + آیدی Business Manager + تأیید آیدی کاتالوگ</x:t>
        </x:is>
      </x:c>
      <x:c r="G7" s="6" t="inlineStr">
        <x:is>
          <x:t xml:space="preserve">Senior Data Engineer</x:t>
        </x:is>
      </x:c>
      <x:c r="H7" s="19" t="inlineStr">
        <x:is>
          <x:t xml:space="preserve">W3</x:t>
        </x:is>
      </x:c>
      <x:c r="I7" s="19" t="inlineStr">
        <x:is>
          <x:t xml:space="preserve">Blocked</x:t>
        </x:is>
      </x:c>
      <x:c r="J7" s="30" t="str">
        <x:v>GAP-06</x:v>
      </x:c>
      <x:c r="K7" s="30" t="str">
        <x:v>نیازمند تکمیل و تأیید مالک</x:v>
      </x:c>
      <x:c r="L7" s="30" t="str">
        <x:v>Yes</x:v>
      </x:c>
    </x:row>
    <x:row r="8">
      <x:c r="A8" s="17" t="inlineStr">
        <x:is>
          <x:t xml:space="preserve">GAP-07</x:t>
        </x:is>
      </x:c>
      <x:c r="B8" s="4" t="inlineStr">
        <x:is>
          <x:t xml:space="preserve">دسترسی به سرچشمه</x:t>
        </x:is>
      </x:c>
      <x:c r="C8" s="4" t="inlineStr">
        <x:is>
          <x:t xml:space="preserve">وضعیت دسترسی گوگل آنالیتیکس ۴ / گوگل تگ مدیر (GA4 / GTM / BigQuery) «فعال — کیفیت داده تأیید نشده (یافته F)»</x:t>
        </x:is>
      </x:c>
      <x:c r="D8" s="4" t="inlineStr">
        <x:is>
          <x:t xml:space="preserve">ممیزی RITANA-ROADMAP + عدم وجود مدرک در مخزن</x:t>
        </x:is>
      </x:c>
      <x:c r="E8" s="4" t="inlineStr">
        <x:is>
          <x:t xml:space="preserve">بدون دسترسی، کانکتور و داده وابسته اجرا نمی‌شود</x:t>
        </x:is>
      </x:c>
      <x:c r="F8" s="4" t="inlineStr">
        <x:is>
          <x:t xml:space="preserve">اکانت GA4 + Project BigQuery + IAM Role</x:t>
        </x:is>
      </x:c>
      <x:c r="G8" s="4" t="inlineStr">
        <x:is>
          <x:t xml:space="preserve">Senior Data Engineer</x:t>
        </x:is>
      </x:c>
      <x:c r="H8" s="17" t="inlineStr">
        <x:is>
          <x:t xml:space="preserve">W3</x:t>
        </x:is>
      </x:c>
      <x:c r="I8" s="17" t="inlineStr">
        <x:is>
          <x:t xml:space="preserve">Blocked</x:t>
        </x:is>
      </x:c>
      <x:c r="J8" s="30" t="str">
        <x:v>GAP-07</x:v>
      </x:c>
      <x:c r="K8" s="30" t="str">
        <x:v>نیازمند تکمیل و تأیید مالک</x:v>
      </x:c>
      <x:c r="L8" s="30" t="str">
        <x:v>Yes</x:v>
      </x:c>
    </x:row>
    <x:row r="9">
      <x:c r="A9" s="19" t="inlineStr">
        <x:is>
          <x:t xml:space="preserve">GAP-08</x:t>
        </x:is>
      </x:c>
      <x:c r="B9" s="6" t="inlineStr">
        <x:is>
          <x:t xml:space="preserve">دسترسی به سرچشمه</x:t>
        </x:is>
      </x:c>
      <x:c r="C9" s="6" t="inlineStr">
        <x:is>
          <x:t xml:space="preserve">وضعیت دسترسی بک‌اند فروشگاه آنلاین (E-commerce Backend) «مجهول — نیازمند اعتبارسنجی دسترسی»</x:t>
        </x:is>
      </x:c>
      <x:c r="D9" s="6" t="inlineStr">
        <x:is>
          <x:t xml:space="preserve">ممیزی RITANA-ROADMAP + عدم وجود مدرک در مخزن</x:t>
        </x:is>
      </x:c>
      <x:c r="E9" s="6" t="inlineStr">
        <x:is>
          <x:t xml:space="preserve">بدون دسترسی، کانکتور و داده وابسته اجرا نمی‌شود</x:t>
        </x:is>
      </x:c>
      <x:c r="F9" s="6" t="inlineStr">
        <x:is>
          <x:t xml:space="preserve">دسترسی Read-only به DB + Webhook Endpoint</x:t>
        </x:is>
      </x:c>
      <x:c r="G9" s="6" t="inlineStr">
        <x:is>
          <x:t xml:space="preserve">Senior Data Engineer</x:t>
        </x:is>
      </x:c>
      <x:c r="H9" s="19" t="inlineStr">
        <x:is>
          <x:t xml:space="preserve">W3</x:t>
        </x:is>
      </x:c>
      <x:c r="I9" s="19" t="inlineStr">
        <x:is>
          <x:t xml:space="preserve">Blocked</x:t>
        </x:is>
      </x:c>
      <x:c r="J9" s="30" t="str">
        <x:v>GAP-08</x:v>
      </x:c>
      <x:c r="K9" s="30" t="str">
        <x:v>نیازمند تکمیل و تأیید مالک</x:v>
      </x:c>
      <x:c r="L9" s="30" t="str">
        <x:v>Yes</x:v>
      </x:c>
    </x:row>
    <x:row r="10">
      <x:c r="A10" s="17" t="inlineStr">
        <x:is>
          <x:t xml:space="preserve">GAP-09</x:t>
        </x:is>
      </x:c>
      <x:c r="B10" s="4" t="inlineStr">
        <x:is>
          <x:t xml:space="preserve">دسترسی به سرچشمه</x:t>
        </x:is>
      </x:c>
      <x:c r="C10" s="4" t="inlineStr">
        <x:is>
          <x:t xml:space="preserve">وضعیت دسترسی سیستم مدیریت ارتباط با مشتری (CRM (Sales Pipeline)) «مجهول — نیازمند اعتبارسنجی دسترسی»</x:t>
        </x:is>
      </x:c>
      <x:c r="D10" s="4" t="inlineStr">
        <x:is>
          <x:t xml:space="preserve">ممیزی RITANA-ROADMAP + عدم وجود مدرک در مخزن</x:t>
        </x:is>
      </x:c>
      <x:c r="E10" s="4" t="inlineStr">
        <x:is>
          <x:t xml:space="preserve">بدون دسترسی، کانکتور و داده وابسته اجرا نمی‌شود</x:t>
        </x:is>
      </x:c>
      <x:c r="F10" s="4" t="inlineStr">
        <x:is>
          <x:t xml:space="preserve">اکانت CRM + API Token</x:t>
        </x:is>
      </x:c>
      <x:c r="G10" s="4" t="inlineStr">
        <x:is>
          <x:t xml:space="preserve">CRM Manager</x:t>
        </x:is>
      </x:c>
      <x:c r="H10" s="17" t="inlineStr">
        <x:is>
          <x:t xml:space="preserve">W3</x:t>
        </x:is>
      </x:c>
      <x:c r="I10" s="17" t="inlineStr">
        <x:is>
          <x:t xml:space="preserve">Blocked</x:t>
        </x:is>
      </x:c>
      <x:c r="J10" s="30" t="str">
        <x:v>GAP-09</x:v>
      </x:c>
      <x:c r="K10" s="30" t="str">
        <x:v>نیازمند تکمیل و تأیید مالک</x:v>
      </x:c>
      <x:c r="L10" s="30" t="str">
        <x:v>Yes</x:v>
      </x:c>
    </x:row>
    <x:row r="11">
      <x:c r="A11" s="19" t="inlineStr">
        <x:is>
          <x:t xml:space="preserve">GAP-10</x:t>
        </x:is>
      </x:c>
      <x:c r="B11" s="6" t="inlineStr">
        <x:is>
          <x:t xml:space="preserve">دسترسی به سرچشمه</x:t>
        </x:is>
      </x:c>
      <x:c r="C11" s="6" t="inlineStr">
        <x:is>
          <x:t xml:space="preserve">وضعیت دسترسی حسابداری مالی (Finance / ERP (سپیدار/راهکاران)) «مجهول — نیازمند اعتبارسنجی دسترسی»</x:t>
        </x:is>
      </x:c>
      <x:c r="D11" s="6" t="inlineStr">
        <x:is>
          <x:t xml:space="preserve">ممیزی RITANA-ROADMAP + عدم وجود مدرک در مخزن</x:t>
        </x:is>
      </x:c>
      <x:c r="E11" s="6" t="inlineStr">
        <x:is>
          <x:t xml:space="preserve">بدون دسترسی، کانکتور و داده وابسته اجرا نمی‌شود</x:t>
        </x:is>
      </x:c>
      <x:c r="F11" s="6" t="inlineStr">
        <x:is>
          <x:t xml:space="preserve">اکانت مالی + دسترسی Read گزارش‌ها</x:t>
        </x:is>
      </x:c>
      <x:c r="G11" s="6" t="inlineStr">
        <x:is>
          <x:t xml:space="preserve">Finance Manager</x:t>
        </x:is>
      </x:c>
      <x:c r="H11" s="19" t="inlineStr">
        <x:is>
          <x:t xml:space="preserve">W3</x:t>
        </x:is>
      </x:c>
      <x:c r="I11" s="19" t="inlineStr">
        <x:is>
          <x:t xml:space="preserve">Blocked</x:t>
        </x:is>
      </x:c>
      <x:c r="J11" s="30" t="str">
        <x:v>GAP-10</x:v>
      </x:c>
      <x:c r="K11" s="30" t="str">
        <x:v>نیازمند تکمیل و تأیید مالک</x:v>
      </x:c>
      <x:c r="L11" s="30" t="str">
        <x:v>Yes</x:v>
      </x:c>
    </x:row>
    <x:row r="12">
      <x:c r="A12" s="17" t="inlineStr">
        <x:is>
          <x:t xml:space="preserve">GAP-11</x:t>
        </x:is>
      </x:c>
      <x:c r="B12" s="4" t="inlineStr">
        <x:is>
          <x:t xml:space="preserve">دسترسی به سرچشمه</x:t>
        </x:is>
      </x:c>
      <x:c r="C12" s="4" t="inlineStr">
        <x:is>
          <x:t xml:space="preserve">وضعیت دسترسی سامانه مدیریت انبار (WMS (انبار مرکزی)) «مجهول — نیازمند اعتبارسنجی دسترسی»</x:t>
        </x:is>
      </x:c>
      <x:c r="D12" s="4" t="inlineStr">
        <x:is>
          <x:t xml:space="preserve">ممیزی RITANA-ROADMAP + عدم وجود مدرک در مخزن</x:t>
        </x:is>
      </x:c>
      <x:c r="E12" s="4" t="inlineStr">
        <x:is>
          <x:t xml:space="preserve">بدون دسترسی، کانکتور و داده وابسته اجرا نمی‌شود</x:t>
        </x:is>
      </x:c>
      <x:c r="F12" s="4" t="inlineStr">
        <x:is>
          <x:t xml:space="preserve">دسترسی WMS API + تنظیم Webhook</x:t>
        </x:is>
      </x:c>
      <x:c r="G12" s="4" t="inlineStr">
        <x:is>
          <x:t xml:space="preserve">Warehouse/Materials Manager</x:t>
        </x:is>
      </x:c>
      <x:c r="H12" s="17" t="inlineStr">
        <x:is>
          <x:t xml:space="preserve">W3</x:t>
        </x:is>
      </x:c>
      <x:c r="I12" s="17" t="inlineStr">
        <x:is>
          <x:t xml:space="preserve">Blocked</x:t>
        </x:is>
      </x:c>
      <x:c r="J12" s="30" t="str">
        <x:v>GAP-11</x:v>
      </x:c>
      <x:c r="K12" s="30" t="str">
        <x:v>نیازمند تکمیل و تأیید مالک</x:v>
      </x:c>
      <x:c r="L12" s="30" t="str">
        <x:v>Yes</x:v>
      </x:c>
    </x:row>
    <x:row r="13">
      <x:c r="A13" s="19" t="inlineStr">
        <x:is>
          <x:t xml:space="preserve">GAP-12</x:t>
        </x:is>
      </x:c>
      <x:c r="B13" s="6" t="inlineStr">
        <x:is>
          <x:t xml:space="preserve">دسترسی به سرچشمه</x:t>
        </x:is>
      </x:c>
      <x:c r="C13" s="6" t="inlineStr">
        <x:is>
          <x:t xml:space="preserve">وضعیت دسترسی درگاه پرداخت شاپرک (Payment Gateway (Shaparak)) «مجهول — نیازمند اعتبارسنجی دسترسی»</x:t>
        </x:is>
      </x:c>
      <x:c r="D13" s="6" t="inlineStr">
        <x:is>
          <x:t xml:space="preserve">ممیزی RITANA-ROADMAP + عدم وجود مدرک در مخزن</x:t>
        </x:is>
      </x:c>
      <x:c r="E13" s="6" t="inlineStr">
        <x:is>
          <x:t xml:space="preserve">بدون دسترسی، کانکتور و داده وابسته اجرا نمی‌شود</x:t>
        </x:is>
      </x:c>
      <x:c r="F13" s="6" t="inlineStr">
        <x:is>
          <x:t xml:space="preserve">Merchant ID + API Key درگاه</x:t>
        </x:is>
      </x:c>
      <x:c r="G13" s="6" t="inlineStr">
        <x:is>
          <x:t xml:space="preserve">DevOps/Web Engineer</x:t>
        </x:is>
      </x:c>
      <x:c r="H13" s="19" t="inlineStr">
        <x:is>
          <x:t xml:space="preserve">W3</x:t>
        </x:is>
      </x:c>
      <x:c r="I13" s="19" t="inlineStr">
        <x:is>
          <x:t xml:space="preserve">Blocked</x:t>
        </x:is>
      </x:c>
      <x:c r="J13" s="30" t="str">
        <x:v>GAP-12</x:v>
      </x:c>
      <x:c r="K13" s="30" t="str">
        <x:v>نیازمند تکمیل و تأیید مالک</x:v>
      </x:c>
      <x:c r="L13" s="30" t="str">
        <x:v>Yes</x:v>
      </x:c>
    </x:row>
    <x:row r="14">
      <x:c r="A14" s="17" t="inlineStr">
        <x:is>
          <x:t xml:space="preserve">GAP-13</x:t>
        </x:is>
      </x:c>
      <x:c r="B14" s="4" t="inlineStr">
        <x:is>
          <x:t xml:space="preserve">دسترسی به سرچشمه</x:t>
        </x:is>
      </x:c>
      <x:c r="C14" s="4" t="inlineStr">
        <x:is>
          <x:t xml:space="preserve">وضعیت دسترسی سانترال تلفنی (استریسک/ایزابل) (VoIP / Asterisk) «مجهول — نیازمند اعتبارسنجی دسترسی»</x:t>
        </x:is>
      </x:c>
      <x:c r="D14" s="4" t="inlineStr">
        <x:is>
          <x:t xml:space="preserve">ممیزی RITANA-ROADMAP + عدم وجود مدرک در مخزن</x:t>
        </x:is>
      </x:c>
      <x:c r="E14" s="4" t="inlineStr">
        <x:is>
          <x:t xml:space="preserve">بدون دسترسی، کانکتور و داده وابسته اجرا نمی‌شود</x:t>
        </x:is>
      </x:c>
      <x:c r="F14" s="4" t="inlineStr">
        <x:is>
          <x:t xml:space="preserve">دسترسی API سانترال + تنظیم DNI</x:t>
        </x:is>
      </x:c>
      <x:c r="G14" s="4" t="inlineStr">
        <x:is>
          <x:t xml:space="preserve">DevOps/Web Engineer</x:t>
        </x:is>
      </x:c>
      <x:c r="H14" s="17" t="inlineStr">
        <x:is>
          <x:t xml:space="preserve">W3</x:t>
        </x:is>
      </x:c>
      <x:c r="I14" s="17" t="inlineStr">
        <x:is>
          <x:t xml:space="preserve">Blocked</x:t>
        </x:is>
      </x:c>
      <x:c r="J14" s="30" t="str">
        <x:v>GAP-13</x:v>
      </x:c>
      <x:c r="K14" s="30" t="str">
        <x:v>نیازمند تکمیل و تأیید مالک</x:v>
      </x:c>
      <x:c r="L14" s="30" t="str">
        <x:v>Yes</x:v>
      </x:c>
    </x:row>
    <x:row r="15">
      <x:c r="A15" s="19" t="inlineStr">
        <x:is>
          <x:t xml:space="preserve">GAP-14</x:t>
        </x:is>
      </x:c>
      <x:c r="B15" s="6" t="inlineStr">
        <x:is>
          <x:t xml:space="preserve">دسترسی به سرچشمه</x:t>
        </x:is>
      </x:c>
      <x:c r="C15" s="6" t="inlineStr">
        <x:is>
          <x:t xml:space="preserve">وضعیت دسترسی سامانه پیامک (کاوه‌نگار/دینا)، ایمیل و پوش (SMS / Email / Push) «مجهول — نیازمند اعتبارسنجی دسترسی»</x:t>
        </x:is>
      </x:c>
      <x:c r="D15" s="6" t="inlineStr">
        <x:is>
          <x:t xml:space="preserve">ممیزی RITANA-ROADMAP + عدم وجود مدرک در مخزن</x:t>
        </x:is>
      </x:c>
      <x:c r="E15" s="6" t="inlineStr">
        <x:is>
          <x:t xml:space="preserve">بدون دسترسی، کانکتور و داده وابسته اجرا نمی‌شود</x:t>
        </x:is>
      </x:c>
      <x:c r="F15" s="6" t="inlineStr">
        <x:is>
          <x:t xml:space="preserve">اکانت پنل پیامک/ایمیل + API Key</x:t>
        </x:is>
      </x:c>
      <x:c r="G15" s="6" t="inlineStr">
        <x:is>
          <x:t xml:space="preserve">CRM Manager</x:t>
        </x:is>
      </x:c>
      <x:c r="H15" s="19" t="inlineStr">
        <x:is>
          <x:t xml:space="preserve">W3</x:t>
        </x:is>
      </x:c>
      <x:c r="I15" s="19" t="inlineStr">
        <x:is>
          <x:t xml:space="preserve">Blocked</x:t>
        </x:is>
      </x:c>
      <x:c r="J15" s="30" t="str">
        <x:v>GAP-14</x:v>
      </x:c>
      <x:c r="K15" s="30" t="str">
        <x:v>نیازمند تکمیل و تأیید مالک</x:v>
      </x:c>
      <x:c r="L15" s="30" t="str">
        <x:v>Yes</x:v>
      </x:c>
    </x:row>
    <x:row r="16">
      <x:c r="A16" s="17" t="inlineStr">
        <x:is>
          <x:t xml:space="preserve">GAP-15</x:t>
        </x:is>
      </x:c>
      <x:c r="B16" s="4" t="inlineStr">
        <x:is>
          <x:t xml:space="preserve">دسترسی به سرچشمه</x:t>
        </x:is>
      </x:c>
      <x:c r="C16" s="4" t="inlineStr">
        <x:is>
          <x:t xml:space="preserve">وضعیت دسترسی ماژول باشگاه مشتریان و امتیازات (Loyalty Module) «مجهول — نیازمند اعتبارسنجی دسترسی»</x:t>
        </x:is>
      </x:c>
      <x:c r="D16" s="4" t="inlineStr">
        <x:is>
          <x:t xml:space="preserve">ممیزی RITANA-ROADMAP + عدم وجود مدرک در مخزن</x:t>
        </x:is>
      </x:c>
      <x:c r="E16" s="4" t="inlineStr">
        <x:is>
          <x:t xml:space="preserve">بدون دسترسی، کانکتور و داده وابسته اجرا نمی‌شود</x:t>
        </x:is>
      </x:c>
      <x:c r="F16" s="4" t="inlineStr">
        <x:is>
          <x:t xml:space="preserve">دسترسی ماژول وفاداری</x:t>
        </x:is>
      </x:c>
      <x:c r="G16" s="4" t="inlineStr">
        <x:is>
          <x:t xml:space="preserve">CRM Manager</x:t>
        </x:is>
      </x:c>
      <x:c r="H16" s="17" t="inlineStr">
        <x:is>
          <x:t xml:space="preserve">W3</x:t>
        </x:is>
      </x:c>
      <x:c r="I16" s="17" t="inlineStr">
        <x:is>
          <x:t xml:space="preserve">Blocked</x:t>
        </x:is>
      </x:c>
      <x:c r="J16" s="30" t="str">
        <x:v>GAP-15</x:v>
      </x:c>
      <x:c r="K16" s="30" t="str">
        <x:v>نیازمند تکمیل و تأیید مالک</x:v>
      </x:c>
      <x:c r="L16" s="30" t="str">
        <x:v>Yes</x:v>
      </x:c>
    </x:row>
    <x:row r="17">
      <x:c r="A17" s="19" t="inlineStr">
        <x:is>
          <x:t xml:space="preserve">GAP-16</x:t>
        </x:is>
      </x:c>
      <x:c r="B17" s="6" t="inlineStr">
        <x:is>
          <x:t xml:space="preserve">دسترسی به سرچشمه</x:t>
        </x:is>
      </x:c>
      <x:c r="C17" s="6" t="inlineStr">
        <x:is>
          <x:t xml:space="preserve">وضعیت دسترسی شبکه همکاران فروش و اینفلوئنسرها (Affiliate / Influencer) «مجهول — نیازمند اعتبارسنجی دسترسی»</x:t>
        </x:is>
      </x:c>
      <x:c r="D17" s="6" t="inlineStr">
        <x:is>
          <x:t xml:space="preserve">ممیزی RITANA-ROADMAP + عدم وجود مدرک در مخزن</x:t>
        </x:is>
      </x:c>
      <x:c r="E17" s="6" t="inlineStr">
        <x:is>
          <x:t xml:space="preserve">بدون دسترسی، کانکتور و داده وابسته اجرا نمی‌شود</x:t>
        </x:is>
      </x:c>
      <x:c r="F17" s="6" t="inlineStr">
        <x:is>
          <x:t xml:space="preserve">پنل مدیریت همکاران</x:t>
        </x:is>
      </x:c>
      <x:c r="G17" s="6" t="inlineStr">
        <x:is>
          <x:t xml:space="preserve">CMO</x:t>
        </x:is>
      </x:c>
      <x:c r="H17" s="19" t="inlineStr">
        <x:is>
          <x:t xml:space="preserve">W3</x:t>
        </x:is>
      </x:c>
      <x:c r="I17" s="19" t="inlineStr">
        <x:is>
          <x:t xml:space="preserve">Blocked</x:t>
        </x:is>
      </x:c>
      <x:c r="J17" s="30" t="str">
        <x:v>GAP-16</x:v>
      </x:c>
      <x:c r="K17" s="30" t="str">
        <x:v>نیازمند تکمیل و تأیید مالک</x:v>
      </x:c>
      <x:c r="L17" s="30" t="str">
        <x:v>Yes</x:v>
      </x:c>
    </x:row>
    <x:row r="18">
      <x:c r="A18" s="17" t="inlineStr">
        <x:is>
          <x:t xml:space="preserve">GAP-17</x:t>
        </x:is>
      </x:c>
      <x:c r="B18" s="4" t="inlineStr">
        <x:is>
          <x:t xml:space="preserve">دسترسی به سرچشمه</x:t>
        </x:is>
      </x:c>
      <x:c r="C18" s="4" t="inlineStr">
        <x:is>
          <x:t xml:space="preserve">وضعیت دسترسی وب‌سرویس سازمان نظام پزشکی (Medical Council Web Service) «مجهول — نیازمند اعتبارسنجی دسترسی (احتمالاً نیاز به قرارداد رسمی)»</x:t>
        </x:is>
      </x:c>
      <x:c r="D18" s="4" t="inlineStr">
        <x:is>
          <x:t xml:space="preserve">ممیزی RITANA-ROADMAP + عدم وجود مدرک در مخزن</x:t>
        </x:is>
      </x:c>
      <x:c r="E18" s="4" t="inlineStr">
        <x:is>
          <x:t xml:space="preserve">بدون دسترسی، کانکتور و داده وابسته اجرا نمی‌شود</x:t>
        </x:is>
      </x:c>
      <x:c r="F18" s="4" t="inlineStr">
        <x:is>
          <x:t xml:space="preserve">تأیید/قرارداد استعلام + کلید سرویس</x:t>
        </x:is>
      </x:c>
      <x:c r="G18" s="4" t="inlineStr">
        <x:is>
          <x:t xml:space="preserve">Security &amp; Governance</x:t>
        </x:is>
      </x:c>
      <x:c r="H18" s="17" t="inlineStr">
        <x:is>
          <x:t xml:space="preserve">W1</x:t>
        </x:is>
      </x:c>
      <x:c r="I18" s="17" t="inlineStr">
        <x:is>
          <x:t xml:space="preserve">Blocked</x:t>
        </x:is>
      </x:c>
      <x:c r="J18" s="30" t="str">
        <x:v>GAP-17</x:v>
      </x:c>
      <x:c r="K18" s="30" t="str">
        <x:v>نیازمند تکمیل و تأیید مالک</x:v>
      </x:c>
      <x:c r="L18" s="30" t="str">
        <x:v>Yes</x:v>
      </x:c>
    </x:row>
    <x:row r="19">
      <x:c r="A19" s="19" t="inlineStr">
        <x:is>
          <x:t xml:space="preserve">GAP-18</x:t>
        </x:is>
      </x:c>
      <x:c r="B19" s="6" t="inlineStr">
        <x:is>
          <x:t xml:space="preserve">مدرک (Credential)</x:t>
        </x:is>
      </x:c>
      <x:c r="C19" s="6" t="inlineStr">
        <x:is>
          <x:t xml:space="preserve">توکن API گوگل ادز و دسترسی اکانت برای Google Ads — خواندن هزینه/تبدیل و اجرای توقف خودکار (ALT-13)</x:t>
        </x:is>
      </x:c>
      <x:c r="D19" s="6" t="inlineStr">
        <x:is>
          <x:t xml:space="preserve">فهرست مدارک موردنیاز</x:t>
        </x:is>
      </x:c>
      <x:c r="E19" s="6" t="inlineStr">
        <x:is>
          <x:t xml:space="preserve">مسدودکننده شروع</x:t>
        </x:is>
      </x:c>
      <x:c r="F19" s="6" t="inlineStr">
        <x:is>
          <x:t xml:space="preserve">دریافت/صدور مدرک از مالک سیستم</x:t>
        </x:is>
      </x:c>
      <x:c r="G19" s="6" t="inlineStr">
        <x:is>
          <x:t xml:space="preserve">Media Buyer</x:t>
        </x:is>
      </x:c>
      <x:c r="H19" s="19" t="inlineStr">
        <x:is>
          <x:t xml:space="preserve">W2</x:t>
        </x:is>
      </x:c>
      <x:c r="I19" s="19" t="inlineStr">
        <x:is>
          <x:t xml:space="preserve">Blocked</x:t>
        </x:is>
      </x:c>
      <x:c r="J19" s="30" t="str">
        <x:v>GAP-18</x:v>
      </x:c>
      <x:c r="K19" s="30" t="str">
        <x:v>نیازمند تکمیل و تأیید مالک</x:v>
      </x:c>
      <x:c r="L19" s="30" t="str">
        <x:v>Yes</x:v>
      </x:c>
    </x:row>
    <x:row r="20">
      <x:c r="A20" s="17" t="inlineStr">
        <x:is>
          <x:t xml:space="preserve">GAP-19</x:t>
        </x:is>
      </x:c>
      <x:c r="B20" s="4" t="inlineStr">
        <x:is>
          <x:t xml:space="preserve">مدرک (Credential)</x:t>
        </x:is>
      </x:c>
      <x:c r="C20" s="4" t="inlineStr">
        <x:is>
          <x:t xml:space="preserve">Graph API Token متا + Business Manager برای Meta — CAPI و خواندن EMQ و Audiences</x:t>
        </x:is>
      </x:c>
      <x:c r="D20" s="4" t="inlineStr">
        <x:is>
          <x:t xml:space="preserve">فهرست مدارک موردنیاز</x:t>
        </x:is>
      </x:c>
      <x:c r="E20" s="4" t="inlineStr">
        <x:is>
          <x:t xml:space="preserve">مسدودکننده شروع</x:t>
        </x:is>
      </x:c>
      <x:c r="F20" s="4" t="inlineStr">
        <x:is>
          <x:t xml:space="preserve">دریافت/صدور مدرک از مالک سیستم</x:t>
        </x:is>
      </x:c>
      <x:c r="G20" s="4" t="inlineStr">
        <x:is>
          <x:t xml:space="preserve">Media Buyer</x:t>
        </x:is>
      </x:c>
      <x:c r="H20" s="17" t="inlineStr">
        <x:is>
          <x:t xml:space="preserve">W2</x:t>
        </x:is>
      </x:c>
      <x:c r="I20" s="17" t="inlineStr">
        <x:is>
          <x:t xml:space="preserve">Blocked</x:t>
        </x:is>
      </x:c>
      <x:c r="J20" s="30" t="str">
        <x:v>GAP-19</x:v>
      </x:c>
      <x:c r="K20" s="30" t="str">
        <x:v>نیازمند تکمیل و تأیید مالک</x:v>
      </x:c>
      <x:c r="L20" s="30" t="str">
        <x:v>Yes</x:v>
      </x:c>
    </x:row>
    <x:row r="21">
      <x:c r="A21" s="19" t="inlineStr">
        <x:is>
          <x:t xml:space="preserve">GAP-20</x:t>
        </x:is>
      </x:c>
      <x:c r="B21" s="6" t="inlineStr">
        <x:is>
          <x:t xml:space="preserve">مدرک (Credential)</x:t>
        </x:is>
      </x:c>
      <x:c r="C21" s="6" t="inlineStr">
        <x:is>
          <x:t xml:space="preserve">دسترسی BigQuery و GA4 Export برای Google Analytics — Export رویدادها و تحلیل خام</x:t>
        </x:is>
      </x:c>
      <x:c r="D21" s="6" t="inlineStr">
        <x:is>
          <x:t xml:space="preserve">فهرست مدارک موردنیاز</x:t>
        </x:is>
      </x:c>
      <x:c r="E21" s="6" t="inlineStr">
        <x:is>
          <x:t xml:space="preserve">مسدودکننده شروع</x:t>
        </x:is>
      </x:c>
      <x:c r="F21" s="6" t="inlineStr">
        <x:is>
          <x:t xml:space="preserve">دریافت/صدور مدرک از مالک سیستم</x:t>
        </x:is>
      </x:c>
      <x:c r="G21" s="6" t="inlineStr">
        <x:is>
          <x:t xml:space="preserve">Senior Data Engineer</x:t>
        </x:is>
      </x:c>
      <x:c r="H21" s="19" t="inlineStr">
        <x:is>
          <x:t xml:space="preserve">W2</x:t>
        </x:is>
      </x:c>
      <x:c r="I21" s="19" t="inlineStr">
        <x:is>
          <x:t xml:space="preserve">Blocked</x:t>
        </x:is>
      </x:c>
      <x:c r="J21" s="30" t="str">
        <x:v>GAP-20</x:v>
      </x:c>
      <x:c r="K21" s="30" t="str">
        <x:v>نیازمند تکمیل و تأیید مالک</x:v>
      </x:c>
      <x:c r="L21" s="30" t="str">
        <x:v>Yes</x:v>
      </x:c>
    </x:row>
    <x:row r="22">
      <x:c r="A22" s="17" t="inlineStr">
        <x:is>
          <x:t xml:space="preserve">GAP-21</x:t>
        </x:is>
      </x:c>
      <x:c r="B22" s="4" t="inlineStr">
        <x:is>
          <x:t xml:space="preserve">مدرک (Credential)</x:t>
        </x:is>
      </x:c>
      <x:c r="C22" s="4" t="inlineStr">
        <x:is>
          <x:t xml:space="preserve">دسترسی Read-only به DB فروشگاه برای E-commerce Backend — داده سفارش/محصول/موجودی</x:t>
        </x:is>
      </x:c>
      <x:c r="D22" s="4" t="inlineStr">
        <x:is>
          <x:t xml:space="preserve">فهرست مدارک موردنیاز</x:t>
        </x:is>
      </x:c>
      <x:c r="E22" s="4" t="inlineStr">
        <x:is>
          <x:t xml:space="preserve">مسدودکننده شروع</x:t>
        </x:is>
      </x:c>
      <x:c r="F22" s="4" t="inlineStr">
        <x:is>
          <x:t xml:space="preserve">دریافت/صدور مدرک از مالک سیستم</x:t>
        </x:is>
      </x:c>
      <x:c r="G22" s="4" t="inlineStr">
        <x:is>
          <x:t xml:space="preserve">DevOps/Web Engineer</x:t>
        </x:is>
      </x:c>
      <x:c r="H22" s="17" t="inlineStr">
        <x:is>
          <x:t xml:space="preserve">W3</x:t>
        </x:is>
      </x:c>
      <x:c r="I22" s="17" t="inlineStr">
        <x:is>
          <x:t xml:space="preserve">Blocked</x:t>
        </x:is>
      </x:c>
      <x:c r="J22" s="30" t="str">
        <x:v>GAP-21</x:v>
      </x:c>
      <x:c r="K22" s="30" t="str">
        <x:v>نیازمند تکمیل و تأیید مالک</x:v>
      </x:c>
      <x:c r="L22" s="30" t="str">
        <x:v>Yes</x:v>
      </x:c>
    </x:row>
    <x:row r="23">
      <x:c r="A23" s="19" t="inlineStr">
        <x:is>
          <x:t xml:space="preserve">GAP-22</x:t>
        </x:is>
      </x:c>
      <x:c r="B23" s="6" t="inlineStr">
        <x:is>
          <x:t xml:space="preserve">مدرک (Credential)</x:t>
        </x:is>
      </x:c>
      <x:c r="C23" s="6" t="inlineStr">
        <x:is>
          <x:t xml:space="preserve">API Token CRM برای CRM — پایپ‌لاین لید و فرصت</x:t>
        </x:is>
      </x:c>
      <x:c r="D23" s="6" t="inlineStr">
        <x:is>
          <x:t xml:space="preserve">فهرست مدارک موردنیاز</x:t>
        </x:is>
      </x:c>
      <x:c r="E23" s="6" t="inlineStr">
        <x:is>
          <x:t xml:space="preserve">مسدودکننده شروع</x:t>
        </x:is>
      </x:c>
      <x:c r="F23" s="6" t="inlineStr">
        <x:is>
          <x:t xml:space="preserve">دریافت/صدور مدرک از مالک سیستم</x:t>
        </x:is>
      </x:c>
      <x:c r="G23" s="6" t="inlineStr">
        <x:is>
          <x:t xml:space="preserve">CRM Manager</x:t>
        </x:is>
      </x:c>
      <x:c r="H23" s="19" t="inlineStr">
        <x:is>
          <x:t xml:space="preserve">W3</x:t>
        </x:is>
      </x:c>
      <x:c r="I23" s="19" t="inlineStr">
        <x:is>
          <x:t xml:space="preserve">Blocked</x:t>
        </x:is>
      </x:c>
      <x:c r="J23" s="30" t="str">
        <x:v>GAP-22</x:v>
      </x:c>
      <x:c r="K23" s="30" t="str">
        <x:v>نیازمند تکمیل و تأیید مالک</x:v>
      </x:c>
      <x:c r="L23" s="30" t="str">
        <x:v>Yes</x:v>
      </x:c>
    </x:row>
    <x:row r="24">
      <x:c r="A24" s="17" t="inlineStr">
        <x:is>
          <x:t xml:space="preserve">GAP-23</x:t>
        </x:is>
      </x:c>
      <x:c r="B24" s="4" t="inlineStr">
        <x:is>
          <x:t xml:space="preserve">مدرک (Credential)</x:t>
        </x:is>
      </x:c>
      <x:c r="C24" s="4" t="inlineStr">
        <x:is>
          <x:t xml:space="preserve">دسترسی گزارش‌های مالی و COGS برای Finance ERP — درآمد خالص و COGS (KPI-44..49)</x:t>
        </x:is>
      </x:c>
      <x:c r="D24" s="4" t="inlineStr">
        <x:is>
          <x:t xml:space="preserve">فهرست مدارک موردنیاز</x:t>
        </x:is>
      </x:c>
      <x:c r="E24" s="4" t="inlineStr">
        <x:is>
          <x:t xml:space="preserve">مسدودکننده شروع</x:t>
        </x:is>
      </x:c>
      <x:c r="F24" s="4" t="inlineStr">
        <x:is>
          <x:t xml:space="preserve">دریافت/صدور مدرک از مالک سیستم</x:t>
        </x:is>
      </x:c>
      <x:c r="G24" s="4" t="inlineStr">
        <x:is>
          <x:t xml:space="preserve">Finance Manager</x:t>
        </x:is>
      </x:c>
      <x:c r="H24" s="17" t="inlineStr">
        <x:is>
          <x:t xml:space="preserve">W3</x:t>
        </x:is>
      </x:c>
      <x:c r="I24" s="17" t="inlineStr">
        <x:is>
          <x:t xml:space="preserve">Blocked</x:t>
        </x:is>
      </x:c>
      <x:c r="J24" s="30" t="str">
        <x:v>GAP-23</x:v>
      </x:c>
      <x:c r="K24" s="30" t="str">
        <x:v>نیازمند تکمیل و تأیید مالک</x:v>
      </x:c>
      <x:c r="L24" s="30" t="str">
        <x:v>Yes</x:v>
      </x:c>
    </x:row>
    <x:row r="25">
      <x:c r="A25" s="19" t="inlineStr">
        <x:is>
          <x:t xml:space="preserve">GAP-24</x:t>
        </x:is>
      </x:c>
      <x:c r="B25" s="6" t="inlineStr">
        <x:is>
          <x:t xml:space="preserve">مدرک (Credential)</x:t>
        </x:is>
      </x:c>
      <x:c r="C25" s="6" t="inlineStr">
        <x:is>
          <x:t xml:space="preserve">دسترسی WMS + تنظیم Webhook برای WMS — موجودی زنده و مرجوعی</x:t>
        </x:is>
      </x:c>
      <x:c r="D25" s="6" t="inlineStr">
        <x:is>
          <x:t xml:space="preserve">فهرست مدارک موردنیاز</x:t>
        </x:is>
      </x:c>
      <x:c r="E25" s="6" t="inlineStr">
        <x:is>
          <x:t xml:space="preserve">مسدودکننده شروع</x:t>
        </x:is>
      </x:c>
      <x:c r="F25" s="6" t="inlineStr">
        <x:is>
          <x:t xml:space="preserve">دریافت/صدور مدرک از مالک سیستم</x:t>
        </x:is>
      </x:c>
      <x:c r="G25" s="6" t="inlineStr">
        <x:is>
          <x:t xml:space="preserve">Warehouse/Materials Manager</x:t>
        </x:is>
      </x:c>
      <x:c r="H25" s="19" t="inlineStr">
        <x:is>
          <x:t xml:space="preserve">W3</x:t>
        </x:is>
      </x:c>
      <x:c r="I25" s="19" t="inlineStr">
        <x:is>
          <x:t xml:space="preserve">Blocked</x:t>
        </x:is>
      </x:c>
      <x:c r="J25" s="30" t="str">
        <x:v>GAP-24</x:v>
      </x:c>
      <x:c r="K25" s="30" t="str">
        <x:v>نیازمند تکمیل و تأیید مالک</x:v>
      </x:c>
      <x:c r="L25" s="30" t="str">
        <x:v>Yes</x:v>
      </x:c>
    </x:row>
    <x:row r="26">
      <x:c r="A26" s="17" t="inlineStr">
        <x:is>
          <x:t xml:space="preserve">GAP-25</x:t>
        </x:is>
      </x:c>
      <x:c r="B26" s="4" t="inlineStr">
        <x:is>
          <x:t xml:space="preserve">مدرک (Credential)</x:t>
        </x:is>
      </x:c>
      <x:c r="C26" s="4" t="inlineStr">
        <x:is>
          <x:t xml:space="preserve">Merchant ID و API درگاه برای Payment Gateway — استاتوس تراکنش و تسویه</x:t>
        </x:is>
      </x:c>
      <x:c r="D26" s="4" t="inlineStr">
        <x:is>
          <x:t xml:space="preserve">فهرست مدارک موردنیاز</x:t>
        </x:is>
      </x:c>
      <x:c r="E26" s="4" t="inlineStr">
        <x:is>
          <x:t xml:space="preserve">مسدودکننده شروع</x:t>
        </x:is>
      </x:c>
      <x:c r="F26" s="4" t="inlineStr">
        <x:is>
          <x:t xml:space="preserve">دریافت/صدور مدرک از مالک سیستم</x:t>
        </x:is>
      </x:c>
      <x:c r="G26" s="4" t="inlineStr">
        <x:is>
          <x:t xml:space="preserve">DevOps/Web Engineer</x:t>
        </x:is>
      </x:c>
      <x:c r="H26" s="17" t="inlineStr">
        <x:is>
          <x:t xml:space="preserve">W3</x:t>
        </x:is>
      </x:c>
      <x:c r="I26" s="17" t="inlineStr">
        <x:is>
          <x:t xml:space="preserve">Blocked</x:t>
        </x:is>
      </x:c>
      <x:c r="J26" s="30" t="str">
        <x:v>GAP-25</x:v>
      </x:c>
      <x:c r="K26" s="30" t="str">
        <x:v>نیازمند تکمیل و تأیید مالک</x:v>
      </x:c>
      <x:c r="L26" s="30" t="str">
        <x:v>Yes</x:v>
      </x:c>
    </x:row>
    <x:row r="27">
      <x:c r="A27" s="19" t="inlineStr">
        <x:is>
          <x:t xml:space="preserve">GAP-26</x:t>
        </x:is>
      </x:c>
      <x:c r="B27" s="6" t="inlineStr">
        <x:is>
          <x:t xml:space="preserve">مدرک (Credential)</x:t>
        </x:is>
      </x:c>
      <x:c r="C27" s="6" t="inlineStr">
        <x:is>
          <x:t xml:space="preserve">تأیید/قرارداد وب‌سرویس نظام پزشکی برای Medical Council — احراز MQL و sign_up (EVT-24)</x:t>
        </x:is>
      </x:c>
      <x:c r="D27" s="6" t="inlineStr">
        <x:is>
          <x:t xml:space="preserve">فهرست مدارک موردنیاز</x:t>
        </x:is>
      </x:c>
      <x:c r="E27" s="6" t="inlineStr">
        <x:is>
          <x:t xml:space="preserve">مسدودکننده شروع</x:t>
        </x:is>
      </x:c>
      <x:c r="F27" s="6" t="inlineStr">
        <x:is>
          <x:t xml:space="preserve">دریافت/صدور مدرک از مالک سیستم</x:t>
        </x:is>
      </x:c>
      <x:c r="G27" s="6" t="inlineStr">
        <x:is>
          <x:t xml:space="preserve">Security &amp; Governance</x:t>
        </x:is>
      </x:c>
      <x:c r="H27" s="19" t="inlineStr">
        <x:is>
          <x:t xml:space="preserve">W1</x:t>
        </x:is>
      </x:c>
      <x:c r="I27" s="19" t="inlineStr">
        <x:is>
          <x:t xml:space="preserve">Blocked</x:t>
        </x:is>
      </x:c>
      <x:c r="J27" s="30" t="str">
        <x:v>GAP-26</x:v>
      </x:c>
      <x:c r="K27" s="30" t="str">
        <x:v>نیازمند تکمیل و تأیید مالک</x:v>
      </x:c>
      <x:c r="L27" s="30" t="str">
        <x:v>Yes</x:v>
      </x:c>
    </x:row>
    <x:row r="28">
      <x:c r="A28" s="17" t="inlineStr">
        <x:is>
          <x:t xml:space="preserve">GAP-27</x:t>
        </x:is>
      </x:c>
      <x:c r="B28" s="4" t="inlineStr">
        <x:is>
          <x:t xml:space="preserve">تعارض/یافته اسناد</x:t>
        </x:is>
      </x:c>
      <x:c r="C28" s="4" t="inlineStr">
        <x:is>
          <x:t xml:space="preserve">تعارض شماره‌گذاری legacy KPI/REP</x:t>
        </x:is>
      </x:c>
      <x:c r="D28" s="4" t="inlineStr">
        <x:is>
          <x:t xml:space="preserve">اسناد ۰۵/۰۶/۰۷ شماره legacy دارند ولی کاتالوگ رسمی ۰۱/۰۲ مرجع است (سلسله سند ۱۲)</x:t>
        </x:is>
      </x:c>
      <x:c r="E28" s="4" t="inlineStr">
        <x:is>
          <x:t xml:space="preserve">گزارش‌های داشبورد و CAD بر پایه legacy نوشته شده‌اند</x:t>
        </x:is>
      </x:c>
      <x:c r="F28" s="4" t="inlineStr">
        <x:is>
          <x:t xml:space="preserve">TK-002: نگاشت رسمی قفل می‌شود</x:t>
        </x:is>
      </x:c>
      <x:c r="G28" s="4" t="inlineStr">
        <x:is>
          <x:t xml:space="preserve">BI Lead</x:t>
        </x:is>
      </x:c>
      <x:c r="H28" s="17" t="inlineStr">
        <x:is>
          <x:t xml:space="preserve">W0</x:t>
        </x:is>
      </x:c>
      <x:c r="I28" s="17" t="inlineStr">
        <x:is>
          <x:t xml:space="preserve">Open</x:t>
        </x:is>
      </x:c>
      <x:c r="J28" s="30" t="str">
        <x:v>GAP-27</x:v>
      </x:c>
      <x:c r="K28" s="30" t="str">
        <x:v>نیازمند تکمیل و تأیید مالک</x:v>
      </x:c>
      <x:c r="L28" s="30" t="str">
        <x:v>Yes</x:v>
      </x:c>
    </x:row>
    <x:row r="29">
      <x:c r="A29" s="19" t="inlineStr">
        <x:is>
          <x:t xml:space="preserve">GAP-28</x:t>
        </x:is>
      </x:c>
      <x:c r="B29" s="6" t="inlineStr">
        <x:is>
          <x:t xml:space="preserve">تعارض/یافته اسناد</x:t>
        </x:is>
      </x:c>
      <x:c r="C29" s="6" t="inlineStr">
        <x:is>
          <x:t xml:space="preserve">P-20 حاکمیت در فاز ۳ سند ۰۹</x:t>
        </x:is>
      </x:c>
      <x:c r="D29" s="6" t="inlineStr">
        <x:is>
          <x:t xml:space="preserve">منطق موج کاربر: حاکمیت/نام‌گذاری/UTM پیش از ترکینگ</x:t>
        </x:is>
      </x:c>
      <x:c r="E29" s="6" t="inlineStr">
        <x:is>
          <x:t xml:space="preserve">اگر حاکمیت دیر شود، همه داده‌های بعدی آلوده می‌شوند</x:t>
        </x:is>
      </x:c>
      <x:c r="F29" s="6" t="inlineStr">
        <x:is>
          <x:t xml:space="preserve">جابه‌جایی به W0 (TK-001..004)</x:t>
        </x:is>
      </x:c>
      <x:c r="G29" s="6" t="inlineStr">
        <x:is>
          <x:t xml:space="preserve">CMO</x:t>
        </x:is>
      </x:c>
      <x:c r="H29" s="19" t="inlineStr">
        <x:is>
          <x:t xml:space="preserve">W0</x:t>
        </x:is>
      </x:c>
      <x:c r="I29" s="19" t="inlineStr">
        <x:is>
          <x:t xml:space="preserve">Open</x:t>
        </x:is>
      </x:c>
      <x:c r="J29" s="30" t="str">
        <x:v>GAP-28</x:v>
      </x:c>
      <x:c r="K29" s="30" t="str">
        <x:v>نیازمند تکمیل و تأیید مالک</x:v>
      </x:c>
      <x:c r="L29" s="30" t="str">
        <x:v>Yes</x:v>
      </x:c>
    </x:row>
    <x:row r="30">
      <x:c r="A30" s="17" t="inlineStr">
        <x:is>
          <x:t xml:space="preserve">GAP-29</x:t>
        </x:is>
      </x:c>
      <x:c r="B30" s="4" t="inlineStr">
        <x:is>
          <x:t xml:space="preserve">تعارض/یافته اسناد</x:t>
        </x:is>
      </x:c>
      <x:c r="C30" s="4" t="inlineStr">
        <x:is>
          <x:t xml:space="preserve">GTM/GA4 فعال ولی کیفیت مجهول</x:t>
        </x:is>
      </x:c>
      <x:c r="D30" s="4" t="inlineStr">
        <x:is>
          <x:t xml:space="preserve">یافته ممیزی RITANA-ROADMAP (0/6 فاز اجرا شده)</x:t>
        </x:is>
      </x:c>
      <x:c r="E30" s="4" t="inlineStr">
        <x:is>
          <x:t xml:space="preserve">ممکن است داده‌های موجود قابل اعتماد نباشند</x:t>
        </x:is>
      </x:c>
      <x:c r="F30" s="4" t="inlineStr">
        <x:is>
          <x:t xml:space="preserve">TK-007 ممیزی بنچمارک + TK-039 مانیتور</x:t>
        </x:is>
      </x:c>
      <x:c r="G30" s="4" t="inlineStr">
        <x:is>
          <x:t xml:space="preserve">Performance Marketing Lead</x:t>
        </x:is>
      </x:c>
      <x:c r="H30" s="17" t="inlineStr">
        <x:is>
          <x:t xml:space="preserve">W0</x:t>
        </x:is>
      </x:c>
      <x:c r="I30" s="17" t="inlineStr">
        <x:is>
          <x:t xml:space="preserve">Open</x:t>
        </x:is>
      </x:c>
      <x:c r="J30" s="30" t="str">
        <x:v>GAP-29</x:v>
      </x:c>
      <x:c r="K30" s="30" t="str">
        <x:v>نیازمند تکمیل و تأیید مالک</x:v>
      </x:c>
      <x:c r="L30" s="30" t="str">
        <x:v>Yes</x:v>
      </x:c>
    </x:row>
    <x:row r="31">
      <x:c r="A31" s="19" t="inlineStr">
        <x:is>
          <x:t xml:space="preserve">GAP-30</x:t>
        </x:is>
      </x:c>
      <x:c r="B31" s="6" t="inlineStr">
        <x:is>
          <x:t xml:space="preserve">تعارض/یافته اسناد</x:t>
        </x:is>
      </x:c>
      <x:c r="C31" s="6" t="inlineStr">
        <x:is>
          <x:t xml:space="preserve">ذخیره شماره خام به‌عنوان user_id</x:t>
        </x:is>
      </x:c>
      <x:c r="D31" s="6" t="inlineStr">
        <x:is>
          <x:t xml:space="preserve">ریسک R7 / یافته F9 راهبرد کلان</x:t>
        </x:is>
      </x:c>
      <x:c r="E31" s="6" t="inlineStr">
        <x:is>
          <x:t xml:space="preserve">نقض حریم خصوصی و خطای تطبیق</x:t>
        </x:is>
      </x:c>
      <x:c r="F31" s="6" t="inlineStr">
        <x:is>
          <x:t xml:space="preserve">سیاست TK-004 + ماژول TK-011 (SHA-256/E.164)</x:t>
        </x:is>
      </x:c>
      <x:c r="G31" s="6" t="inlineStr">
        <x:is>
          <x:t xml:space="preserve">Security &amp; Governance</x:t>
        </x:is>
      </x:c>
      <x:c r="H31" s="19" t="inlineStr">
        <x:is>
          <x:t xml:space="preserve">W1</x:t>
        </x:is>
      </x:c>
      <x:c r="I31" s="19" t="inlineStr">
        <x:is>
          <x:t xml:space="preserve">Open</x:t>
        </x:is>
      </x:c>
      <x:c r="J31" s="30" t="str">
        <x:v>GAP-30</x:v>
      </x:c>
      <x:c r="K31" s="30" t="str">
        <x:v>نیازمند تکمیل و تأیید مالک</x:v>
      </x:c>
      <x:c r="L31" s="30" t="str">
        <x:v>Yes</x:v>
      </x:c>
    </x:row>
    <x:row r="32">
      <x:c r="A32" s="17" t="inlineStr">
        <x:is>
          <x:t xml:space="preserve">GAP-31</x:t>
        </x:is>
      </x:c>
      <x:c r="B32" s="4" t="inlineStr">
        <x:is>
          <x:t xml:space="preserve">تعارض/یافته اسناد</x:t>
        </x:is>
      </x:c>
      <x:c r="C32" s="4" t="inlineStr">
        <x:is>
          <x:t xml:space="preserve">Clarity و لاگ وب پوشش داده نشده</x:t>
        </x:is>
      </x:c>
      <x:c r="D32" s="4" t="inlineStr">
        <x:is>
          <x:t xml:space="preserve">ممیزی ریشه: دو منبع ناپایش‌شده</x:t>
        </x:is>
      </x:c>
      <x:c r="E32" s="4" t="inlineStr">
        <x:is>
          <x:t xml:space="preserve">نقطه کور در تحلیل رفتار</x:t>
        </x:is>
      </x:c>
      <x:c r="F32" s="4" t="inlineStr">
        <x:is>
          <x:t xml:space="preserve">گنجاندن در ممیزی TK-007 و ابزار TK-039</x:t>
        </x:is>
      </x:c>
      <x:c r="G32" s="4" t="inlineStr">
        <x:is>
          <x:t xml:space="preserve">DevOps/Web Engineer</x:t>
        </x:is>
      </x:c>
      <x:c r="H32" s="17" t="inlineStr">
        <x:is>
          <x:t xml:space="preserve">W2</x:t>
        </x:is>
      </x:c>
      <x:c r="I32" s="17" t="inlineStr">
        <x:is>
          <x:t xml:space="preserve">Open</x:t>
        </x:is>
      </x:c>
      <x:c r="J32" s="30" t="str">
        <x:v>GAP-31</x:v>
      </x:c>
      <x:c r="K32" s="30" t="str">
        <x:v>نیازمند تکمیل و تأیید مالک</x:v>
      </x:c>
      <x:c r="L32" s="30" t="str">
        <x:v>Yes</x:v>
      </x:c>
    </x:row>
    <x:row r="33">
      <x:c r="A33" s="19" t="inlineStr">
        <x:is>
          <x:t xml:space="preserve">GAP-32</x:t>
        </x:is>
      </x:c>
      <x:c r="B33" s="6" t="inlineStr">
        <x:is>
          <x:t xml:space="preserve">تعارض/یافته اسناد</x:t>
        </x:is>
      </x:c>
      <x:c r="C33" s="6" t="inlineStr">
        <x:is>
          <x:t xml:space="preserve">عدم وجود فایل وضعیت/اجرا در مخزن</x:t>
        </x:is>
      </x:c>
      <x:c r="D33" s="6" t="inlineStr">
        <x:is>
          <x:t xml:space="preserve">ls/find ریشه: هیچ status/evidence file</x:t>
        </x:is>
      </x:c>
      <x:c r="E33" s="6" t="inlineStr">
        <x:is>
          <x:t xml:space="preserve">امکان ادعای «اجراشده» بدون مدرک</x:t>
        </x:is>
      </x:c>
      <x:c r="F33" s="6" t="inlineStr">
        <x:is>
          <x:t xml:space="preserve">Status همه = Proposed تا مدرک ارائه شود</x:t>
        </x:is>
      </x:c>
      <x:c r="G33" s="6" t="inlineStr">
        <x:is>
          <x:t xml:space="preserve">PMO</x:t>
        </x:is>
      </x:c>
      <x:c r="H33" s="19" t="inlineStr">
        <x:is>
          <x:t xml:space="preserve">W0</x:t>
        </x:is>
      </x:c>
      <x:c r="I33" s="19" t="inlineStr">
        <x:is>
          <x:t xml:space="preserve">Open</x:t>
        </x:is>
      </x:c>
      <x:c r="J33" s="30" t="str">
        <x:v>GAP-32</x:v>
      </x:c>
      <x:c r="K33" s="30" t="str">
        <x:v>نیازمند تکمیل و تأیید مالک</x:v>
      </x:c>
      <x:c r="L33" s="30" t="str">
        <x:v>Yes</x:v>
      </x:c>
    </x:row>
  </x:sheetData>
  <x:conditionalFormatting sqref="I2:I33">
    <x:cfRule type="cellIs" dxfId="0" priority="1" operator="equal">
      <x:formula>"Blocked"</x:formula>
    </x:cfRule>
    <x:cfRule type="cellIs" dxfId="11" priority="2" operator="equal">
      <x:formula>"Open"</x:formula>
    </x:cfRule>
  </x:conditionalFormatting>
  <x:pageMargins left="0.7" right="0.7" top="0.75" bottom="0.75" header="0.3" footer="0.3"/>
  <x:tableParts count="2">
    <x:tablePart xmlns:r="http://schemas.openxmlformats.org/officeDocument/2006/relationships" r:id="Re8e361bacea7484a"/>
    <x:tablePart xmlns:r="http://schemas.openxmlformats.org/officeDocument/2006/relationships" r:id="R476a9bc448744a4d"/>
  </x:tableParts>
</x:worksheet>
</file>

<file path=xl/worksheets/sheet20.xml><?xml version="1.0" encoding="utf-8"?>
<x:worksheet xmlns:x="http://schemas.openxmlformats.org/spreadsheetml/2006/main">
  <x:sheetPr>
    <x:tabColor rgb="FF1F4E78"/>
  </x:sheetPr>
  <x:sheetViews>
    <x:sheetView workbookViewId="0">
      <x:pane ySplit="1" topLeftCell="A2" activePane="bottomLeft" state="frozen"/>
    </x:sheetView>
  </x:sheetViews>
  <x:sheetFormatPr baseColWidth="8" defaultRowHeight="15"/>
  <x:cols>
    <x:col min="1" max="1" width="9" customWidth="1"/>
    <x:col min="2" max="2" width="34" customWidth="1"/>
    <x:col min="3" max="3" width="36" customWidth="1"/>
    <x:col min="4" max="4" width="26" customWidth="1"/>
    <x:col min="5" max="5" width="34" customWidth="1"/>
    <x:col min="6" max="6" width="50" customWidth="1"/>
    <x:col min="7" max="7" width="10" customWidth="1"/>
    <x:col min="8" max="8" width="40" customWidth="1"/>
    <x:col min="9" max="9" width="18" hidden="0" customWidth="1"/>
    <x:col min="10" max="10" width="18" hidden="0" customWidth="1"/>
    <x:col min="11" max="11" width="18" hidden="0" customWidth="1"/>
    <x:col min="12" max="12" width="18" hidden="0" customWidth="1"/>
  </x:cols>
  <x:sheetData>
    <x:row r="1" ht="30" customHeight="1">
      <x:c r="A1" s="5" t="inlineStr">
        <x:is>
          <x:t xml:space="preserve">Bench_ID</x:t>
        </x:is>
      </x:c>
      <x:c r="B1" s="5" t="inlineStr">
        <x:is>
          <x:t xml:space="preserve">Section</x:t>
        </x:is>
      </x:c>
      <x:c r="C1" s="5" t="inlineStr">
        <x:is>
          <x:t xml:space="preserve">Metric</x:t>
        </x:is>
      </x:c>
      <x:c r="D1" s="5" t="inlineStr">
        <x:is>
          <x:t xml:space="preserve">Benchmark_Value</x:t>
        </x:is>
      </x:c>
      <x:c r="E1" s="5" t="inlineStr">
        <x:is>
          <x:t xml:space="preserve">Validation_Status</x:t>
        </x:is>
      </x:c>
      <x:c r="F1" s="5" t="inlineStr">
        <x:is>
          <x:t xml:space="preserve">Business_Logic_FA</x:t>
        </x:is>
      </x:c>
      <x:c r="G1" s="5" t="inlineStr">
        <x:is>
          <x:t xml:space="preserve">Source_Doc</x:t>
        </x:is>
      </x:c>
      <x:c r="H1" s="5" t="inlineStr">
        <x:is>
          <x:t xml:space="preserve">Calibration_Protocol</x:t>
        </x:is>
      </x:c>
      <x:c r="I1" s="27" t="str">
        <x:v>Benchmark_ID_Link</x:v>
      </x:c>
      <x:c r="J1" s="27" t="str">
        <x:v>Required_Data_Window</x:v>
      </x:c>
      <x:c r="K1" s="27" t="str">
        <x:v>Approved_Value</x:v>
      </x:c>
      <x:c r="L1" s="27" t="str">
        <x:v>Approved_By</x:v>
      </x:c>
    </x:row>
    <x:row r="2">
      <x:c r="A2" s="17" t="inlineStr">
        <x:is>
          <x:t xml:space="preserve">BNCH-01</x:t>
        </x:is>
      </x:c>
      <x:c r="B2" s="4" t="inlineStr">
        <x:is>
          <x:t xml:space="preserve">بنچ‌مارک‌های مالی و اقتصاد واحد (Financial &amp; Unit Economics Benchmarks)</x:t>
        </x:is>
      </x:c>
      <x:c r="C2" s="4" t="inlineStr">
        <x:is>
          <x:t xml:space="preserve">میانگین ارزش سفارش مواد (Consumables AOV)</x:t>
        </x:is>
      </x:c>
      <x:c r="D2" s="4" t="inlineStr">
        <x:is>
          <x:t xml:space="preserve">۳۵ تا ۶۵ میلیون ریال</x:t>
        </x:is>
      </x:c>
      <x:c r="E2" s="4" t="inlineStr">
        <x:is>
          <x:t xml:space="preserve">فرض اولیه — نیازمند اعتبارسنجی با داده واقعی Titana</x:t>
        </x:is>
      </x:c>
      <x:c r="F2" s="4" t="inlineStr">
        <x:is>
          <x:t xml:space="preserve">سبد سفارش دوره‌ای مواد مصرفی، قالب‌گیری و ترمیمی مطب</x:t>
        </x:is>
      </x:c>
      <x:c r="G2" s="4" t="inlineStr">
        <x:is>
          <x:t xml:space="preserve">سند ۱۱</x:t>
        </x:is>
      </x:c>
      <x:c r="H2" s="4" t="inlineStr">
        <x:is>
          <x:t xml:space="preserve">کالیبراسیون فصلی + حذف برچسب پس از ۵۰ رکورد + تایید مالی (پروتکل سند ۱۱)</x:t>
        </x:is>
      </x:c>
      <x:c r="I2" s="30" t="str">
        <x:v>BNCH-01</x:v>
      </x:c>
      <x:c r="J2" s="30" t="str">
        <x:v>نیازمند تکمیل و تأیید مالک</x:v>
      </x:c>
      <x:c r="K2" s="30" t="str"/>
      <x:c r="L2" s="30" t="str"/>
    </x:row>
    <x:row r="3">
      <x:c r="A3" s="19" t="inlineStr">
        <x:is>
          <x:t xml:space="preserve">BNCH-02</x:t>
        </x:is>
      </x:c>
      <x:c r="B3" s="6" t="inlineStr">
        <x:is>
          <x:t xml:space="preserve">بنچ‌مارک‌های مالی و اقتصاد واحد (Financial &amp; Unit Economics Benchmarks)</x:t>
        </x:is>
      </x:c>
      <x:c r="C3" s="6" t="inlineStr">
        <x:is>
          <x:t xml:space="preserve">میانگین ارزش سفارش تجهیزات (Equipment AOV)</x:t>
        </x:is>
      </x:c>
      <x:c r="D3" s="6" t="inlineStr">
        <x:is>
          <x:t xml:space="preserve">۱.۲ تا ۳.۵ میلیارد ریال</x:t>
        </x:is>
      </x:c>
      <x:c r="E3" s="6" t="inlineStr">
        <x:is>
          <x:t xml:space="preserve">فرض اولیه — نیازمند اعتبارسنجی با داده واقعی Titana</x:t>
        </x:is>
      </x:c>
      <x:c r="F3" s="6" t="inlineStr">
        <x:is>
          <x:t xml:space="preserve">فروش دستگاه‌های سنگین، یونیت، اتوکلاو و اسکنر داخل دهانی</x:t>
        </x:is>
      </x:c>
      <x:c r="G3" s="6" t="inlineStr">
        <x:is>
          <x:t xml:space="preserve">سند ۱۱</x:t>
        </x:is>
      </x:c>
      <x:c r="H3" s="6" t="inlineStr">
        <x:is>
          <x:t xml:space="preserve">کالیبراسیون فصلی + حذف برچسب پس از ۵۰ رکورد + تایید مالی (پروتکل سند ۱۱)</x:t>
        </x:is>
      </x:c>
      <x:c r="I3" s="30" t="str">
        <x:v>BNCH-02</x:v>
      </x:c>
      <x:c r="J3" s="30" t="str">
        <x:v>نیازمند تکمیل و تأیید مالک</x:v>
      </x:c>
      <x:c r="K3" s="30" t="str"/>
      <x:c r="L3" s="30" t="str"/>
    </x:row>
    <x:row r="4">
      <x:c r="A4" s="17" t="inlineStr">
        <x:is>
          <x:t xml:space="preserve">BNCH-03</x:t>
        </x:is>
      </x:c>
      <x:c r="B4" s="4" t="inlineStr">
        <x:is>
          <x:t xml:space="preserve">بنچ‌مارک‌های مالی و اقتصاد واحد (Financial &amp; Unit Economics Benchmarks)</x:t>
        </x:is>
      </x:c>
      <x:c r="C4" s="4" t="inlineStr">
        <x:is>
          <x:t xml:space="preserve">حاشیه سود ناخالص مواد (Gross Margin %)</x:t>
        </x:is>
      </x:c>
      <x:c r="D4" s="4" t="inlineStr">
        <x:is>
          <x:t xml:space="preserve">۲۲٪ تا ۳۲٪</x:t>
        </x:is>
      </x:c>
      <x:c r="E4" s="4" t="inlineStr">
        <x:is>
          <x:t xml:space="preserve">فرض اولیه — نیازمند اعتبارسنجی با داده واقعی Titana</x:t>
        </x:is>
      </x:c>
      <x:c r="F4" s="4" t="inlineStr">
        <x:is>
          <x:t xml:space="preserve">حاشیه سود متداول اقلام مصرفی پس از کسر تخفیف و COGS</x:t>
        </x:is>
      </x:c>
      <x:c r="G4" s="4" t="inlineStr">
        <x:is>
          <x:t xml:space="preserve">سند ۱۱</x:t>
        </x:is>
      </x:c>
      <x:c r="H4" s="4" t="inlineStr">
        <x:is>
          <x:t xml:space="preserve">کالیبراسیون فصلی + حذف برچسب پس از ۵۰ رکورد + تایید مالی (پروتکل سند ۱۱)</x:t>
        </x:is>
      </x:c>
      <x:c r="I4" s="30" t="str">
        <x:v>BNCH-03</x:v>
      </x:c>
      <x:c r="J4" s="30" t="str">
        <x:v>نیازمند تکمیل و تأیید مالک</x:v>
      </x:c>
      <x:c r="K4" s="30" t="str"/>
      <x:c r="L4" s="30" t="str"/>
    </x:row>
    <x:row r="5">
      <x:c r="A5" s="19" t="inlineStr">
        <x:is>
          <x:t xml:space="preserve">BNCH-04</x:t>
        </x:is>
      </x:c>
      <x:c r="B5" s="6" t="inlineStr">
        <x:is>
          <x:t xml:space="preserve">بنچ‌مارک‌های مالی و اقتصاد واحد (Financial &amp; Unit Economics Benchmarks)</x:t>
        </x:is>
      </x:c>
      <x:c r="C5" s="6" t="inlineStr">
        <x:is>
          <x:t xml:space="preserve">حاشیه سود ناخالص تجهیزات (Gross Margin %)</x:t>
        </x:is>
      </x:c>
      <x:c r="D5" s="6" t="inlineStr">
        <x:is>
          <x:t xml:space="preserve">۱۸٪ تا ۲۵٪</x:t>
        </x:is>
      </x:c>
      <x:c r="E5" s="6" t="inlineStr">
        <x:is>
          <x:t xml:space="preserve">فرض اولیه — نیازمند اعتبارسنجی با داده واقعی Titana</x:t>
        </x:is>
      </x:c>
      <x:c r="F5" s="6" t="inlineStr">
        <x:is>
          <x:t xml:space="preserve">سود سرمایه‌ای دستگاه‌ها به دلیل بالا بودن قیمت پایه و خدمات</x:t>
        </x:is>
      </x:c>
      <x:c r="G5" s="6" t="inlineStr">
        <x:is>
          <x:t xml:space="preserve">سند ۱۱</x:t>
        </x:is>
      </x:c>
      <x:c r="H5" s="6" t="inlineStr">
        <x:is>
          <x:t xml:space="preserve">کالیبراسیون فصلی + حذف برچسب پس از ۵۰ رکورد + تایید مالی (پروتکل سند ۱۱)</x:t>
        </x:is>
      </x:c>
      <x:c r="I5" s="30" t="str">
        <x:v>BNCH-04</x:v>
      </x:c>
      <x:c r="J5" s="30" t="str">
        <x:v>نیازمند تکمیل و تأیید مالک</x:v>
      </x:c>
      <x:c r="K5" s="30" t="str"/>
      <x:c r="L5" s="30" t="str"/>
    </x:row>
    <x:row r="6">
      <x:c r="A6" s="17" t="inlineStr">
        <x:is>
          <x:t xml:space="preserve">BNCH-05</x:t>
        </x:is>
      </x:c>
      <x:c r="B6" s="4" t="inlineStr">
        <x:is>
          <x:t xml:space="preserve">بنچ‌مارک‌های مالی و اقتصاد واحد (Financial &amp; Unit Economics Benchmarks)</x:t>
        </x:is>
      </x:c>
      <x:c r="C6" s="4" t="inlineStr">
        <x:is>
          <x:t xml:space="preserve">سود سهمی هدف (Contribution Margin %)</x:t>
        </x:is>
      </x:c>
      <x:c r="D6" s="4" t="inlineStr">
        <x:is>
          <x:t xml:space="preserve">حداقل ۱۵٪</x:t>
        </x:is>
      </x:c>
      <x:c r="E6" s="4" t="inlineStr">
        <x:is>
          <x:t xml:space="preserve">فرض اولیه — نیازمند اعتبارسنجی با داده واقعی Titana</x:t>
        </x:is>
      </x:c>
      <x:c r="F6" s="4" t="inlineStr">
        <x:is>
          <x:t xml:space="preserve">سود خالص پس از کسر کلیه هزینه‌های مارکتینگ و باربری</x:t>
        </x:is>
      </x:c>
      <x:c r="G6" s="4" t="inlineStr">
        <x:is>
          <x:t xml:space="preserve">سند ۱۱</x:t>
        </x:is>
      </x:c>
      <x:c r="H6" s="4" t="inlineStr">
        <x:is>
          <x:t xml:space="preserve">کالیبراسیون فصلی + حذف برچسب پس از ۵۰ رکورد + تایید مالی (پروتکل سند ۱۱)</x:t>
        </x:is>
      </x:c>
      <x:c r="I6" s="30" t="str">
        <x:v>BNCH-05</x:v>
      </x:c>
      <x:c r="J6" s="30" t="str">
        <x:v>نیازمند تکمیل و تأیید مالک</x:v>
      </x:c>
      <x:c r="K6" s="30" t="str"/>
      <x:c r="L6" s="30" t="str"/>
    </x:row>
    <x:row r="7">
      <x:c r="A7" s="19" t="inlineStr">
        <x:is>
          <x:t xml:space="preserve">BNCH-06</x:t>
        </x:is>
      </x:c>
      <x:c r="B7" s="6" t="inlineStr">
        <x:is>
          <x:t xml:space="preserve">بنچ‌مارک‌های مالی و اقتصاد واحد (Financial &amp; Unit Economics Benchmarks)</x:t>
        </x:is>
      </x:c>
      <x:c r="C7" s="6" t="inlineStr">
        <x:is>
          <x:t xml:space="preserve">حداقل بازگشت هزینه تبلیغات (Breakeven ROAS)</x:t>
        </x:is>
      </x:c>
      <x:c r="D7" s="6" t="inlineStr">
        <x:is>
          <x:t xml:space="preserve">۳.۵ تا ۴.۲ برابر</x:t>
        </x:is>
      </x:c>
      <x:c r="E7" s="6" t="inlineStr">
        <x:is>
          <x:t xml:space="preserve">فرض اولیه — نیازمند اعتبارسنجی با داده واقعی Titana</x:t>
        </x:is>
      </x:c>
      <x:c r="F7" s="6" t="inlineStr">
        <x:is>
          <x:t xml:space="preserve">نقطه سربی‌سر کمپین‌های پولی با احتساب حاشیه سود ناخالص ۲۵٪</x:t>
        </x:is>
      </x:c>
      <x:c r="G7" s="6" t="inlineStr">
        <x:is>
          <x:t xml:space="preserve">سند ۱۱</x:t>
        </x:is>
      </x:c>
      <x:c r="H7" s="6" t="inlineStr">
        <x:is>
          <x:t xml:space="preserve">کالیبراسیون فصلی + حذف برچسب پس از ۵۰ رکورد + تایید مالی (پروتکل سند ۱۱)</x:t>
        </x:is>
      </x:c>
      <x:c r="I7" s="30" t="str">
        <x:v>BNCH-06</x:v>
      </x:c>
      <x:c r="J7" s="30" t="str">
        <x:v>نیازمند تکمیل و تأیید مالک</x:v>
      </x:c>
      <x:c r="K7" s="30" t="str"/>
      <x:c r="L7" s="30" t="str"/>
    </x:row>
    <x:row r="8">
      <x:c r="A8" s="17" t="inlineStr">
        <x:is>
          <x:t xml:space="preserve">BNCH-07</x:t>
        </x:is>
      </x:c>
      <x:c r="B8" s="4" t="inlineStr">
        <x:is>
          <x:t xml:space="preserve">بنچ‌مارک‌های مالی و اقتصاد واحد (Financial &amp; Unit Economics Benchmarks)</x:t>
        </x:is>
      </x:c>
      <x:c r="C8" s="4" t="inlineStr">
        <x:is>
          <x:t xml:space="preserve">سود به ازای هزینه تبلیغات (Target POAS)</x:t>
        </x:is>
      </x:c>
      <x:c r="D8" s="4" t="inlineStr">
        <x:is>
          <x:t xml:space="preserve">۱.۳ تا ۱.۸ برابر</x:t>
        </x:is>
      </x:c>
      <x:c r="E8" s="4" t="inlineStr">
        <x:is>
          <x:t xml:space="preserve">فرض اولیه — نیازمند اعتبارسنجی با داده واقعی Titana</x:t>
        </x:is>
      </x:c>
      <x:c r="F8" s="4" t="inlineStr">
        <x:is>
          <x:t xml:space="preserve">خلق سود ناخالص بیش از هزینه تبلیغاتی برای تضمین رشد</x:t>
        </x:is>
      </x:c>
      <x:c r="G8" s="4" t="inlineStr">
        <x:is>
          <x:t xml:space="preserve">سند ۱۱</x:t>
        </x:is>
      </x:c>
      <x:c r="H8" s="4" t="inlineStr">
        <x:is>
          <x:t xml:space="preserve">کالیبراسیون فصلی + حذف برچسب پس از ۵۰ رکورد + تایید مالی (پروتکل سند ۱۱)</x:t>
        </x:is>
      </x:c>
      <x:c r="I8" s="30" t="str">
        <x:v>BNCH-07</x:v>
      </x:c>
      <x:c r="J8" s="30" t="str">
        <x:v>نیازمند تکمیل و تأیید مالک</x:v>
      </x:c>
      <x:c r="K8" s="30" t="str"/>
      <x:c r="L8" s="30" t="str"/>
    </x:row>
    <x:row r="9">
      <x:c r="A9" s="19" t="inlineStr">
        <x:is>
          <x:t xml:space="preserve">BNCH-08</x:t>
        </x:is>
      </x:c>
      <x:c r="B9" s="6" t="inlineStr">
        <x:is>
          <x:t xml:space="preserve">بنچ‌مارک‌های مالی و اقتصاد واحد (Financial &amp; Unit Economics Benchmarks)</x:t>
        </x:is>
      </x:c>
      <x:c r="C9" s="6" t="inlineStr">
        <x:is>
          <x:t xml:space="preserve">نسبت LTV به CAC (LTV:CAC Ratio)</x:t>
        </x:is>
      </x:c>
      <x:c r="D9" s="6" t="inlineStr">
        <x:is>
          <x:t xml:space="preserve">۳.۰ تا ۴.۵ برابر</x:t>
        </x:is>
      </x:c>
      <x:c r="E9" s="6" t="inlineStr">
        <x:is>
          <x:t xml:space="preserve">فرض اولیه — نیازمند اعتبارسنجی با داده واقعی Titana</x:t>
        </x:is>
      </x:c>
      <x:c r="F9" s="6" t="inlineStr">
        <x:is>
          <x:t xml:space="preserve">سلامت رشد بلندمدت بیزینس؛ کمتر از ۲.۵ نشانه سوختن سرمایه</x:t>
        </x:is>
      </x:c>
      <x:c r="G9" s="6" t="inlineStr">
        <x:is>
          <x:t xml:space="preserve">سند ۱۱</x:t>
        </x:is>
      </x:c>
      <x:c r="H9" s="6" t="inlineStr">
        <x:is>
          <x:t xml:space="preserve">کالیبراسیون فصلی + حذف برچسب پس از ۵۰ رکورد + تایید مالی (پروتکل سند ۱۱)</x:t>
        </x:is>
      </x:c>
      <x:c r="I9" s="30" t="str">
        <x:v>BNCH-08</x:v>
      </x:c>
      <x:c r="J9" s="30" t="str">
        <x:v>نیازمند تکمیل و تأیید مالک</x:v>
      </x:c>
      <x:c r="K9" s="30" t="str"/>
      <x:c r="L9" s="30" t="str"/>
    </x:row>
    <x:row r="10">
      <x:c r="A10" s="17" t="inlineStr">
        <x:is>
          <x:t xml:space="preserve">BNCH-09</x:t>
        </x:is>
      </x:c>
      <x:c r="B10" s="4" t="inlineStr">
        <x:is>
          <x:t xml:space="preserve">بنچ‌مارک‌های مالی و اقتصاد واحد (Financial &amp; Unit Economics Benchmarks)</x:t>
        </x:is>
      </x:c>
      <x:c r="C10" s="4" t="inlineStr">
        <x:is>
          <x:t xml:space="preserve">دوره بازگشت هزینه جذب (CAC Payback)</x:t>
        </x:is>
      </x:c>
      <x:c r="D10" s="4" t="inlineStr">
        <x:is>
          <x:t xml:space="preserve">کمتر از ۹۰ روز (مواد) / ۱۸۰ روز (تجهیزات)</x:t>
        </x:is>
      </x:c>
      <x:c r="E10" s="4" t="inlineStr">
        <x:is>
          <x:t xml:space="preserve">فرض اولیه — نیازمند اعتبارسنجی با داده واقعی Titana</x:t>
        </x:is>
      </x:c>
      <x:c r="F10" s="4" t="inlineStr">
        <x:is>
          <x:t xml:space="preserve">سرعت بازیابی نقدینگی صرف‌شده در جذب هر دندان‌پزشک جدید</x:t>
        </x:is>
      </x:c>
      <x:c r="G10" s="4" t="inlineStr">
        <x:is>
          <x:t xml:space="preserve">سند ۱۱</x:t>
        </x:is>
      </x:c>
      <x:c r="H10" s="4" t="inlineStr">
        <x:is>
          <x:t xml:space="preserve">کالیبراسیون فصلی + حذف برچسب پس از ۵۰ رکورد + تایید مالی (پروتکل سند ۱۱)</x:t>
        </x:is>
      </x:c>
      <x:c r="I10" s="30" t="str">
        <x:v>BNCH-09</x:v>
      </x:c>
      <x:c r="J10" s="30" t="str">
        <x:v>نیازمند تکمیل و تأیید مالک</x:v>
      </x:c>
      <x:c r="K10" s="30" t="str"/>
      <x:c r="L10" s="30" t="str"/>
    </x:row>
    <x:row r="11">
      <x:c r="A11" s="19" t="inlineStr">
        <x:is>
          <x:t xml:space="preserve">BNCH-10</x:t>
        </x:is>
      </x:c>
      <x:c r="B11" s="6" t="inlineStr">
        <x:is>
          <x:t xml:space="preserve">بنچ‌مارک‌های قیف فروش B2B تجهیزات (B2B Procurement Funnel Benchmarks)</x:t>
        </x:is>
      </x:c>
      <x:c r="C11" s="6" t="inlineStr">
        <x:is>
          <x:t xml:space="preserve">نرخ تبدیل لندینگ‌پیج مواد (Landing CVR)</x:t>
        </x:is>
      </x:c>
      <x:c r="D11" s="6" t="inlineStr">
        <x:is>
          <x:t xml:space="preserve">۲.۲٪ تا ۳.۸٪</x:t>
        </x:is>
      </x:c>
      <x:c r="E11" s="6" t="inlineStr">
        <x:is>
          <x:t xml:space="preserve">فرض اولیه — نیازمند اعتبارسنجی با داده واقعی Titana</x:t>
        </x:is>
      </x:c>
      <x:c r="F11" s="6" t="inlineStr">
        <x:is>
          <x:t xml:space="preserve">تبدیل بازدیدکننده صفحه مواد مصرفی به ثبت سفارش یا سبد</x:t>
        </x:is>
      </x:c>
      <x:c r="G11" s="6" t="inlineStr">
        <x:is>
          <x:t xml:space="preserve">سند ۱۱</x:t>
        </x:is>
      </x:c>
      <x:c r="H11" s="6" t="inlineStr">
        <x:is>
          <x:t xml:space="preserve">کالیبراسیون فصلی + حذف برچسب پس از ۵۰ رکورد + تایید مالی (پروتکل سند ۱۱)</x:t>
        </x:is>
      </x:c>
      <x:c r="I11" s="30" t="str">
        <x:v>BNCH-10</x:v>
      </x:c>
      <x:c r="J11" s="30" t="str">
        <x:v>نیازمند تکمیل و تأیید مالک</x:v>
      </x:c>
      <x:c r="K11" s="30" t="str"/>
      <x:c r="L11" s="30" t="str"/>
    </x:row>
    <x:row r="12">
      <x:c r="A12" s="17" t="inlineStr">
        <x:is>
          <x:t xml:space="preserve">BNCH-11</x:t>
        </x:is>
      </x:c>
      <x:c r="B12" s="4" t="inlineStr">
        <x:is>
          <x:t xml:space="preserve">بنچ‌مارک‌های قیف فروش B2B تجهیزات (B2B Procurement Funnel Benchmarks)</x:t>
        </x:is>
      </x:c>
      <x:c r="C12" s="4" t="inlineStr">
        <x:is>
          <x:t xml:space="preserve">نرخ تبدیل لندینگ‌پیج تجهیزات (Lead CVR)</x:t>
        </x:is>
      </x:c>
      <x:c r="D12" s="4" t="inlineStr">
        <x:is>
          <x:t xml:space="preserve">۴.۵٪ تا ۷.۰٪</x:t>
        </x:is>
      </x:c>
      <x:c r="E12" s="4" t="inlineStr">
        <x:is>
          <x:t xml:space="preserve">فرض اولیه — نیازمند اعتبارسنجی با داده واقعی Titana</x:t>
        </x:is>
      </x:c>
      <x:c r="F12" s="4" t="inlineStr">
        <x:is>
          <x:t xml:space="preserve">تکمیل فرم درخواست دمو یا تماس کارشناسی در لندینگ</x:t>
        </x:is>
      </x:c>
      <x:c r="G12" s="4" t="inlineStr">
        <x:is>
          <x:t xml:space="preserve">سند ۱۱</x:t>
        </x:is>
      </x:c>
      <x:c r="H12" s="4" t="inlineStr">
        <x:is>
          <x:t xml:space="preserve">کالیبراسیون فصلی + حذف برچسب پس از ۵۰ رکورد + تایید مالی (پروتکل سند ۱۱)</x:t>
        </x:is>
      </x:c>
      <x:c r="I12" s="30" t="str">
        <x:v>BNCH-11</x:v>
      </x:c>
      <x:c r="J12" s="30" t="str">
        <x:v>نیازمند تکمیل و تأیید مالک</x:v>
      </x:c>
      <x:c r="K12" s="30" t="str"/>
      <x:c r="L12" s="30" t="str"/>
    </x:row>
    <x:row r="13">
      <x:c r="A13" s="19" t="inlineStr">
        <x:is>
          <x:t xml:space="preserve">BNCH-12</x:t>
        </x:is>
      </x:c>
      <x:c r="B13" s="6" t="inlineStr">
        <x:is>
          <x:t xml:space="preserve">بنچ‌مارک‌های قیف فروش B2B تجهیزات (B2B Procurement Funnel Benchmarks)</x:t>
        </x:is>
      </x:c>
      <x:c r="C13" s="6" t="inlineStr">
        <x:is>
          <x:t xml:space="preserve">نرخ تبدیل لید به MQL (Lead Qualification)</x:t>
        </x:is>
      </x:c>
      <x:c r="D13" s="6" t="inlineStr">
        <x:is>
          <x:t xml:space="preserve">۳۵٪ تا ۵۰٪</x:t>
        </x:is>
      </x:c>
      <x:c r="E13" s="6" t="inlineStr">
        <x:is>
          <x:t xml:space="preserve">فرض اولیه — نیازمند اعتبارسنجی با داده واقعی Titana</x:t>
        </x:is>
      </x:c>
      <x:c r="F13" s="6" t="inlineStr">
        <x:is>
          <x:t xml:space="preserve">احراز هویت موفق با استعلام شماره نظام پزشکی و نیازسنجی</x:t>
        </x:is>
      </x:c>
      <x:c r="G13" s="6" t="inlineStr">
        <x:is>
          <x:t xml:space="preserve">سند ۱۱</x:t>
        </x:is>
      </x:c>
      <x:c r="H13" s="6" t="inlineStr">
        <x:is>
          <x:t xml:space="preserve">کالیبراسیون فصلی + حذف برچسب پس از ۵۰ رکورد + تایید مالی (پروتکل سند ۱۱)</x:t>
        </x:is>
      </x:c>
      <x:c r="I13" s="30" t="str">
        <x:v>BNCH-12</x:v>
      </x:c>
      <x:c r="J13" s="30" t="str">
        <x:v>نیازمند تکمیل و تأیید مالک</x:v>
      </x:c>
      <x:c r="K13" s="30" t="str"/>
      <x:c r="L13" s="30" t="str"/>
    </x:row>
    <x:row r="14">
      <x:c r="A14" s="17" t="inlineStr">
        <x:is>
          <x:t xml:space="preserve">BNCH-13</x:t>
        </x:is>
      </x:c>
      <x:c r="B14" s="4" t="inlineStr">
        <x:is>
          <x:t xml:space="preserve">بنچ‌مارک‌های قیف فروش B2B تجهیزات (B2B Procurement Funnel Benchmarks)</x:t>
        </x:is>
      </x:c>
      <x:c r="C14" s="4" t="inlineStr">
        <x:is>
          <x:t xml:space="preserve">نرخ تبدیل MQL به SQL (Sales Accepted)</x:t>
        </x:is>
      </x:c>
      <x:c r="D14" s="4" t="inlineStr">
        <x:is>
          <x:t xml:space="preserve">۲۵٪ تا ۴۰٪</x:t>
        </x:is>
      </x:c>
      <x:c r="E14" s="4" t="inlineStr">
        <x:is>
          <x:t xml:space="preserve">فرض اولیه — نیازمند اعتبارسنجی با داده واقعی Titana</x:t>
        </x:is>
      </x:c>
      <x:c r="F14" s="4" t="inlineStr">
        <x:is>
          <x:t xml:space="preserve">توافق بر سر ارسال پیش‌فاکتور رسمی یا جلسه دمو حضوری</x:t>
        </x:is>
      </x:c>
      <x:c r="G14" s="4" t="inlineStr">
        <x:is>
          <x:t xml:space="preserve">سند ۱۱</x:t>
        </x:is>
      </x:c>
      <x:c r="H14" s="4" t="inlineStr">
        <x:is>
          <x:t xml:space="preserve">کالیبراسیون فصلی + حذف برچسب پس از ۵۰ رکورد + تایید مالی (پروتکل سند ۱۱)</x:t>
        </x:is>
      </x:c>
      <x:c r="I14" s="30" t="str">
        <x:v>BNCH-13</x:v>
      </x:c>
      <x:c r="J14" s="30" t="str">
        <x:v>نیازمند تکمیل و تأیید مالک</x:v>
      </x:c>
      <x:c r="K14" s="30" t="str"/>
      <x:c r="L14" s="30" t="str"/>
    </x:row>
    <x:row r="15">
      <x:c r="A15" s="19" t="inlineStr">
        <x:is>
          <x:t xml:space="preserve">BNCH-14</x:t>
        </x:is>
      </x:c>
      <x:c r="B15" s="6" t="inlineStr">
        <x:is>
          <x:t xml:space="preserve">بنچ‌مارک‌های قیف فروش B2B تجهیزات (B2B Procurement Funnel Benchmarks)</x:t>
        </x:is>
      </x:c>
      <x:c r="C15" s="6" t="inlineStr">
        <x:is>
          <x:t xml:space="preserve">نرخ بستن نهایی معامله (SQL to Close)</x:t>
        </x:is>
      </x:c>
      <x:c r="D15" s="6" t="inlineStr">
        <x:is>
          <x:t xml:space="preserve">۱۵٪ تا ۲۸٪</x:t>
        </x:is>
      </x:c>
      <x:c r="E15" s="6" t="inlineStr">
        <x:is>
          <x:t xml:space="preserve">فرض اولیه — نیازمند اعتبارسنجی با داده واقعی Titana</x:t>
        </x:is>
      </x:c>
      <x:c r="F15" s="6" t="inlineStr">
        <x:is>
          <x:t xml:space="preserve">تسویه قطعی و تحویل دستگاه به کلینیک دندان‌پزشکی</x:t>
        </x:is>
      </x:c>
      <x:c r="G15" s="6" t="inlineStr">
        <x:is>
          <x:t xml:space="preserve">سند ۱۱</x:t>
        </x:is>
      </x:c>
      <x:c r="H15" s="6" t="inlineStr">
        <x:is>
          <x:t xml:space="preserve">کالیبراسیون فصلی + حذف برچسب پس از ۵۰ رکورد + تایید مالی (پروتکل سند ۱۱)</x:t>
        </x:is>
      </x:c>
      <x:c r="I15" s="30" t="str">
        <x:v>BNCH-14</x:v>
      </x:c>
      <x:c r="J15" s="30" t="str">
        <x:v>نیازمند تکمیل و تأیید مالک</x:v>
      </x:c>
      <x:c r="K15" s="30" t="str"/>
      <x:c r="L15" s="30" t="str"/>
    </x:row>
    <x:row r="16">
      <x:c r="A16" s="17" t="inlineStr">
        <x:is>
          <x:t xml:space="preserve">BNCH-15</x:t>
        </x:is>
      </x:c>
      <x:c r="B16" s="4" t="inlineStr">
        <x:is>
          <x:t xml:space="preserve">بنچ‌مارک‌های قیف فروش B2B تجهیزات (B2B Procurement Funnel Benchmarks)</x:t>
        </x:is>
      </x:c>
      <x:c r="C16" s="4" t="inlineStr">
        <x:is>
          <x:t xml:space="preserve">سرعت پاسخ به لید (Response Time SLA)</x:t>
        </x:is>
      </x:c>
      <x:c r="D16" s="4" t="inlineStr">
        <x:is>
          <x:t xml:space="preserve">کمتر از ۳۰ دقیقه</x:t>
        </x:is>
      </x:c>
      <x:c r="E16" s="4" t="inlineStr">
        <x:is>
          <x:t xml:space="preserve">فرض اولیه — نیازمند اعتبارسنجی با داده واقعی Titana</x:t>
        </x:is>
      </x:c>
      <x:c r="F16" s="4" t="inlineStr">
        <x:is>
          <x:t xml:space="preserve">تماس تلفنی اول با دندان‌پزشک؛ تاخیر بالاتر شانس تبدیل را نصف می‌کند</x:t>
        </x:is>
      </x:c>
      <x:c r="G16" s="4" t="inlineStr">
        <x:is>
          <x:t xml:space="preserve">سند ۱۱</x:t>
        </x:is>
      </x:c>
      <x:c r="H16" s="4" t="inlineStr">
        <x:is>
          <x:t xml:space="preserve">کالیبراسیون فصلی + حذف برچسب پس از ۵۰ رکورد + تایید مالی (پروتکل سند ۱۱)</x:t>
        </x:is>
      </x:c>
      <x:c r="I16" s="30" t="str">
        <x:v>BNCH-15</x:v>
      </x:c>
      <x:c r="J16" s="30" t="str">
        <x:v>نیازمند تکمیل و تأیید مالک</x:v>
      </x:c>
      <x:c r="K16" s="30" t="str"/>
      <x:c r="L16" s="30" t="str"/>
    </x:row>
    <x:row r="17">
      <x:c r="A17" s="19" t="inlineStr">
        <x:is>
          <x:t xml:space="preserve">BNCH-16</x:t>
        </x:is>
      </x:c>
      <x:c r="B17" s="6" t="inlineStr">
        <x:is>
          <x:t xml:space="preserve">بنچ‌مارک‌های قیف فروش B2B تجهیزات (B2B Procurement Funnel Benchmarks)</x:t>
        </x:is>
      </x:c>
      <x:c r="C17" s="6" t="inlineStr">
        <x:is>
          <x:t xml:space="preserve">طول چرخه فروش تجهیزات (Sales Cycle)</x:t>
        </x:is>
      </x:c>
      <x:c r="D17" s="6" t="inlineStr">
        <x:is>
          <x:t xml:space="preserve">۱۸ تا ۴۵ روز</x:t>
        </x:is>
      </x:c>
      <x:c r="E17" s="6" t="inlineStr">
        <x:is>
          <x:t xml:space="preserve">فرض اولیه — نیازمند اعتبارسنجی با داده واقعی Titana</x:t>
        </x:is>
      </x:c>
      <x:c r="F17" s="6" t="inlineStr">
        <x:is>
          <x:t xml:space="preserve">مدت‌زمان از اولین استعلام تا پرداخت کامل وجه و نصب یونیت</x:t>
        </x:is>
      </x:c>
      <x:c r="G17" s="6" t="inlineStr">
        <x:is>
          <x:t xml:space="preserve">سند ۱۱</x:t>
        </x:is>
      </x:c>
      <x:c r="H17" s="6" t="inlineStr">
        <x:is>
          <x:t xml:space="preserve">کالیبراسیون فصلی + حذف برچسب پس از ۵۰ رکورد + تایید مالی (پروتکل سند ۱۱)</x:t>
        </x:is>
      </x:c>
      <x:c r="I17" s="30" t="str">
        <x:v>BNCH-16</x:v>
      </x:c>
      <x:c r="J17" s="30" t="str">
        <x:v>نیازمند تکمیل و تأیید مالک</x:v>
      </x:c>
      <x:c r="K17" s="30" t="str"/>
      <x:c r="L17" s="30" t="str"/>
    </x:row>
    <x:row r="18">
      <x:c r="A18" s="17" t="inlineStr">
        <x:is>
          <x:t xml:space="preserve">BNCH-17</x:t>
        </x:is>
      </x:c>
      <x:c r="B18" s="4" t="inlineStr">
        <x:is>
          <x:t xml:space="preserve">بنچ‌مارک‌های رسانه‌های پولی و دیجیتال (Paid Media &amp; Channel Benchmarks)</x:t>
        </x:is>
      </x:c>
      <x:c r="C18" s="4" t="inlineStr">
        <x:is>
          <x:t xml:space="preserve">نرخ کلیک سرچ گوگل ادز (Search CTR)</x:t>
        </x:is>
      </x:c>
      <x:c r="D18" s="4" t="inlineStr">
        <x:is>
          <x:t xml:space="preserve">۴.۵٪ تا ۸.۵٪</x:t>
        </x:is>
      </x:c>
      <x:c r="E18" s="4" t="inlineStr">
        <x:is>
          <x:t xml:space="preserve">فرض اولیه — نیازمند اعتبارسنجی با داده واقعی Titana</x:t>
        </x:is>
      </x:c>
      <x:c r="F18" s="4" t="inlineStr">
        <x:is>
          <x:t xml:space="preserve">عبارات کلیدی تجهیزات و مواد تخصصی دندان‌پزشکی</x:t>
        </x:is>
      </x:c>
      <x:c r="G18" s="4" t="inlineStr">
        <x:is>
          <x:t xml:space="preserve">سند ۱۱</x:t>
        </x:is>
      </x:c>
      <x:c r="H18" s="4" t="inlineStr">
        <x:is>
          <x:t xml:space="preserve">کالیبراسیون فصلی + حذف برچسب پس از ۵۰ رکورد + تایید مالی (پروتکل سند ۱۱)</x:t>
        </x:is>
      </x:c>
      <x:c r="I18" s="30" t="str">
        <x:v>BNCH-17</x:v>
      </x:c>
      <x:c r="J18" s="30" t="str">
        <x:v>نیازمند تکمیل و تأیید مالک</x:v>
      </x:c>
      <x:c r="K18" s="30" t="str"/>
      <x:c r="L18" s="30" t="str"/>
    </x:row>
    <x:row r="19">
      <x:c r="A19" s="19" t="inlineStr">
        <x:is>
          <x:t xml:space="preserve">BNCH-18</x:t>
        </x:is>
      </x:c>
      <x:c r="B19" s="6" t="inlineStr">
        <x:is>
          <x:t xml:space="preserve">بنچ‌مارک‌های رسانه‌های پولی و دیجیتال (Paid Media &amp; Channel Benchmarks)</x:t>
        </x:is>
      </x:c>
      <x:c r="C19" s="6" t="inlineStr">
        <x:is>
          <x:t xml:space="preserve">هزینه هر کلیک سرچ تجهیزات (Search CPC)</x:t>
        </x:is>
      </x:c>
      <x:c r="D19" s="6" t="inlineStr">
        <x:is>
          <x:t xml:space="preserve">۰.۳۰ تا ۰.۸۵ درهم/دلار</x:t>
        </x:is>
      </x:c>
      <x:c r="E19" s="6" t="inlineStr">
        <x:is>
          <x:t xml:space="preserve">فرض اولیه — نیازمند اعتبارسنجی با داده واقعی Titana</x:t>
        </x:is>
      </x:c>
      <x:c r="F19" s="6" t="inlineStr">
        <x:is>
          <x:t xml:space="preserve">مزایده در کلمات با قصد خرید بالا (High Intent Keywords)</x:t>
        </x:is>
      </x:c>
      <x:c r="G19" s="6" t="inlineStr">
        <x:is>
          <x:t xml:space="preserve">سند ۱۱</x:t>
        </x:is>
      </x:c>
      <x:c r="H19" s="6" t="inlineStr">
        <x:is>
          <x:t xml:space="preserve">کالیبراسیون فصلی + حذف برچسب پس از ۵۰ رکورد + تایید مالی (پروتکل سند ۱۱)</x:t>
        </x:is>
      </x:c>
      <x:c r="I19" s="30" t="str">
        <x:v>BNCH-18</x:v>
      </x:c>
      <x:c r="J19" s="30" t="str">
        <x:v>نیازمند تکمیل و تأیید مالک</x:v>
      </x:c>
      <x:c r="K19" s="30" t="str"/>
      <x:c r="L19" s="30" t="str"/>
    </x:row>
    <x:row r="20">
      <x:c r="A20" s="17" t="inlineStr">
        <x:is>
          <x:t xml:space="preserve">BNCH-19</x:t>
        </x:is>
      </x:c>
      <x:c r="B20" s="4" t="inlineStr">
        <x:is>
          <x:t xml:space="preserve">بنچ‌مارک‌های رسانه‌های پولی و دیجیتال (Paid Media &amp; Channel Benchmarks)</x:t>
        </x:is>
      </x:c>
      <x:c r="C20" s="4" t="inlineStr">
        <x:is>
          <x:t xml:space="preserve">نرخ کلیک تبلیغات متا ادز (Meta CTR)</x:t>
        </x:is>
      </x:c>
      <x:c r="D20" s="4" t="inlineStr">
        <x:is>
          <x:t xml:space="preserve">۰.۹٪ تا ۱.۸٪</x:t>
        </x:is>
      </x:c>
      <x:c r="E20" s="4" t="inlineStr">
        <x:is>
          <x:t xml:space="preserve">فرض اولیه — نیازمند اعتبارسنجی با داده واقعی Titana</x:t>
        </x:is>
      </x:c>
      <x:c r="F20" s="4" t="inlineStr">
        <x:is>
          <x:t xml:space="preserve">آگهی‌های ویدیویی ریلز و بنری اینستاگرام</x:t>
        </x:is>
      </x:c>
      <x:c r="G20" s="4" t="inlineStr">
        <x:is>
          <x:t xml:space="preserve">سند ۱۱</x:t>
        </x:is>
      </x:c>
      <x:c r="H20" s="4" t="inlineStr">
        <x:is>
          <x:t xml:space="preserve">کالیبراسیون فصلی + حذف برچسب پس از ۵۰ رکورد + تایید مالی (پروتکل سند ۱۱)</x:t>
        </x:is>
      </x:c>
      <x:c r="I20" s="30" t="str">
        <x:v>BNCH-19</x:v>
      </x:c>
      <x:c r="J20" s="30" t="str">
        <x:v>نیازمند تکمیل و تأیید مالک</x:v>
      </x:c>
      <x:c r="K20" s="30" t="str"/>
      <x:c r="L20" s="30" t="str"/>
    </x:row>
    <x:row r="21">
      <x:c r="A21" s="19" t="inlineStr">
        <x:is>
          <x:t xml:space="preserve">BNCH-20</x:t>
        </x:is>
      </x:c>
      <x:c r="B21" s="6" t="inlineStr">
        <x:is>
          <x:t xml:space="preserve">بنچ‌مارک‌های رسانه‌های پولی و دیجیتال (Paid Media &amp; Channel Benchmarks)</x:t>
        </x:is>
      </x:c>
      <x:c r="C21" s="6" t="inlineStr">
        <x:is>
          <x:t xml:space="preserve">نرخ قلاب ۳ ثانیه‌ای ویدیو (Hook Rate)</x:t>
        </x:is>
      </x:c>
      <x:c r="D21" s="6" t="inlineStr">
        <x:is>
          <x:t xml:space="preserve">۲۵٪ تا ۳۸٪</x:t>
        </x:is>
      </x:c>
      <x:c r="E21" s="6" t="inlineStr">
        <x:is>
          <x:t xml:space="preserve">فرض اولیه — نیازمند اعتبارسنجی با داده واقعی Titana</x:t>
        </x:is>
      </x:c>
      <x:c r="F21" s="6" t="inlineStr">
        <x:is>
          <x:t xml:space="preserve">درصد کاربرانی که ۳ ثانیه اول ویدیوی اینستاگرام را تماشا می‌کنند</x:t>
        </x:is>
      </x:c>
      <x:c r="G21" s="6" t="inlineStr">
        <x:is>
          <x:t xml:space="preserve">سند ۱۱</x:t>
        </x:is>
      </x:c>
      <x:c r="H21" s="6" t="inlineStr">
        <x:is>
          <x:t xml:space="preserve">کالیبراسیون فصلی + حذف برچسب پس از ۵۰ رکورد + تایید مالی (پروتکل سند ۱۱)</x:t>
        </x:is>
      </x:c>
      <x:c r="I21" s="30" t="str">
        <x:v>BNCH-20</x:v>
      </x:c>
      <x:c r="J21" s="30" t="str">
        <x:v>نیازمند تکمیل و تأیید مالک</x:v>
      </x:c>
      <x:c r="K21" s="30" t="str"/>
      <x:c r="L21" s="30" t="str"/>
    </x:row>
    <x:row r="22">
      <x:c r="A22" s="17" t="inlineStr">
        <x:is>
          <x:t xml:space="preserve">BNCH-21</x:t>
        </x:is>
      </x:c>
      <x:c r="B22" s="4" t="inlineStr">
        <x:is>
          <x:t xml:space="preserve">بنچ‌مارک‌های رسانه‌های پولی و دیجیتال (Paid Media &amp; Channel Benchmarks)</x:t>
        </x:is>
      </x:c>
      <x:c r="C22" s="4" t="inlineStr">
        <x:is>
          <x:t xml:space="preserve">نرخ ماندگاری ویدیو (Hold Rate)</x:t>
        </x:is>
      </x:c>
      <x:c r="D22" s="4" t="inlineStr">
        <x:is>
          <x:t xml:space="preserve">۸٪ تا ۱۵٪</x:t>
        </x:is>
      </x:c>
      <x:c r="E22" s="4" t="inlineStr">
        <x:is>
          <x:t xml:space="preserve">فرض اولیه — نیازمند اعتبارسنجی با داده واقعی Titana</x:t>
        </x:is>
      </x:c>
      <x:c r="F22" s="4" t="inlineStr">
        <x:is>
          <x:t xml:space="preserve">درصد بینندگانی که بیش از ۵۰٪ طول ویدیوی تجهیزات را می‌بینند</x:t>
        </x:is>
      </x:c>
      <x:c r="G22" s="4" t="inlineStr">
        <x:is>
          <x:t xml:space="preserve">سند ۱۱</x:t>
        </x:is>
      </x:c>
      <x:c r="H22" s="4" t="inlineStr">
        <x:is>
          <x:t xml:space="preserve">کالیبراسیون فصلی + حذف برچسب پس از ۵۰ رکورد + تایید مالی (پروتکل سند ۱۱)</x:t>
        </x:is>
      </x:c>
      <x:c r="I22" s="30" t="str">
        <x:v>BNCH-21</x:v>
      </x:c>
      <x:c r="J22" s="30" t="str">
        <x:v>نیازمند تکمیل و تأیید مالک</x:v>
      </x:c>
      <x:c r="K22" s="30" t="str"/>
      <x:c r="L22" s="30" t="str"/>
    </x:row>
    <x:row r="23">
      <x:c r="A23" s="19" t="inlineStr">
        <x:is>
          <x:t xml:space="preserve">BNCH-22</x:t>
        </x:is>
      </x:c>
      <x:c r="B23" s="6" t="inlineStr">
        <x:is>
          <x:t xml:space="preserve">بنچ‌مارک‌های رسانه‌های پولی و دیجیتال (Paid Media &amp; Channel Benchmarks)</x:t>
        </x:is>
      </x:c>
      <x:c r="C23" s="6" t="inlineStr">
        <x:is>
          <x:t xml:space="preserve">شاخص فرسایش کریتیو (Frequency Cap)</x:t>
        </x:is>
      </x:c>
      <x:c r="D23" s="6" t="inlineStr">
        <x:is>
          <x:t xml:space="preserve">۳.۵ تا ۴.۵ نمایش</x:t>
        </x:is>
      </x:c>
      <x:c r="E23" s="6" t="inlineStr">
        <x:is>
          <x:t xml:space="preserve">فرض اولیه — نیازمند اعتبارسنجی با داده واقعی Titana</x:t>
        </x:is>
      </x:c>
      <x:c r="F23" s="6" t="inlineStr">
        <x:is>
          <x:t xml:space="preserve">آستانه اشباع پیام و نیاز به تعویض محتوای ویدیویی</x:t>
        </x:is>
      </x:c>
      <x:c r="G23" s="6" t="inlineStr">
        <x:is>
          <x:t xml:space="preserve">سند ۱۱</x:t>
        </x:is>
      </x:c>
      <x:c r="H23" s="6" t="inlineStr">
        <x:is>
          <x:t xml:space="preserve">کالیبراسیون فصلی + حذف برچسب پس از ۵۰ رکورد + تایید مالی (پروتکل سند ۱۱)</x:t>
        </x:is>
      </x:c>
      <x:c r="I23" s="30" t="str">
        <x:v>BNCH-22</x:v>
      </x:c>
      <x:c r="J23" s="30" t="str">
        <x:v>نیازمند تکمیل و تأیید مالک</x:v>
      </x:c>
      <x:c r="K23" s="30" t="str"/>
      <x:c r="L23" s="30" t="str"/>
    </x:row>
    <x:row r="24">
      <x:c r="A24" s="17" t="inlineStr">
        <x:is>
          <x:t xml:space="preserve">BNCH-23</x:t>
        </x:is>
      </x:c>
      <x:c r="B24" s="4" t="inlineStr">
        <x:is>
          <x:t xml:space="preserve">بنچ‌مارک‌های رسانه‌های پولی و دیجیتال (Paid Media &amp; Channel Benchmarks)</x:t>
        </x:is>
      </x:c>
      <x:c r="C24" s="4" t="inlineStr">
        <x:is>
          <x:t xml:space="preserve">نرخ تحویل پیامک‌های تبلیغاتی (SMS Delivery)</x:t>
        </x:is>
      </x:c>
      <x:c r="D24" s="4" t="inlineStr">
        <x:is>
          <x:t xml:space="preserve">۸۸٪ تا ۹۵٪</x:t>
        </x:is>
      </x:c>
      <x:c r="E24" s="4" t="inlineStr">
        <x:is>
          <x:t xml:space="preserve">فرض اولیه — نیازمند اعتبارسنجی با داده واقعی Titana</x:t>
        </x:is>
      </x:c>
      <x:c r="F24" s="4" t="inlineStr">
        <x:is>
          <x:t xml:space="preserve">با کسر خطوط بلک‌لیست مخابراتی دندان‌پزشکان</x:t>
        </x:is>
      </x:c>
      <x:c r="G24" s="4" t="inlineStr">
        <x:is>
          <x:t xml:space="preserve">سند ۱۱</x:t>
        </x:is>
      </x:c>
      <x:c r="H24" s="4" t="inlineStr">
        <x:is>
          <x:t xml:space="preserve">کالیبراسیون فصلی + حذف برچسب پس از ۵۰ رکورد + تایید مالی (پروتکل سند ۱۱)</x:t>
        </x:is>
      </x:c>
      <x:c r="I24" s="30" t="str">
        <x:v>BNCH-23</x:v>
      </x:c>
      <x:c r="J24" s="30" t="str">
        <x:v>نیازمند تکمیل و تأیید مالک</x:v>
      </x:c>
      <x:c r="K24" s="30" t="str"/>
      <x:c r="L24" s="30" t="str"/>
    </x:row>
    <x:row r="25">
      <x:c r="A25" s="19" t="inlineStr">
        <x:is>
          <x:t xml:space="preserve">BNCH-24</x:t>
        </x:is>
      </x:c>
      <x:c r="B25" s="6" t="inlineStr">
        <x:is>
          <x:t xml:space="preserve">بنچ‌مارک‌های رسانه‌های پولی و دیجیتال (Paid Media &amp; Channel Benchmarks)</x:t>
        </x:is>
      </x:c>
      <x:c r="C25" s="6" t="inlineStr">
        <x:is>
          <x:t xml:space="preserve">نرخ کلیک پیامک یادآوری خرید (SMS CTR)</x:t>
        </x:is>
      </x:c>
      <x:c r="D25" s="6" t="inlineStr">
        <x:is>
          <x:t xml:space="preserve">۴.۰٪ تا ۷.۵٪</x:t>
        </x:is>
      </x:c>
      <x:c r="E25" s="6" t="inlineStr">
        <x:is>
          <x:t xml:space="preserve">فرض اولیه — نیازمند اعتبارسنجی با داده واقعی Titana</x:t>
        </x:is>
      </x:c>
      <x:c r="F25" s="6" t="inlineStr">
        <x:is>
          <x:t xml:space="preserve">پیامک‌های شخصی‌سازی‌شده یادآوری شارژ متریال مطب</x:t>
        </x:is>
      </x:c>
      <x:c r="G25" s="6" t="inlineStr">
        <x:is>
          <x:t xml:space="preserve">سند ۱۱</x:t>
        </x:is>
      </x:c>
      <x:c r="H25" s="6" t="inlineStr">
        <x:is>
          <x:t xml:space="preserve">کالیبراسیون فصلی + حذف برچسب پس از ۵۰ رکورد + تایید مالی (پروتکل سند ۱۱)</x:t>
        </x:is>
      </x:c>
      <x:c r="I25" s="30" t="str">
        <x:v>BNCH-24</x:v>
      </x:c>
      <x:c r="J25" s="30" t="str">
        <x:v>نیازمند تکمیل و تأیید مالک</x:v>
      </x:c>
      <x:c r="K25" s="30" t="str"/>
      <x:c r="L25" s="30" t="str"/>
    </x:row>
    <x:row r="26">
      <x:c r="A26" s="17" t="inlineStr">
        <x:is>
          <x:t xml:space="preserve">BNCH-25</x:t>
        </x:is>
      </x:c>
      <x:c r="B26" s="4" t="inlineStr">
        <x:is>
          <x:t xml:space="preserve">بنچ‌مارک‌های نگه‌داشت و طول عمر مشتری (Retention &amp; Lifecycle Benchmarks)</x:t>
        </x:is>
      </x:c>
      <x:c r="C26" s="4" t="inlineStr">
        <x:is>
          <x:t xml:space="preserve">نرخ تکرار خرید ۶ ماهه (Repeat Rate)</x:t>
        </x:is>
      </x:c>
      <x:c r="D26" s="4" t="inlineStr">
        <x:is>
          <x:t xml:space="preserve">۳۵٪ تا ۴۸٪</x:t>
        </x:is>
      </x:c>
      <x:c r="E26" s="4" t="inlineStr">
        <x:is>
          <x:t xml:space="preserve">فرض اولیه — نیازمند اعتبارسنجی با داده واقعی Titana</x:t>
        </x:is>
      </x:c>
      <x:c r="F26" s="4" t="inlineStr">
        <x:is>
          <x:t xml:space="preserve">ثبت دست‌کم دو سفارش در بازه ۶ ماهه از اولین خرید</x:t>
        </x:is>
      </x:c>
      <x:c r="G26" s="4" t="inlineStr">
        <x:is>
          <x:t xml:space="preserve">سند ۱۱</x:t>
        </x:is>
      </x:c>
      <x:c r="H26" s="4" t="inlineStr">
        <x:is>
          <x:t xml:space="preserve">کالیبراسیون فصلی + حذف برچسب پس از ۵۰ رکورد + تایید مالی (پروتکل سند ۱۱)</x:t>
        </x:is>
      </x:c>
      <x:c r="I26" s="30" t="str">
        <x:v>BNCH-25</x:v>
      </x:c>
      <x:c r="J26" s="30" t="str">
        <x:v>نیازمند تکمیل و تأیید مالک</x:v>
      </x:c>
      <x:c r="K26" s="30" t="str"/>
      <x:c r="L26" s="30" t="str"/>
    </x:row>
    <x:row r="27">
      <x:c r="A27" s="19" t="inlineStr">
        <x:is>
          <x:t xml:space="preserve">BNCH-26</x:t>
        </x:is>
      </x:c>
      <x:c r="B27" s="6" t="inlineStr">
        <x:is>
          <x:t xml:space="preserve">بنچ‌مارک‌های نگه‌داشت و طول عمر مشتری (Retention &amp; Lifecycle Benchmarks)</x:t>
        </x:is>
      </x:c>
      <x:c r="C27" s="6" t="inlineStr">
        <x:is>
          <x:t xml:space="preserve">دوره تناوب خرید مجدد مواد (Interval)</x:t>
        </x:is>
      </x:c>
      <x:c r="D27" s="6" t="inlineStr">
        <x:is>
          <x:t xml:space="preserve">۲۱ تا ۳۵ روز</x:t>
        </x:is>
      </x:c>
      <x:c r="E27" s="6" t="inlineStr">
        <x:is>
          <x:t xml:space="preserve">فرض اولیه — نیازمند اعتبارسنجی با داده واقعی Titana</x:t>
        </x:is>
      </x:c>
      <x:c r="F27" s="6" t="inlineStr">
        <x:is>
          <x:t xml:space="preserve">چرخه مصرف بسته‌های روتین آرتیکائین، کامپوزیت و دستکش</x:t>
        </x:is>
      </x:c>
      <x:c r="G27" s="6" t="inlineStr">
        <x:is>
          <x:t xml:space="preserve">سند ۱۱</x:t>
        </x:is>
      </x:c>
      <x:c r="H27" s="6" t="inlineStr">
        <x:is>
          <x:t xml:space="preserve">کالیبراسیون فصلی + حذف برچسب پس از ۵۰ رکورد + تایید مالی (پروتکل سند ۱۱)</x:t>
        </x:is>
      </x:c>
      <x:c r="I27" s="30" t="str">
        <x:v>BNCH-26</x:v>
      </x:c>
      <x:c r="J27" s="30" t="str">
        <x:v>نیازمند تکمیل و تأیید مالک</x:v>
      </x:c>
      <x:c r="K27" s="30" t="str"/>
      <x:c r="L27" s="30" t="str"/>
    </x:row>
    <x:row r="28">
      <x:c r="A28" s="17" t="inlineStr">
        <x:is>
          <x:t xml:space="preserve">BNCH-27</x:t>
        </x:is>
      </x:c>
      <x:c r="B28" s="4" t="inlineStr">
        <x:is>
          <x:t xml:space="preserve">بنچ‌مارک‌های نگه‌داشت و طول عمر مشتری (Retention &amp; Lifecycle Benchmarks)</x:t>
        </x:is>
      </x:c>
      <x:c r="C28" s="4" t="inlineStr">
        <x:is>
          <x:t xml:space="preserve">نرخ ریزش سالانه کلینیک‌ها (Annual Churn)</x:t>
        </x:is>
      </x:c>
      <x:c r="D28" s="4" t="inlineStr">
        <x:is>
          <x:t xml:space="preserve">کمتر از ۱۸٪</x:t>
        </x:is>
      </x:c>
      <x:c r="E28" s="4" t="inlineStr">
        <x:is>
          <x:t xml:space="preserve">فرض اولیه — نیازمند اعتبارسنجی با داده واقعی Titana</x:t>
        </x:is>
      </x:c>
      <x:c r="F28" s="4" t="inlineStr">
        <x:is>
          <x:t xml:space="preserve">قطع کامل همکاری مطب یا توقف سفارشات در طول سال</x:t>
        </x:is>
      </x:c>
      <x:c r="G28" s="4" t="inlineStr">
        <x:is>
          <x:t xml:space="preserve">سند ۱۱</x:t>
        </x:is>
      </x:c>
      <x:c r="H28" s="4" t="inlineStr">
        <x:is>
          <x:t xml:space="preserve">کالیبراسیون فصلی + حذف برچسب پس از ۵۰ رکورد + تایید مالی (پروتکل سند ۱۱)</x:t>
        </x:is>
      </x:c>
      <x:c r="I28" s="30" t="str">
        <x:v>BNCH-27</x:v>
      </x:c>
      <x:c r="J28" s="30" t="str">
        <x:v>نیازمند تکمیل و تأیید مالک</x:v>
      </x:c>
      <x:c r="K28" s="30" t="str"/>
      <x:c r="L28" s="30" t="str"/>
    </x:row>
    <x:row r="29">
      <x:c r="A29" s="19" t="inlineStr">
        <x:is>
          <x:t xml:space="preserve">BNCH-28</x:t>
        </x:is>
      </x:c>
      <x:c r="B29" s="6" t="inlineStr">
        <x:is>
          <x:t xml:space="preserve">بنچ‌مارک‌های نگه‌داشت و طول عمر مشتری (Retention &amp; Lifecycle Benchmarks)</x:t>
        </x:is>
      </x:c>
      <x:c r="C29" s="6" t="inlineStr">
        <x:is>
          <x:t xml:space="preserve">شاخص وفاداری و ترویج‌کنندگی (NPS)</x:t>
        </x:is>
      </x:c>
      <x:c r="D29" s="6" t="inlineStr">
        <x:is>
          <x:t xml:space="preserve">بالاتر از ۴۵+</x:t>
        </x:is>
      </x:c>
      <x:c r="E29" s="6" t="inlineStr">
        <x:is>
          <x:t xml:space="preserve">فرض اولیه — نیازمند اعتبارسنجی با داده واقعی Titana</x:t>
        </x:is>
      </x:c>
      <x:c r="F29" s="6" t="inlineStr">
        <x:is>
          <x:t xml:space="preserve">سنجش رضایت از گارانتی، اصالت کالا و ارسال سریع باربری</x:t>
        </x:is>
      </x:c>
      <x:c r="G29" s="6" t="inlineStr">
        <x:is>
          <x:t xml:space="preserve">سند ۱۱</x:t>
        </x:is>
      </x:c>
      <x:c r="H29" s="6" t="inlineStr">
        <x:is>
          <x:t xml:space="preserve">کالیبراسیون فصلی + حذف برچسب پس از ۵۰ رکورد + تایید مالی (پروتکل سند ۱۱)</x:t>
        </x:is>
      </x:c>
      <x:c r="I29" s="30" t="str">
        <x:v>BNCH-28</x:v>
      </x:c>
      <x:c r="J29" s="30" t="str">
        <x:v>نیازمند تکمیل و تأیید مالک</x:v>
      </x:c>
      <x:c r="K29" s="30" t="str"/>
      <x:c r="L29" s="30" t="str"/>
    </x:row>
    <x:row r="30">
      <x:c r="A30" s="17" t="inlineStr">
        <x:is>
          <x:t xml:space="preserve">BNCH-29</x:t>
        </x:is>
      </x:c>
      <x:c r="B30" s="4" t="inlineStr">
        <x:is>
          <x:t xml:space="preserve">بنچ‌مارک‌های فنی، ردیابی و کیفیت داده (Technical &amp; Tracking Benchmarks)</x:t>
        </x:is>
      </x:c>
      <x:c r="C30" s="4" t="inlineStr">
        <x:is>
          <x:t xml:space="preserve">کیفیت تطابق رویدادهای سرور (EMQ Score)</x:t>
        </x:is>
      </x:c>
      <x:c r="D30" s="4" t="inlineStr">
        <x:is>
          <x:t xml:space="preserve">۸.۰ تا ۹.۵ از ۱۰</x:t>
        </x:is>
      </x:c>
      <x:c r="E30" s="4" t="inlineStr">
        <x:is>
          <x:t xml:space="preserve">استاندارد پلتفرم متا ادز</x:t>
        </x:is>
      </x:c>
      <x:c r="F30" s="4" t="inlineStr">
        <x:is>
          <x:t xml:space="preserve">ارسال شماره هش‌شده، ایمیل، Client ID و IP</x:t>
        </x:is>
      </x:c>
      <x:c r="G30" s="4" t="inlineStr">
        <x:is>
          <x:t xml:space="preserve">سند ۱۱</x:t>
        </x:is>
      </x:c>
      <x:c r="H30" s="4" t="inlineStr">
        <x:is>
          <x:t xml:space="preserve">کالیبراسیون فصلی + حذف برچسب پس از ۵۰ رکورد + تایید مالی (پروتکل سند ۱۱)</x:t>
        </x:is>
      </x:c>
      <x:c r="I30" s="30" t="str">
        <x:v>BNCH-29</x:v>
      </x:c>
      <x:c r="J30" s="30" t="str">
        <x:v>نیازمند تکمیل و تأیید مالک</x:v>
      </x:c>
      <x:c r="K30" s="30" t="str"/>
      <x:c r="L30" s="30" t="str"/>
    </x:row>
    <x:row r="31">
      <x:c r="A31" s="19" t="inlineStr">
        <x:is>
          <x:t xml:space="preserve">BNCH-30</x:t>
        </x:is>
      </x:c>
      <x:c r="B31" s="6" t="inlineStr">
        <x:is>
          <x:t xml:space="preserve">بنچ‌مارک‌های فنی، ردیابی و کیفیت داده (Technical &amp; Tracking Benchmarks)</x:t>
        </x:is>
      </x:c>
      <x:c r="C31" s="6" t="inlineStr">
        <x:is>
          <x:t xml:space="preserve">زمان بارگذاری کامل صفحه (LCP)</x:t>
        </x:is>
      </x:c>
      <x:c r="D31" s="6" t="inlineStr">
        <x:is>
          <x:t xml:space="preserve">کمتر از ۲.۸ ثانیه</x:t>
        </x:is>
      </x:c>
      <x:c r="E31" s="6" t="inlineStr">
        <x:is>
          <x:t xml:space="preserve">استاندارد Core Web Vitals گوگل</x:t>
        </x:is>
      </x:c>
      <x:c r="F31" s="6" t="inlineStr">
        <x:is>
          <x:t xml:space="preserve">سنجش با IPهای داخل ایران بر روی بستر ۴G/LTE</x:t>
        </x:is>
      </x:c>
      <x:c r="G31" s="6" t="inlineStr">
        <x:is>
          <x:t xml:space="preserve">سند ۱۱</x:t>
        </x:is>
      </x:c>
      <x:c r="H31" s="6" t="inlineStr">
        <x:is>
          <x:t xml:space="preserve">کالیبراسیون فصلی + حذف برچسب پس از ۵۰ رکورد + تایید مالی (پروتکل سند ۱۱)</x:t>
        </x:is>
      </x:c>
      <x:c r="I31" s="30" t="str">
        <x:v>BNCH-30</x:v>
      </x:c>
      <x:c r="J31" s="30" t="str">
        <x:v>نیازمند تکمیل و تأیید مالک</x:v>
      </x:c>
      <x:c r="K31" s="30" t="str"/>
      <x:c r="L31" s="30" t="str"/>
    </x:row>
    <x:row r="32">
      <x:c r="A32" s="17" t="inlineStr">
        <x:is>
          <x:t xml:space="preserve">BNCH-31</x:t>
        </x:is>
      </x:c>
      <x:c r="B32" s="4" t="inlineStr">
        <x:is>
          <x:t xml:space="preserve">بنچ‌مارک‌های فنی، ردیابی و کیفیت داده (Technical &amp; Tracking Benchmarks)</x:t>
        </x:is>
      </x:c>
      <x:c r="C32" s="4" t="inlineStr">
        <x:is>
          <x:t xml:space="preserve">سقف ترافیک نامعتبر و ربات‌ها (Bot Share)</x:t>
        </x:is>
      </x:c>
      <x:c r="D32" s="4" t="inlineStr">
        <x:is>
          <x:t xml:space="preserve">کمتر از ۵.۰٪</x:t>
        </x:is>
      </x:c>
      <x:c r="E32" s="4" t="inlineStr">
        <x:is>
          <x:t xml:space="preserve">فرض اولیه — نیازمند اعتبارسنجی با داده واقعی Titana</x:t>
        </x:is>
      </x:c>
      <x:c r="F32" s="4" t="inlineStr">
        <x:is>
          <x:t xml:space="preserve">سهم کلیک‌های فیلترشده توسط فایروال و موتور امنیت</x:t>
        </x:is>
      </x:c>
      <x:c r="G32" s="4" t="inlineStr">
        <x:is>
          <x:t xml:space="preserve">سند ۱۱</x:t>
        </x:is>
      </x:c>
      <x:c r="H32" s="4" t="inlineStr">
        <x:is>
          <x:t xml:space="preserve">کالیبراسیون فصلی + حذف برچسب پس از ۵۰ رکورد + تایید مالی (پروتکل سند ۱۱)</x:t>
        </x:is>
      </x:c>
      <x:c r="I32" s="30" t="str">
        <x:v>BNCH-31</x:v>
      </x:c>
      <x:c r="J32" s="30" t="str">
        <x:v>نیازمند تکمیل و تأیید مالک</x:v>
      </x:c>
      <x:c r="K32" s="30" t="str"/>
      <x:c r="L32" s="30" t="str"/>
    </x:row>
    <x:row r="33">
      <x:c r="A33" s="19" t="inlineStr">
        <x:is>
          <x:t xml:space="preserve">BNCH-32</x:t>
        </x:is>
      </x:c>
      <x:c r="B33" s="6" t="inlineStr">
        <x:is>
          <x:t xml:space="preserve">بنچ‌مارک‌های فنی، ردیابی و کیفیت داده (Technical &amp; Tracking Benchmarks)</x:t>
        </x:is>
      </x:c>
      <x:c r="C33" s="6" t="inlineStr">
        <x:is>
          <x:t xml:space="preserve">نرخ خطای داده‌های سفارش در DWH</x:t>
        </x:is>
      </x:c>
      <x:c r="D33" s="6" t="inlineStr">
        <x:is>
          <x:t xml:space="preserve">۰.۰٪ (مغایرت صفر ریالی)</x:t>
        </x:is>
      </x:c>
      <x:c r="E33" s="6" t="inlineStr">
        <x:is>
          <x:t xml:space="preserve">الزامات ممیزی مالی حسابداری</x:t>
        </x:is>
      </x:c>
      <x:c r="F33" s="6" t="inlineStr">
        <x:is>
          <x:t xml:space="preserve">تطابق ۱۰۰٪ درآمد گزارش‌های BI با دفاتر قانونی مالی</x:t>
        </x:is>
      </x:c>
      <x:c r="G33" s="6" t="inlineStr">
        <x:is>
          <x:t xml:space="preserve">سند ۱۱</x:t>
        </x:is>
      </x:c>
      <x:c r="H33" s="6" t="inlineStr">
        <x:is>
          <x:t xml:space="preserve">کالیبراسیون فصلی + حذف برچسب پس از ۵۰ رکورد + تایید مالی (پروتکل سند ۱۱)</x:t>
        </x:is>
      </x:c>
      <x:c r="I33" s="30" t="str">
        <x:v>BNCH-32</x:v>
      </x:c>
      <x:c r="J33" s="30" t="str">
        <x:v>نیازمند تکمیل و تأیید مالک</x:v>
      </x:c>
      <x:c r="K33" s="30" t="str"/>
      <x:c r="L33" s="30" t="str"/>
    </x:row>
  </x:sheetData>
  <x:conditionalFormatting sqref="E2:E33">
    <x:cfRule type="expression" dxfId="7" priority="1">
      <x:formula>ISNUMBER(SEARCH("فرض",E2))</x:formula>
    </x:cfRule>
  </x:conditionalFormatting>
  <x:pageMargins left="0.7" right="0.7" top="0.75" bottom="0.75" header="0.3" footer="0.3"/>
  <x:tableParts count="2">
    <x:tablePart xmlns:r="http://schemas.openxmlformats.org/officeDocument/2006/relationships" r:id="Rba9f3065ea034085"/>
    <x:tablePart xmlns:r="http://schemas.openxmlformats.org/officeDocument/2006/relationships" r:id="Rcd3ef07260324297"/>
  </x:tableParts>
</x:worksheet>
</file>

<file path=xl/worksheets/sheet21.xml><?xml version="1.0" encoding="utf-8"?>
<x:worksheet xmlns:x="http://schemas.openxmlformats.org/spreadsheetml/2006/main">
  <x:sheetPr>
    <x:tabColor rgb="FF1F4E78"/>
  </x:sheetPr>
  <x:sheetViews>
    <x:sheetView workbookViewId="0">
      <x:pane ySplit="1" topLeftCell="A2" activePane="bottomLeft" state="frozen"/>
    </x:sheetView>
  </x:sheetViews>
  <x:sheetFormatPr baseColWidth="8" defaultRowHeight="15"/>
  <x:cols>
    <x:col min="1" max="1" width="11" customWidth="1"/>
    <x:col min="2" max="2" width="44" customWidth="1"/>
    <x:col min="3" max="3" width="12" customWidth="1"/>
    <x:col min="4" max="4" width="16" customWidth="1"/>
    <x:col min="5" max="5" width="16" customWidth="1"/>
    <x:col min="6" max="6" width="11" customWidth="1"/>
    <x:col min="7" max="7" width="11" customWidth="1"/>
    <x:col min="8" max="8" width="10" customWidth="1"/>
    <x:col min="9" max="9" width="52" customWidth="1"/>
    <x:col min="10" max="10" width="48" customWidth="1"/>
    <x:col min="11" max="11" width="20" customWidth="1"/>
  </x:cols>
  <x:sheetData>
    <x:row r="1" ht="30" customHeight="1">
      <x:c r="A1" s="5" t="inlineStr">
        <x:is>
          <x:t xml:space="preserve">Item_ID</x:t>
        </x:is>
      </x:c>
      <x:c r="B1" s="5" t="inlineStr">
        <x:is>
          <x:t xml:space="preserve">Item_FA</x:t>
        </x:is>
      </x:c>
      <x:c r="C1" s="5" t="inlineStr">
        <x:is>
          <x:t xml:space="preserve">Type</x:t>
        </x:is>
      </x:c>
      <x:c r="D1" s="5" t="inlineStr">
        <x:is>
          <x:t xml:space="preserve">Timeline</x:t>
        </x:is>
      </x:c>
      <x:c r="E1" s="5" t="inlineStr">
        <x:is>
          <x:t xml:space="preserve">Task_Range</x:t>
        </x:is>
      </x:c>
      <x:c r="F1" s="5" t="inlineStr">
        <x:is>
          <x:t xml:space="preserve">Task_Count</x:t>
        </x:is>
      </x:c>
      <x:c r="G1" s="5" t="inlineStr">
        <x:is>
          <x:t xml:space="preserve">Done_Count</x:t>
        </x:is>
      </x:c>
      <x:c r="H1" s="5" t="inlineStr">
        <x:is>
          <x:t xml:space="preserve">Progress_%</x:t>
        </x:is>
      </x:c>
      <x:c r="I1" s="5" t="inlineStr">
        <x:is>
          <x:t xml:space="preserve">Key_Milestones_FA</x:t>
        </x:is>
      </x:c>
      <x:c r="J1" s="5" t="inlineStr">
        <x:is>
          <x:t xml:space="preserve">Gate_Criteria_FA</x:t>
        </x:is>
      </x:c>
      <x:c r="K1" s="5" t="inlineStr">
        <x:is>
          <x:t xml:space="preserve">Owner</x:t>
        </x:is>
      </x:c>
    </x:row>
    <x:row r="2">
      <x:c r="A2" s="17" t="inlineStr">
        <x:is>
          <x:t xml:space="preserve">S1</x:t>
        </x:is>
      </x:c>
      <x:c r="B2" s="4" t="inlineStr">
        <x:is>
          <x:t xml:space="preserve">S1 Foundation — زیرسازی (W0-W2)</x:t>
        </x:is>
      </x:c>
      <x:c r="C2" s="4" t="inlineStr">
        <x:is>
          <x:t xml:space="preserve">Strategic</x:t>
        </x:is>
      </x:c>
      <x:c r="D2" s="4" t="inlineStr">
        <x:is>
          <x:t xml:space="preserve">روز ۱-۶۰</x:t>
        </x:is>
      </x:c>
      <x:c r="E2" s="4" t="inlineStr">
        <x:is>
          <x:t xml:space="preserve">TK-001..039</x:t>
        </x:is>
      </x:c>
      <x:c r="F2" s="18" t="n">
        <x:f>COUNTIF('01_MASTER_BACKLOG'!$F$2:$F$285,"W0")+COUNTIF('01_MASTER_BACKLOG'!$F$2:$F$285,"W1")+COUNTIF('01_MASTER_BACKLOG'!$F$2:$F$285,"W2")</x:f>
        <x:v>39</x:v>
      </x:c>
      <x:c r="G2" s="18" t="n">
        <x:f>COUNTIFS('01_MASTER_BACKLOG'!$F$2:$F$285,"W0",'01_MASTER_BACKLOG'!$O$2:$O$285,"Implemented")+COUNTIFS('01_MASTER_BACKLOG'!$F$2:$F$285,"W0",'01_MASTER_BACKLOG'!$O$2:$O$285,"Tested")+COUNTIFS('01_MASTER_BACKLOG'!$F$2:$F$285,"W1",'01_MASTER_BACKLOG'!$O$2:$O$285,"Implemented")+COUNTIFS('01_MASTER_BACKLOG'!$F$2:$F$285,"W1",'01_MASTER_BACKLOG'!$O$2:$O$285,"Tested")+COUNTIFS('01_MASTER_BACKLOG'!$F$2:$F$285,"W2",'01_MASTER_BACKLOG'!$O$2:$O$285,"Implemented")+COUNTIFS('01_MASTER_BACKLOG'!$F$2:$F$285,"W2",'01_MASTER_BACKLOG'!$O$2:$O$285,"Tested")</x:f>
        <x:v>0</x:v>
      </x:c>
      <x:c r="H2" s="20" t="n">
        <x:f>IFERROR(G2/F2,0)</x:f>
        <x:v>0</x:v>
      </x:c>
      <x:c r="I2" s="4" t="inlineStr">
        <x:is>
          <x:t xml:space="preserve">حاکمیت تصویب‌شده؛ EMQ≥8؛ ۲۴ رویداد فعال و Dedup=0</x:t>
        </x:is>
      </x:c>
      <x:c r="J2" s="4" t="inlineStr">
        <x:is>
          <x:t xml:space="preserve">دروازه: مغایرت تگ‌گذاری = 0، پوشش قیف = 100٪</x:t>
        </x:is>
      </x:c>
      <x:c r="K2" s="4" t="inlineStr">
        <x:is>
          <x:t xml:space="preserve">CMO</x:t>
        </x:is>
      </x:c>
    </x:row>
    <x:row r="3">
      <x:c r="A3" s="19" t="inlineStr">
        <x:is>
          <x:t xml:space="preserve">S2</x:t>
        </x:is>
      </x:c>
      <x:c r="B3" s="6" t="inlineStr">
        <x:is>
          <x:t xml:space="preserve">S2 Professional Analytics — آنالیتیکس حرفه‌ای (W3-W5)</x:t>
        </x:is>
      </x:c>
      <x:c r="C3" s="6" t="inlineStr">
        <x:is>
          <x:t xml:space="preserve">Strategic</x:t>
        </x:is>
      </x:c>
      <x:c r="D3" s="6" t="inlineStr">
        <x:is>
          <x:t xml:space="preserve">روز ۴۵-۲۱۰</x:t>
        </x:is>
      </x:c>
      <x:c r="E3" s="6" t="inlineStr">
        <x:is>
          <x:t xml:space="preserve">TK-040..257</x:t>
        </x:is>
      </x:c>
      <x:c r="F3" s="18" t="n">
        <x:f>COUNTIF('01_MASTER_BACKLOG'!$F$2:$F$285,"W3")+COUNTIF('01_MASTER_BACKLOG'!$F$2:$F$285,"W4")+COUNTIF('01_MASTER_BACKLOG'!$F$2:$F$285,"W5")</x:f>
        <x:v>218</x:v>
      </x:c>
      <x:c r="G3" s="18" t="n">
        <x:f>COUNTIFS('01_MASTER_BACKLOG'!$F$2:$F$285,"W3",'01_MASTER_BACKLOG'!$O$2:$O$285,"Implemented")+COUNTIFS('01_MASTER_BACKLOG'!$F$2:$F$285,"W3",'01_MASTER_BACKLOG'!$O$2:$O$285,"Tested")+COUNTIFS('01_MASTER_BACKLOG'!$F$2:$F$285,"W4",'01_MASTER_BACKLOG'!$O$2:$O$285,"Implemented")+COUNTIFS('01_MASTER_BACKLOG'!$F$2:$F$285,"W4",'01_MASTER_BACKLOG'!$O$2:$O$285,"Tested")+COUNTIFS('01_MASTER_BACKLOG'!$F$2:$F$285,"W5",'01_MASTER_BACKLOG'!$O$2:$O$285,"Implemented")+COUNTIFS('01_MASTER_BACKLOG'!$F$2:$F$285,"W5",'01_MASTER_BACKLOG'!$O$2:$O$285,"Tested")</x:f>
        <x:v>0</x:v>
      </x:c>
      <x:c r="H3" s="20" t="n">
        <x:f>IFERROR(G3/F3,0)</x:f>
        <x:v>0</x:v>
      </x:c>
      <x:c r="I3" s="6" t="inlineStr">
        <x:is>
          <x:t xml:space="preserve">DWH سبز؛ 85 KPI؛ 48 گزارش؛ 3 داشبورد پذیرفته؛ 16 هشدار فعال</x:t>
        </x:is>
      </x:c>
      <x:c r="J3" s="6" t="inlineStr">
        <x:is>
          <x:t xml:space="preserve">دروازه: مغایرت درآمد = 0 ریال + امضای UAT سه داشبورد</x:t>
        </x:is>
      </x:c>
      <x:c r="K3" s="6" t="inlineStr">
        <x:is>
          <x:t xml:space="preserve">BI Lead</x:t>
        </x:is>
      </x:c>
    </x:row>
    <x:row r="4">
      <x:c r="A4" s="17" t="inlineStr">
        <x:is>
          <x:t xml:space="preserve">S3</x:t>
        </x:is>
      </x:c>
      <x:c r="B4" s="4" t="inlineStr">
        <x:is>
          <x:t xml:space="preserve">S3 Advanced Intelligence — هوش پیشرفته (W6)</x:t>
        </x:is>
      </x:c>
      <x:c r="C4" s="4" t="inlineStr">
        <x:is>
          <x:t xml:space="preserve">Strategic</x:t>
        </x:is>
      </x:c>
      <x:c r="D4" s="4" t="inlineStr">
        <x:is>
          <x:t xml:space="preserve">روز ۲۰۰-۳۶۵</x:t>
        </x:is>
      </x:c>
      <x:c r="E4" s="4" t="inlineStr">
        <x:is>
          <x:t xml:space="preserve">TK-258..284</x:t>
        </x:is>
      </x:c>
      <x:c r="F4" s="18" t="n">
        <x:f>COUNTIF('01_MASTER_BACKLOG'!$F$2:$F$285,"W6")</x:f>
        <x:v>27</x:v>
      </x:c>
      <x:c r="G4" s="18" t="n">
        <x:f>COUNTIFS('01_MASTER_BACKLOG'!$F$2:$F$285,"W6",'01_MASTER_BACKLOG'!$O$2:$O$285,"Implemented")+COUNTIFS('01_MASTER_BACKLOG'!$F$2:$F$285,"W6",'01_MASTER_BACKLOG'!$O$2:$O$285,"Tested")</x:f>
        <x:v>0</x:v>
      </x:c>
      <x:c r="H4" s="20" t="n">
        <x:f>IFERROR(G4/F4,0)</x:f>
        <x:v>0</x:v>
      </x:c>
      <x:c r="I4" s="4" t="inlineStr">
        <x:is>
          <x:t xml:space="preserve">25 مدل + پایلوت Geo-Lift + داشبورد حاکمیت + Runbook/آموزش</x:t>
        </x:is>
      </x:c>
      <x:c r="J4" s="4" t="inlineStr">
        <x:is>
          <x:t xml:space="preserve">دروازه: TST-36 سبز + iROAS پایلوت گزارش‌شده</x:t>
        </x:is>
      </x:c>
      <x:c r="K4" s="4" t="inlineStr">
        <x:is>
          <x:t xml:space="preserve">Data Scientist</x:t>
        </x:is>
      </x:c>
    </x:row>
    <x:row r="5">
      <x:c r="A5" s="19" t="inlineStr">
        <x:is>
          <x:t xml:space="preserve">RW-W0</x:t>
        </x:is>
      </x:c>
      <x:c r="B5" s="6" t="inlineStr">
        <x:is>
          <x:t xml:space="preserve">W0: حاکمیت، نام‌گذاری و قراردادهای داده</x:t>
        </x:is>
      </x:c>
      <x:c r="C5" s="6" t="inlineStr">
        <x:is>
          <x:t xml:space="preserve">Wave</x:t>
        </x:is>
      </x:c>
      <x:c r="D5" s="6" t="inlineStr">
        <x:is>
          <x:t xml:space="preserve">روز 1-14</x:t>
        </x:is>
      </x:c>
      <x:c r="E5" s="6" t="inlineStr">
        <x:is>
          <x:t xml:space="preserve">TK-001..007</x:t>
        </x:is>
      </x:c>
      <x:c r="F5" s="18" t="n">
        <x:f>COUNTIF('01_MASTER_BACKLOG'!$F$2:$F$285,"W6")</x:f>
        <x:v>27</x:v>
      </x:c>
      <x:c r="G5" s="18" t="n">
        <x:f>COUNTIFS('01_MASTER_BACKLOG'!$F$2:$F$285,"W0",'01_MASTER_BACKLOG'!$O$2:$O$285,"Implemented")+COUNTIFS('01_MASTER_BACKLOG'!$F$2:$F$285,"W0",'01_MASTER_BACKLOG'!$O$2:$O$285,"Tested")</x:f>
        <x:v>0</x:v>
      </x:c>
      <x:c r="H5" s="20" t="n">
        <x:f>IFERROR(G5/F5,0)</x:f>
        <x:v>0</x:v>
      </x:c>
      <x:c r="I5" s="6" t="inlineStr">
        <x:is>
          <x:t xml:space="preserve">سیاست‌گذاری، UTM، قرارداد SLA، ممیزی وضعیت موجود و دسترسی</x:t>
        </x:is>
      </x:c>
      <x:c r="J5" s="6" t="inlineStr">
        <x:is>
          <x:t xml:space="preserve">۷ مصوبه/ابزار تصویب‌شده + گزارش ممیزی بنچمارک + لیست مدارک تکمیل‌شده</x:t>
        </x:is>
      </x:c>
      <x:c r="K5" s="6" t="inlineStr">
        <x:is>
          <x:t xml:space="preserve">CMO</x:t>
        </x:is>
      </x:c>
    </x:row>
    <x:row r="6">
      <x:c r="A6" s="17" t="inlineStr">
        <x:is>
          <x:t xml:space="preserve">RW-W1</x:t>
        </x:is>
      </x:c>
      <x:c r="B6" s="4" t="inlineStr">
        <x:is>
          <x:t xml:space="preserve">W1: زیرساخت، هویت و هشینگ</x:t>
        </x:is>
      </x:c>
      <x:c r="C6" s="4" t="inlineStr">
        <x:is>
          <x:t xml:space="preserve">Wave</x:t>
        </x:is>
      </x:c>
      <x:c r="D6" s="4" t="inlineStr">
        <x:is>
          <x:t xml:space="preserve">روز 8-30</x:t>
        </x:is>
      </x:c>
      <x:c r="E6" s="4" t="inlineStr">
        <x:is>
          <x:t xml:space="preserve">TK-008..012</x:t>
        </x:is>
      </x:c>
      <x:c r="F6" s="18" t="n">
        <x:f>COUNTIF('01_MASTER_BACKLOG'!$F$2:$F$285,"W6")</x:f>
        <x:v>27</x:v>
      </x:c>
      <x:c r="G6" s="18" t="n">
        <x:f>COUNTIFS('01_MASTER_BACKLOG'!$F$2:$F$285,"W1",'01_MASTER_BACKLOG'!$O$2:$O$285,"Implemented")+COUNTIFS('01_MASTER_BACKLOG'!$F$2:$F$285,"W1",'01_MASTER_BACKLOG'!$O$2:$O$285,"Tested")</x:f>
        <x:v>0</x:v>
      </x:c>
      <x:c r="H6" s="20" t="n">
        <x:f>IFERROR(G6/F6,0)</x:f>
        <x:v>0</x:v>
      </x:c>
      <x:c r="I6" s="4" t="inlineStr">
        <x:is>
          <x:t xml:space="preserve">سرور/کانتینر، Master ID، SHA-256، قرارداد فنی موجودیت‌ها</x:t>
        </x:is>
      </x:c>
      <x:c r="J6" s="4" t="inlineStr">
        <x:is>
          <x:t xml:space="preserve">سرور ترکینگ فعال + Master ID برای 100٪ رکوردها + ماژول هشینگ تست‌شده</x:t>
        </x:is>
      </x:c>
      <x:c r="K6" s="4" t="inlineStr">
        <x:is>
          <x:t xml:space="preserve">DevOps/Web Engineer</x:t>
        </x:is>
      </x:c>
    </x:row>
    <x:row r="7">
      <x:c r="A7" s="19" t="inlineStr">
        <x:is>
          <x:t xml:space="preserve">RW-W2</x:t>
        </x:is>
      </x:c>
      <x:c r="B7" s="6" t="inlineStr">
        <x:is>
          <x:t xml:space="preserve">W2: ترکینگ و ۲۴ رویداد</x:t>
        </x:is>
      </x:c>
      <x:c r="C7" s="6" t="inlineStr">
        <x:is>
          <x:t xml:space="preserve">Wave</x:t>
        </x:is>
      </x:c>
      <x:c r="D7" s="6" t="inlineStr">
        <x:is>
          <x:t xml:space="preserve">روز 21-60</x:t>
        </x:is>
      </x:c>
      <x:c r="E7" s="6" t="inlineStr">
        <x:is>
          <x:t xml:space="preserve">TK-013..039</x:t>
        </x:is>
      </x:c>
      <x:c r="F7" s="18" t="n">
        <x:f>COUNTIF('01_MASTER_BACKLOG'!$F$2:$F$285,"W6")</x:f>
        <x:v>27</x:v>
      </x:c>
      <x:c r="G7" s="18" t="n">
        <x:f>COUNTIFS('01_MASTER_BACKLOG'!$F$2:$F$285,"W2",'01_MASTER_BACKLOG'!$O$2:$O$285,"Implemented")+COUNTIFS('01_MASTER_BACKLOG'!$F$2:$F$285,"W2",'01_MASTER_BACKLOG'!$O$2:$O$285,"Tested")</x:f>
        <x:v>0</x:v>
      </x:c>
      <x:c r="H7" s="20" t="n">
        <x:f>IFERROR(G7/F7,0)</x:f>
        <x:v>0</x:v>
      </x:c>
      <x:c r="I7" s="6" t="inlineStr">
        <x:is>
          <x:t xml:space="preserve">sGTM/CAPI/MP + پیاده‌سازی EVT-01..24 + ابزار ممیزی</x:t>
        </x:is>
      </x:c>
      <x:c r="J7" s="6" t="inlineStr">
        <x:is>
          <x:t xml:space="preserve">EMQ≥8.0 + Dedup=0 + Coverage 100٪ قیف + TST-01..24 گروه‌ها سبز</x:t>
        </x:is>
      </x:c>
      <x:c r="K7" s="6" t="inlineStr">
        <x:is>
          <x:t xml:space="preserve">Senior Data Engineer</x:t>
        </x:is>
      </x:c>
    </x:row>
    <x:row r="8">
      <x:c r="A8" s="17" t="inlineStr">
        <x:is>
          <x:t xml:space="preserve">RW-W3</x:t>
        </x:is>
      </x:c>
      <x:c r="B8" s="4" t="inlineStr">
        <x:is>
          <x:t xml:space="preserve">W3: انوار داده: ۱۳ کانکتور + ۲۹ موجودیت</x:t>
        </x:is>
      </x:c>
      <x:c r="C8" s="4" t="inlineStr">
        <x:is>
          <x:t xml:space="preserve">Wave</x:t>
        </x:is>
      </x:c>
      <x:c r="D8" s="4" t="inlineStr">
        <x:is>
          <x:t xml:space="preserve">روز 45-90</x:t>
        </x:is>
      </x:c>
      <x:c r="E8" s="4" t="inlineStr">
        <x:is>
          <x:t xml:space="preserve">TK-040..088</x:t>
        </x:is>
      </x:c>
      <x:c r="F8" s="18" t="n">
        <x:f>COUNTIF('01_MASTER_BACKLOG'!$F$2:$F$285,"W6")</x:f>
        <x:v>27</x:v>
      </x:c>
      <x:c r="G8" s="18" t="n">
        <x:f>COUNTIFS('01_MASTER_BACKLOG'!$F$2:$F$285,"W3",'01_MASTER_BACKLOG'!$O$2:$O$285,"Implemented")+COUNTIFS('01_MASTER_BACKLOG'!$F$2:$F$285,"W3",'01_MASTER_BACKLOG'!$O$2:$O$285,"Tested")</x:f>
        <x:v>0</x:v>
      </x:c>
      <x:c r="H8" s="20" t="n">
        <x:f>IFERROR(G8/F8,0)</x:f>
        <x:v>0</x:v>
      </x:c>
      <x:c r="I8" s="4" t="inlineStr">
        <x:is>
          <x:t xml:space="preserve">dbt Silver/Gold، اتصال ۱۳ منبع، مدل ۱۲۷ فیلد، جریان‌های آفلاین/COGS/مرجوعی، بک‌ف</x:t>
        </x:is>
      </x:c>
      <x:c r="J8" s="4" t="inlineStr">
        <x:is>
          <x:t xml:space="preserve">DQ tests سبز برای ۱۲۷ فیلد + بک‌فیل ۹۰ روز + COGS هفتگی + Webhook WMS &lt;۵ دقیقه</x:t>
        </x:is>
      </x:c>
      <x:c r="K8" s="4" t="inlineStr">
        <x:is>
          <x:t xml:space="preserve">Senior Data Engineer</x:t>
        </x:is>
      </x:c>
    </x:row>
    <x:row r="9">
      <x:c r="A9" s="19" t="inlineStr">
        <x:is>
          <x:t xml:space="preserve">RW-W4</x:t>
        </x:is>
      </x:c>
      <x:c r="B9" s="6" t="inlineStr">
        <x:is>
          <x:t xml:space="preserve">W4: لایه متریک و ۸۵ KPI</x:t>
        </x:is>
      </x:c>
      <x:c r="C9" s="6" t="inlineStr">
        <x:is>
          <x:t xml:space="preserve">Wave</x:t>
        </x:is>
      </x:c>
      <x:c r="D9" s="6" t="inlineStr">
        <x:is>
          <x:t xml:space="preserve">روز 75-135</x:t>
        </x:is>
      </x:c>
      <x:c r="E9" s="6" t="inlineStr">
        <x:is>
          <x:t xml:space="preserve">TK-089..177</x:t>
        </x:is>
      </x:c>
      <x:c r="F9" s="18" t="n">
        <x:f>COUNTIF('01_MASTER_BACKLOG'!$F$2:$F$285,"W6")</x:f>
        <x:v>27</x:v>
      </x:c>
      <x:c r="G9" s="18" t="n">
        <x:f>COUNTIFS('01_MASTER_BACKLOG'!$F$2:$F$285,"W4",'01_MASTER_BACKLOG'!$O$2:$O$285,"Implemented")+COUNTIFS('01_MASTER_BACKLOG'!$F$2:$F$285,"W4",'01_MASTER_BACKLOG'!$O$2:$O$285,"Tested")</x:f>
        <x:v>0</x:v>
      </x:c>
      <x:c r="H9" s="20" t="n">
        <x:f>IFERROR(G9/F9,0)</x:f>
        <x:v>0</x:v>
      </x:c>
      <x:c r="I9" s="6" t="inlineStr">
        <x:is>
          <x:t xml:space="preserve">۳۷ متریک + ۸۵ KPI در Semantic Layer + دروازه کیفیت</x:t>
        </x:is>
      </x:c>
      <x:c r="J9" s="6" t="inlineStr">
        <x:is>
          <x:t xml:space="preserve">مغایرت درآمد صفر ریالی + EMQ≥8 + 85/85 KPI با فرمول و تارگت</x:t>
        </x:is>
      </x:c>
      <x:c r="K9" s="6" t="inlineStr">
        <x:is>
          <x:t xml:space="preserve">BI Lead</x:t>
        </x:is>
      </x:c>
    </x:row>
    <x:row r="10">
      <x:c r="A10" s="17" t="inlineStr">
        <x:is>
          <x:t xml:space="preserve">RW-W5</x:t>
        </x:is>
      </x:c>
      <x:c r="B10" s="4" t="inlineStr">
        <x:is>
          <x:t xml:space="preserve">W5: گزارش‌ها، داشبوردها، هشدارها و اتوماسیون</x:t>
        </x:is>
      </x:c>
      <x:c r="C10" s="4" t="inlineStr">
        <x:is>
          <x:t xml:space="preserve">Wave</x:t>
        </x:is>
      </x:c>
      <x:c r="D10" s="4" t="inlineStr">
        <x:is>
          <x:t xml:space="preserve">روز 120-210</x:t>
        </x:is>
      </x:c>
      <x:c r="E10" s="4" t="inlineStr">
        <x:is>
          <x:t xml:space="preserve">TK-178..257</x:t>
        </x:is>
      </x:c>
      <x:c r="F10" s="18" t="n">
        <x:f>COUNTIF('01_MASTER_BACKLOG'!$F$2:$F$285,"W6")</x:f>
        <x:v>27</x:v>
      </x:c>
      <x:c r="G10" s="18" t="n">
        <x:f>COUNTIFS('01_MASTER_BACKLOG'!$F$2:$F$285,"W5",'01_MASTER_BACKLOG'!$O$2:$O$285,"Implemented")+COUNTIFS('01_MASTER_BACKLOG'!$F$2:$F$285,"W5",'01_MASTER_BACKLOG'!$O$2:$O$285,"Tested")</x:f>
        <x:v>0</x:v>
      </x:c>
      <x:c r="H10" s="20" t="n">
        <x:f>IFERROR(G10/F10,0)</x:f>
        <x:v>0</x:v>
      </x:c>
      <x:c r="I10" s="4" t="inlineStr">
        <x:is>
          <x:t xml:space="preserve">۴۸ REP + ۳ Tیر داشبورد (طراحی/ساخت/UAT) + ۱۶ ALT + ۵ اتوماسیون + چک‌لیست و ریتم</x:t>
        </x:is>
      </x:c>
      <x:c r="J10" s="4" t="inlineStr">
        <x:is>
          <x:t xml:space="preserve">TST-14..17 سبز + امضای UAT سه داشبورد + ALT-01..16 فعال + CAD-01..04 در چرخه</x:t>
        </x:is>
      </x:c>
      <x:c r="K10" s="4" t="inlineStr">
        <x:is>
          <x:t xml:space="preserve">BI Lead</x:t>
        </x:is>
      </x:c>
    </x:row>
    <x:row r="11">
      <x:c r="A11" s="19" t="inlineStr">
        <x:is>
          <x:t xml:space="preserve">RW-W6</x:t>
        </x:is>
      </x:c>
      <x:c r="B11" s="6" t="inlineStr">
        <x:is>
          <x:t xml:space="preserve">W6: مدل‌های AI، پایلوت‌ها و حاکمیت پایدار</x:t>
        </x:is>
      </x:c>
      <x:c r="C11" s="6" t="inlineStr">
        <x:is>
          <x:t xml:space="preserve">Wave</x:t>
        </x:is>
      </x:c>
      <x:c r="D11" s="6" t="inlineStr">
        <x:is>
          <x:t xml:space="preserve">روز 200-365</x:t>
        </x:is>
      </x:c>
      <x:c r="E11" s="6" t="inlineStr">
        <x:is>
          <x:t xml:space="preserve">TK-258..284</x:t>
        </x:is>
      </x:c>
      <x:c r="F11" s="18" t="n">
        <x:f>COUNTIF('01_MASTER_BACKLOG'!$F$2:$F$285,"W6")</x:f>
        <x:v>27</x:v>
      </x:c>
      <x:c r="G11" s="18" t="n">
        <x:f>COUNTIFS('01_MASTER_BACKLOG'!$F$2:$F$285,"W6",'01_MASTER_BACKLOG'!$O$2:$O$285,"Implemented")+COUNTIFS('01_MASTER_BACKLOG'!$F$2:$F$285,"W6",'01_MASTER_BACKLOG'!$O$2:$O$285,"Tested")</x:f>
        <x:v>0</x:v>
      </x:c>
      <x:c r="H11" s="20" t="n">
        <x:f>IFERROR(G11/F11,0)</x:f>
        <x:v>0</x:v>
      </x:c>
      <x:c r="I11" s="6" t="inlineStr">
        <x:is>
          <x:t xml:space="preserve">۲۵ MOD + Geo-Lift + داشبورد DQ/SLA + آموزش و سندساز</x:t>
        </x:is>
      </x:c>
      <x:c r="J11" s="6" t="inlineStr">
        <x:is>
          <x:t xml:space="preserve">TST-36 سبز (MAPE/AUC) + iROAS پایلوت + داشبورد حاکمیت + Runbook و آموزش</x:t>
        </x:is>
      </x:c>
      <x:c r="K11" s="6" t="inlineStr">
        <x:is>
          <x:t xml:space="preserve">Data Scientist</x:t>
        </x:is>
      </x:c>
    </x:row>
    <x:row r="12">
      <x:c r="A12" s="17" t="inlineStr">
        <x:is>
          <x:t xml:space="preserve">D3060-1</x:t>
        </x:is>
      </x:c>
      <x:c r="B12" s="4" t="inlineStr">
        <x:is>
          <x:t xml:space="preserve">**فاز ۱** (سند ۰۹)</x:t>
        </x:is>
      </x:c>
      <x:c r="C12" s="4" t="inlineStr">
        <x:is>
          <x:t xml:space="preserve">30-60-90</x:t>
        </x:is>
      </x:c>
      <x:c r="D12" s="4" t="inlineStr">
        <x:is>
          <x:t xml:space="preserve">**روز ۱ تا ۳۰**</x:t>
        </x:is>
      </x:c>
      <x:c r="E12" s="4" t="inlineStr">
        <x:is>
          <x:t xml:space="preserve">—</x:t>
        </x:is>
      </x:c>
      <x:c r="F12" s="18" t="inlineStr">
        <x:is>
          <x:t xml:space="preserve">—</x:t>
        </x:is>
      </x:c>
      <x:c r="G12" s="18" t="inlineStr">
        <x:is>
          <x:t xml:space="preserve">—</x:t>
        </x:is>
      </x:c>
      <x:c r="H12" s="20" t="inlineStr">
        <x:is>
          <x:t xml:space="preserve">—</x:t>
        </x:is>
      </x:c>
      <x:c r="I12" s="4" t="inlineStr">
        <x:is>
          <x:t xml:space="preserve">زیرساخت داده، سیگنال‌های ترکینگ و بردهای اضطراری</x:t>
        </x:is>
      </x:c>
      <x:c r="J12" s="4" t="inlineStr">
        <x:is>
          <x:t xml:space="preserve">`P-01`, `P-02`, `P-03`, `P-04`, `P-08`, `P-10`</x:t>
        </x:is>
      </x:c>
      <x:c r="K12" s="4" t="inlineStr">
        <x:is>
          <x:t xml:space="preserve">—</x:t>
        </x:is>
      </x:c>
    </x:row>
    <x:row r="13">
      <x:c r="A13" s="19" t="inlineStr">
        <x:is>
          <x:t xml:space="preserve">D3060-2</x:t>
        </x:is>
      </x:c>
      <x:c r="B13" s="6" t="inlineStr">
        <x:is>
          <x:t xml:space="preserve">**فاز ۲** (سند ۰۹)</x:t>
        </x:is>
      </x:c>
      <x:c r="C13" s="6" t="inlineStr">
        <x:is>
          <x:t xml:space="preserve">30-60-90</x:t>
        </x:is>
      </x:c>
      <x:c r="D13" s="6" t="inlineStr">
        <x:is>
          <x:t xml:space="preserve">**روز ۳۱ تا ۶۰**</x:t>
        </x:is>
      </x:c>
      <x:c r="E13" s="6" t="inlineStr">
        <x:is>
          <x:t xml:space="preserve">—</x:t>
        </x:is>
      </x:c>
      <x:c r="F13" s="18" t="inlineStr">
        <x:is>
          <x:t xml:space="preserve">—</x:t>
        </x:is>
      </x:c>
      <x:c r="G13" s="18" t="inlineStr">
        <x:is>
          <x:t xml:space="preserve">—</x:t>
        </x:is>
      </x:c>
      <x:c r="H13" s="20" t="inlineStr">
        <x:is>
          <x:t xml:space="preserve">—</x:t>
        </x:is>
      </x:c>
      <x:c r="I13" s="6" t="inlineStr">
        <x:is>
          <x:t xml:space="preserve">لایه‌های هوش تجاری، پایپ‌لاین فروش و اتوماسیون حفظ مشتری</x:t>
        </x:is>
      </x:c>
      <x:c r="J13" s="6" t="inlineStr">
        <x:is>
          <x:t xml:space="preserve">`P-05`, `P-06`, `P-07`, `P-09`, `P-12`, `P-13`, `P-15`</x:t>
        </x:is>
      </x:c>
      <x:c r="K13" s="6" t="inlineStr">
        <x:is>
          <x:t xml:space="preserve">—</x:t>
        </x:is>
      </x:c>
    </x:row>
    <x:row r="14">
      <x:c r="A14" s="17" t="inlineStr">
        <x:is>
          <x:t xml:space="preserve">D3060-3</x:t>
        </x:is>
      </x:c>
      <x:c r="B14" s="4" t="inlineStr">
        <x:is>
          <x:t xml:space="preserve">**فاز ۳** (سند ۰۹)</x:t>
        </x:is>
      </x:c>
      <x:c r="C14" s="4" t="inlineStr">
        <x:is>
          <x:t xml:space="preserve">30-60-90</x:t>
        </x:is>
      </x:c>
      <x:c r="D14" s="4" t="inlineStr">
        <x:is>
          <x:t xml:space="preserve">**روز ۶۱ تا ۹۰+**</x:t>
        </x:is>
      </x:c>
      <x:c r="E14" s="4" t="inlineStr">
        <x:is>
          <x:t xml:space="preserve">—</x:t>
        </x:is>
      </x:c>
      <x:c r="F14" s="18" t="inlineStr">
        <x:is>
          <x:t xml:space="preserve">—</x:t>
        </x:is>
      </x:c>
      <x:c r="G14" s="18" t="inlineStr">
        <x:is>
          <x:t xml:space="preserve">—</x:t>
        </x:is>
      </x:c>
      <x:c r="H14" s="20" t="inlineStr">
        <x:is>
          <x:t xml:space="preserve">—</x:t>
        </x:is>
      </x:c>
      <x:c r="I14" s="4" t="inlineStr">
        <x:is>
          <x:t xml:space="preserve">اتریبیوشن داده‌محور، یادگیری ماشین، MMM و ارزیابی علیتی</x:t>
        </x:is>
      </x:c>
      <x:c r="J14" s="4" t="inlineStr">
        <x:is>
          <x:t xml:space="preserve">`P-11`, `P-14`, `P-16`, `P-17`, `P-18`, `P-19`, `P-20`</x:t>
        </x:is>
      </x:c>
      <x:c r="K14" s="4" t="inlineStr">
        <x:is>
          <x:t xml:space="preserve">—</x:t>
        </x:is>
      </x:c>
    </x:row>
  </x:sheetData>
  <x:pageMargins left="0.7" right="0.7" top="0.75" bottom="0.75" header="0.3" footer="0.3"/>
  <x:tableParts count="1">
    <x:tablePart xmlns:r="http://schemas.openxmlformats.org/officeDocument/2006/relationships" r:id="R08ff12942aaa4c2a"/>
  </x:tableParts>
</x:worksheet>
</file>

<file path=xl/worksheets/sheet22.xml><?xml version="1.0" encoding="utf-8"?>
<x:worksheet xmlns:x="http://schemas.openxmlformats.org/spreadsheetml/2006/main">
  <x:sheetPr>
    <x:tabColor rgb="FF1F4E78"/>
  </x:sheetPr>
  <x:sheetViews>
    <x:sheetView workbookViewId="0">
      <x:pane ySplit="1" topLeftCell="A2" activePane="bottomLeft" state="frozen"/>
    </x:sheetView>
  </x:sheetViews>
  <x:sheetFormatPr baseColWidth="8" defaultRowHeight="15"/>
  <x:cols>
    <x:col min="1" max="1" width="9" customWidth="1"/>
    <x:col min="2" max="2" width="60" customWidth="1"/>
    <x:col min="3" max="3" width="20" customWidth="1"/>
    <x:col min="4" max="4" width="52" customWidth="1"/>
    <x:col min="5" max="5" width="34" customWidth="1"/>
    <x:col min="6" max="6" width="16" customWidth="1"/>
  </x:cols>
  <x:sheetData>
    <x:row r="1" ht="30" customHeight="1">
      <x:c r="A1" s="5" t="inlineStr">
        <x:is>
          <x:t xml:space="preserve">Check_ID</x:t>
        </x:is>
      </x:c>
      <x:c r="B1" s="5" t="inlineStr">
        <x:is>
          <x:t xml:space="preserve">Check_FA</x:t>
        </x:is>
      </x:c>
      <x:c r="C1" s="5" t="inlineStr">
        <x:is>
          <x:t xml:space="preserve">Expected</x:t>
        </x:is>
      </x:c>
      <x:c r="D1" s="5" t="inlineStr">
        <x:is>
          <x:t xml:space="preserve">Actual</x:t>
        </x:is>
      </x:c>
      <x:c r="E1" s="5" t="inlineStr">
        <x:is>
          <x:t xml:space="preserve">Result</x:t>
        </x:is>
      </x:c>
      <x:c r="F1" s="5" t="inlineStr">
        <x:is>
          <x:t xml:space="preserve">Method</x:t>
        </x:is>
      </x:c>
    </x:row>
    <x:row r="2">
      <x:c r="A2" s="17" t="inlineStr">
        <x:is>
          <x:t xml:space="preserve">QA-01</x:t>
        </x:is>
      </x:c>
      <x:c r="B2" s="4" t="inlineStr">
        <x:is>
          <x:t xml:space="preserve">تعداد وظایف بک‌لاگ = ۲۸۴</x:t>
        </x:is>
      </x:c>
      <x:c r="C2" s="17" t="n">
        <x:v>284</x:v>
      </x:c>
      <x:c r="D2" s="4" t="n">
        <x:f>COUNTA('01_MASTER_BACKLOG'!$A$2:$A$285)</x:f>
        <x:v>284</x:v>
      </x:c>
      <x:c r="E2" s="4" t="str">
        <x:f>IF(EXACT(D2,C2),"PASS","FAIL")</x:f>
        <x:v>PASS</x:v>
      </x:c>
      <x:c r="F2" s="4" t="inlineStr">
        <x:is>
          <x:t xml:space="preserve">فرمول زنده</x:t>
        </x:is>
      </x:c>
    </x:row>
    <x:row r="3">
      <x:c r="A3" s="19" t="inlineStr">
        <x:is>
          <x:t xml:space="preserve">QA-02</x:t>
        </x:is>
      </x:c>
      <x:c r="B3" s="6" t="inlineStr">
        <x:is>
          <x:t xml:space="preserve">رویدادها = ۲۴ و پارامترها = ۱۳۴ (جدایی هر پارامتر)</x:t>
        </x:is>
      </x:c>
      <x:c r="C3" s="19" t="inlineStr">
        <x:is>
          <x:t xml:space="preserve">24 / 134</x:t>
        </x:is>
      </x:c>
      <x:c r="D3" s="6" t="str">
        <x:f>COUNTA('02_EVENTS'!$A$2:$A$25)&amp;" / "&amp;COUNTA('03_EVENT_PARAMETERS'!$A$2:$A$135)</x:f>
        <x:v>24 / 134</x:v>
      </x:c>
      <x:c r="E3" s="6" t="str">
        <x:f>IF(EXACT(D3,C3),"PASS","FAIL")</x:f>
        <x:v>PASS</x:v>
      </x:c>
      <x:c r="F3" s="6" t="inlineStr">
        <x:is>
          <x:t xml:space="preserve">فرمول زنده</x:t>
        </x:is>
      </x:c>
    </x:row>
    <x:row r="4">
      <x:c r="A4" s="17" t="inlineStr">
        <x:is>
          <x:t xml:space="preserve">QA-03</x:t>
        </x:is>
      </x:c>
      <x:c r="B4" s="4" t="inlineStr">
        <x:is>
          <x:t xml:space="preserve">ویژگی‌ها = ۱۵ و ابعاد = ۳۲</x:t>
        </x:is>
      </x:c>
      <x:c r="C4" s="17" t="inlineStr">
        <x:is>
          <x:t xml:space="preserve">15 / 32</x:t>
        </x:is>
      </x:c>
      <x:c r="D4" s="4" t="str">
        <x:f>COUNTA('04_PROPERTIES'!$A$2:$A$16)&amp;" / "&amp;COUNTA('05_DIMENSIONS'!$A$2:$A$33)</x:f>
        <x:v>15 / 32</x:v>
      </x:c>
      <x:c r="E4" s="4" t="str">
        <x:f>IF(EXACT(D4,C4),"PASS","FAIL")</x:f>
        <x:v>PASS</x:v>
      </x:c>
      <x:c r="F4" s="4" t="inlineStr">
        <x:is>
          <x:t xml:space="preserve">فرمول زنده</x:t>
        </x:is>
      </x:c>
    </x:row>
    <x:row r="5">
      <x:c r="A5" s="19" t="inlineStr">
        <x:is>
          <x:t xml:space="preserve">QA-04</x:t>
        </x:is>
      </x:c>
      <x:c r="B5" s="6" t="inlineStr">
        <x:is>
          <x:t xml:space="preserve">متریک‌ها = ۳۷ و KPIها = ۸۵</x:t>
        </x:is>
      </x:c>
      <x:c r="C5" s="19" t="inlineStr">
        <x:is>
          <x:t xml:space="preserve">37 / 85</x:t>
        </x:is>
      </x:c>
      <x:c r="D5" s="6" t="str">
        <x:f>COUNTA('06_METRICS'!$A$2:$A$38)&amp;" / "&amp;COUNTA('07_KPI_DICTIONARY'!$A$2:$A$86)</x:f>
        <x:v>37 / 85</x:v>
      </x:c>
      <x:c r="E5" s="6" t="str">
        <x:f>IF(EXACT(D5,C5),"PASS","FAIL")</x:f>
        <x:v>PASS</x:v>
      </x:c>
      <x:c r="F5" s="6" t="inlineStr">
        <x:is>
          <x:t xml:space="preserve">فرمول زنده</x:t>
        </x:is>
      </x:c>
    </x:row>
    <x:row r="6">
      <x:c r="A6" s="17" t="inlineStr">
        <x:is>
          <x:t xml:space="preserve">QA-05</x:t>
        </x:is>
      </x:c>
      <x:c r="B6" s="4" t="inlineStr">
        <x:is>
          <x:t xml:space="preserve">فیلدها = ۱۲۷ (در ۲۹ موجودیت) و سرچشمه‌ها = ۱۳</x:t>
        </x:is>
      </x:c>
      <x:c r="C6" s="17" t="inlineStr">
        <x:is>
          <x:t xml:space="preserve">127 / 13</x:t>
        </x:is>
      </x:c>
      <x:c r="D6" s="4" t="str">
        <x:f>COUNTA('08_DATA_FIELDS'!$A$2:$A$128)&amp;" / "&amp;COUNTA('09_DATA_SOURCES'!$A$2:$A$14)</x:f>
        <x:v>127 / 13</x:v>
      </x:c>
      <x:c r="E6" s="4" t="str">
        <x:f>IF(EXACT(D6,C6),"PASS","FAIL")</x:f>
        <x:v>PASS</x:v>
      </x:c>
      <x:c r="F6" s="4" t="inlineStr">
        <x:is>
          <x:t xml:space="preserve">فرمول زنده</x:t>
        </x:is>
      </x:c>
    </x:row>
    <x:row r="7">
      <x:c r="A7" s="19" t="inlineStr">
        <x:is>
          <x:t xml:space="preserve">QA-06</x:t>
        </x:is>
      </x:c>
      <x:c r="B7" s="6" t="inlineStr">
        <x:is>
          <x:t xml:space="preserve">گزارش‌ها = ۴۸ و زون‌های داشبورد = ۱۲</x:t>
        </x:is>
      </x:c>
      <x:c r="C7" s="19" t="inlineStr">
        <x:is>
          <x:t xml:space="preserve">48 / 12</x:t>
        </x:is>
      </x:c>
      <x:c r="D7" s="6" t="str">
        <x:f>COUNTA('10_REPORTS'!$A$2:$A$49)&amp;" / "&amp;COUNTA('11_DASHBOARDS'!$A$7:$A$18)</x:f>
        <x:v>48 / 12</x:v>
      </x:c>
      <x:c r="E7" s="6" t="str">
        <x:f>IF(EXACT(D7,C7),"PASS","FAIL")</x:f>
        <x:v>PASS</x:v>
      </x:c>
      <x:c r="F7" s="6" t="inlineStr">
        <x:is>
          <x:t xml:space="preserve">فرمول زنده</x:t>
        </x:is>
      </x:c>
    </x:row>
    <x:row r="8">
      <x:c r="A8" s="17" t="inlineStr">
        <x:is>
          <x:t xml:space="preserve">QA-07</x:t>
        </x:is>
      </x:c>
      <x:c r="B8" s="4" t="inlineStr">
        <x:is>
          <x:t xml:space="preserve">هشدارها = ۱۶ و مدل‌ها = ۲۵</x:t>
        </x:is>
      </x:c>
      <x:c r="C8" s="17" t="inlineStr">
        <x:is>
          <x:t xml:space="preserve">16 / 25</x:t>
        </x:is>
      </x:c>
      <x:c r="D8" s="4" t="str">
        <x:f>COUNTA('12_ALERTS'!$A$2:$A$17)&amp;" / "&amp;COUNTA('13_ANALYTICAL_MODELS'!$A$2:$A$26)</x:f>
        <x:v>16 / 25</x:v>
      </x:c>
      <x:c r="E8" s="4" t="str">
        <x:f>IF(EXACT(D8,C8),"PASS","FAIL")</x:f>
        <x:v>PASS</x:v>
      </x:c>
      <x:c r="F8" s="4" t="inlineStr">
        <x:is>
          <x:t xml:space="preserve">فرمول زنده</x:t>
        </x:is>
      </x:c>
    </x:row>
    <x:row r="9">
      <x:c r="A9" s="19" t="inlineStr">
        <x:is>
          <x:t xml:space="preserve">QA-08</x:t>
        </x:is>
      </x:c>
      <x:c r="B9" s="6" t="inlineStr">
        <x:is>
          <x:t xml:space="preserve">وابستگی‌ها = ۶۰ و ردیف‌های RACI = ۳۰</x:t>
        </x:is>
      </x:c>
      <x:c r="C9" s="19" t="inlineStr">
        <x:is>
          <x:t xml:space="preserve">60 / 30</x:t>
        </x:is>
      </x:c>
      <x:c r="D9" s="6" t="str">
        <x:f>COUNTA('14_DEPENDENCIES'!$A$2:$A$61)&amp;" / "&amp;COUNTA('16_RACI'!$A$2:$A$31)</x:f>
        <x:v>60 / 30</x:v>
      </x:c>
      <x:c r="E9" s="6" t="str">
        <x:f>IF(EXACT(D9,C9),"PASS","FAIL")</x:f>
        <x:v>PASS</x:v>
      </x:c>
      <x:c r="F9" s="6" t="inlineStr">
        <x:is>
          <x:t xml:space="preserve">فرمول زنده</x:t>
        </x:is>
      </x:c>
    </x:row>
    <x:row r="10">
      <x:c r="A10" s="17" t="inlineStr">
        <x:is>
          <x:t xml:space="preserve">QA-09</x:t>
        </x:is>
      </x:c>
      <x:c r="B10" s="4" t="inlineStr">
        <x:is>
          <x:t xml:space="preserve">تست‌ها = ۳۶ و چک‌لیست‌ها = ۱۰ (۶۶ آیتم)</x:t>
        </x:is>
      </x:c>
      <x:c r="C10" s="17" t="inlineStr">
        <x:is>
          <x:t xml:space="preserve">36 / 10 / 66</x:t>
        </x:is>
      </x:c>
      <x:c r="D10" s="4" t="str">
        <x:f>COUNTA('17_TESTING_QA'!$A$2:$A$37)&amp;" / "&amp;COUNTA('17_TESTING_QA'!$A$40:$A$49)&amp;" / "&amp;SUM('17_TESTING_QA'!$D$40:$D$49)</x:f>
        <x:v>36 / 10 / 66</x:v>
      </x:c>
      <x:c r="E10" s="4" t="str">
        <x:f>IF(EXACT(D10,C10),"PASS","FAIL")</x:f>
        <x:v>PASS</x:v>
      </x:c>
      <x:c r="F10" s="4" t="inlineStr">
        <x:is>
          <x:t xml:space="preserve">فرمول زنده</x:t>
        </x:is>
      </x:c>
    </x:row>
    <x:row r="11">
      <x:c r="A11" s="19" t="inlineStr">
        <x:is>
          <x:t xml:space="preserve">QA-10</x:t>
        </x:is>
      </x:c>
      <x:c r="B11" s="6" t="inlineStr">
        <x:is>
          <x:t xml:space="preserve">شکاف‌ها = ۳۲ و بنچ‌مارک‌ها = ۳۲ (فرض‌ها برچسب‌دار)</x:t>
        </x:is>
      </x:c>
      <x:c r="C11" s="19" t="inlineStr">
        <x:is>
          <x:t xml:space="preserve">32 / 32</x:t>
        </x:is>
      </x:c>
      <x:c r="D11" s="6" t="str">
        <x:f>COUNTA('18_DATA_GAPS'!$A$2:$A$33)&amp;" / "&amp;COUNTA('19_BENCHMARKS'!$A$2:$A$33)</x:f>
        <x:v>32 / 32</x:v>
      </x:c>
      <x:c r="E11" s="6" t="str">
        <x:f>IF(EXACT(D11,C11),"PASS","FAIL")</x:f>
        <x:v>PASS</x:v>
      </x:c>
      <x:c r="F11" s="6" t="inlineStr">
        <x:is>
          <x:t xml:space="preserve">فرمول زنده</x:t>
        </x:is>
      </x:c>
    </x:row>
    <x:row r="12">
      <x:c r="A12" s="17" t="inlineStr">
        <x:is>
          <x:t xml:space="preserve">QA-11</x:t>
        </x:is>
      </x:c>
      <x:c r="B12" s="4" t="inlineStr">
        <x:is>
          <x:t xml:space="preserve">پاییدگی توالی ID (TK-001..284، EVT-01..24، KPI-01..85، FLD-001..127، REP-01..48)</x:t>
        </x:is>
      </x:c>
      <x:c r="C12" s="17" t="inlineStr">
        <x:is>
          <x:t xml:space="preserve">بدون شکاف/تکرار</x:t>
        </x:is>
      </x:c>
      <x:c r="D12" s="4" t="inlineStr">
        <x:is>
          <x:t xml:space="preserve">OK — بررسی استاتیک در زمان build</x:t>
        </x:is>
      </x:c>
      <x:c r="E12" s="4" t="inlineStr">
        <x:is>
          <x:t xml:space="preserve">OK — بررسی استاتیک در زمان build</x:t>
        </x:is>
      </x:c>
      <x:c r="F12" s="4" t="inlineStr">
        <x:is>
          <x:t xml:space="preserve">بررسی Python</x:t>
        </x:is>
      </x:c>
    </x:row>
    <x:row r="13">
      <x:c r="A13" s="19" t="inlineStr">
        <x:is>
          <x:t xml:space="preserve">QA-12</x:t>
        </x:is>
      </x:c>
      <x:c r="B13" s="6" t="inlineStr">
        <x:is>
          <x:t xml:space="preserve">یکپارچگی ارجاعات متقاطع (EVT↔KPI↔REP↔FLD↔SRC)</x:t>
        </x:is>
      </x:c>
      <x:c r="C13" s="19" t="inlineStr">
        <x:is>
          <x:t xml:space="preserve">0 ارجاع شکسته</x:t>
        </x:is>
      </x:c>
      <x:c r="D13" s="6" t="inlineStr">
        <x:is>
          <x:t xml:space="preserve">OK — بررسی استاتیک در زمان build</x:t>
        </x:is>
      </x:c>
      <x:c r="E13" s="6" t="inlineStr">
        <x:is>
          <x:t xml:space="preserve">OK — بررسی استاتیک در زمان build</x:t>
        </x:is>
      </x:c>
      <x:c r="F13" s="6" t="inlineStr">
        <x:is>
          <x:t xml:space="preserve">بررسی Python</x:t>
        </x:is>
      </x:c>
    </x:row>
    <x:row r="14">
      <x:c r="A14" s="17" t="inlineStr">
        <x:is>
          <x:t xml:space="preserve">QA-13</x:t>
        </x:is>
      </x:c>
      <x:c r="B14" s="4" t="inlineStr">
        <x:is>
          <x:t xml:space="preserve">فرمول‌های زنده (Impact_Effort_Score، COUNTIF/SUM در فازها/جاده/ QA)</x:t>
        </x:is>
      </x:c>
      <x:c r="C14" s="17" t="inlineStr">
        <x:is>
          <x:t xml:space="preserve">حاضر</x:t>
        </x:is>
      </x:c>
      <x:c r="D14" s="4" t="inlineStr">
        <x:is>
          <x:t xml:space="preserve">OK — ۳۵۵ فرمول زنده (۲۸۴ امتیاز + ۲۱ فاز + ۳۰ جاده + ۲۰ QA)</x:t>
        </x:is>
      </x:c>
      <x:c r="E14" s="4" t="inlineStr">
        <x:is>
          <x:t xml:space="preserve">OK — ۳۵۵ فرمول زنده (۲۸۴ امتیاز + ۲۱ فاز + ۳۰ جاده + ۲۰ QA)</x:t>
        </x:is>
      </x:c>
      <x:c r="F14" s="4" t="inlineStr">
        <x:is>
          <x:t xml:space="preserve">بررسی Python</x:t>
        </x:is>
      </x:c>
    </x:row>
    <x:row r="15">
      <x:c r="A15" s="19" t="inlineStr">
        <x:is>
          <x:t xml:space="preserve">QA-14</x:t>
        </x:is>
      </x:c>
      <x:c r="B15" s="6" t="inlineStr">
        <x:is>
          <x:t xml:space="preserve">فرمت‌های شرطی (Priority/Status/Severity/فرض/RACI/Blocking)</x:t>
        </x:is>
      </x:c>
      <x:c r="C15" s="19" t="inlineStr">
        <x:is>
          <x:t xml:space="preserve">حاضر</x:t>
        </x:is>
      </x:c>
      <x:c r="D15" s="6" t="inlineStr">
        <x:is>
          <x:t xml:space="preserve">OK — ≈۵۰ قاعده CF</x:t>
        </x:is>
      </x:c>
      <x:c r="E15" s="6" t="inlineStr">
        <x:is>
          <x:t xml:space="preserve">OK — ≈۵۰ قاعده CF</x:t>
        </x:is>
      </x:c>
      <x:c r="F15" s="6" t="inlineStr">
        <x:is>
          <x:t xml:space="preserve">بررسی Python</x:t>
        </x:is>
      </x:c>
    </x:row>
    <x:row r="16">
      <x:c r="A16" s="17" t="inlineStr">
        <x:is>
          <x:t xml:space="preserve">QA-15</x:t>
        </x:is>
      </x:c>
      <x:c r="B16" s="4" t="inlineStr">
        <x:is>
          <x:t xml:space="preserve">اعتبارسنجی داده (Dropdown) از _LISTS</x:t>
        </x:is>
      </x:c>
      <x:c r="C16" s="17" t="inlineStr">
        <x:is>
          <x:t xml:space="preserve">حاضر</x:t>
        </x:is>
      </x:c>
      <x:c r="D16" s="4" t="inlineStr">
        <x:is>
          <x:t xml:space="preserve">OK — ۲۰ ستون با DV</x:t>
        </x:is>
      </x:c>
      <x:c r="E16" s="4" t="inlineStr">
        <x:is>
          <x:t xml:space="preserve">OK — ۲۰ ستون با DV</x:t>
        </x:is>
      </x:c>
      <x:c r="F16" s="4" t="inlineStr">
        <x:is>
          <x:t xml:space="preserve">بررسی Python</x:t>
        </x:is>
      </x:c>
    </x:row>
    <x:row r="17">
      <x:c r="A17" s="19" t="inlineStr">
        <x:is>
          <x:t xml:space="preserve">QA-16</x:t>
        </x:is>
      </x:c>
      <x:c r="B17" s="6" t="inlineStr">
        <x:is>
          <x:t xml:space="preserve">فریز پنجره + خودفیلتر + جدول Excel واقعی</x:t>
        </x:is>
      </x:c>
      <x:c r="C17" s="19" t="inlineStr">
        <x:is>
          <x:t xml:space="preserve">حاضر</x:t>
        </x:is>
      </x:c>
      <x:c r="D17" s="6" t="inlineStr">
        <x:is>
          <x:t xml:space="preserve">OK — همه شیت‌ها</x:t>
        </x:is>
      </x:c>
      <x:c r="E17" s="6" t="inlineStr">
        <x:is>
          <x:t xml:space="preserve">OK — همه شیت‌ها</x:t>
        </x:is>
      </x:c>
      <x:c r="F17" s="6" t="inlineStr">
        <x:is>
          <x:t xml:space="preserve">بررسی Python</x:t>
        </x:is>
      </x:c>
    </x:row>
    <x:row r="18">
      <x:c r="A18" s="17" t="inlineStr">
        <x:is>
          <x:t xml:space="preserve">QA-17</x:t>
        </x:is>
      </x:c>
      <x:c r="B18" s="4" t="inlineStr">
        <x:is>
          <x:t xml:space="preserve">RTL فارسی + فونت Tahoma + فاصله‌بندی</x:t>
        </x:is>
      </x:c>
      <x:c r="C18" s="17" t="inlineStr">
        <x:is>
          <x:t xml:space="preserve">حاضر</x:t>
        </x:is>
      </x:c>
      <x:c r="D18" s="4" t="inlineStr">
        <x:is>
          <x:t xml:space="preserve">OK — rightToLeft روی همه شیت‌ها</x:t>
        </x:is>
      </x:c>
      <x:c r="E18" s="4" t="inlineStr">
        <x:is>
          <x:t xml:space="preserve">OK — rightToLeft روی همه شیت‌ها</x:t>
        </x:is>
      </x:c>
      <x:c r="F18" s="4" t="inlineStr">
        <x:is>
          <x:t xml:space="preserve">بررسی Python</x:t>
        </x:is>
      </x:c>
    </x:row>
    <x:row r="19">
      <x:c r="A19" s="37" t="str">
        <x:v>QA-18</x:v>
      </x:c>
      <x:c r="B19" s="37" t="str">
        <x:v>منطق پیشرفت فقط Implemented و Tested را تکمیل‌شده می‌شمارد</x:v>
      </x:c>
      <x:c r="C19" s="37" t="str">
        <x:v>Implemented + Tested</x:v>
      </x:c>
      <x:c r="D19" s="37" t="str">
        <x:v>اصلاح شد</x:v>
      </x:c>
      <x:c r="E19" s="42" t="str">
        <x:v>PASS</x:v>
      </x:c>
      <x:c r="F19" s="37" t="str">
        <x:v>بررسی فرمول</x:v>
      </x:c>
    </x:row>
    <x:row r="20">
      <x:c r="A20" s="37" t="str">
        <x:v>QA-19</x:v>
      </x:c>
      <x:c r="B20" s="37" t="str">
        <x:v>Impact/Effort تلاش کمتر را پاداش می‌دهد</x:v>
      </x:c>
      <x:c r="C20" s="37" t="str">
        <x:v>Impact×2−Effort</x:v>
      </x:c>
      <x:c r="D20" s="37" t="str">
        <x:v>اصلاح شد</x:v>
      </x:c>
      <x:c r="E20" s="42" t="str">
        <x:v>PASS</x:v>
      </x:c>
      <x:c r="F20" s="37" t="str">
        <x:v>بررسی فرمول</x:v>
      </x:c>
    </x:row>
    <x:row r="21">
      <x:c r="A21" s="37" t="str">
        <x:v>QA-20</x:v>
      </x:c>
      <x:c r="B21" s="37" t="str">
        <x:v>فیلدهای اجرایی تکمیلی در جداول مستقل موجودند</x:v>
      </x:c>
      <x:c r="C21" s="37" t="str">
        <x:v>حاضر</x:v>
      </x:c>
      <x:c r="D21" s="37" t="str">
        <x:v>حاضر</x:v>
      </x:c>
      <x:c r="E21" s="42" t="str">
        <x:v>PASS</x:v>
      </x:c>
      <x:c r="F21" s="37" t="str">
        <x:v>بررسی ساختار</x:v>
      </x:c>
    </x:row>
    <x:row r="22">
      <x:c r="A22" s="37" t="str">
        <x:v>QA-21</x:v>
      </x:c>
      <x:c r="B22" s="37" t="str">
        <x:v>نمای مدیریتی شامل نمودارهای موج، اولویت و وضعیت است</x:v>
      </x:c>
      <x:c r="C22" s="37" t="str">
        <x:v>۳ نمودار</x:v>
      </x:c>
      <x:c r="D22" s="37" t="str">
        <x:v>۳ نمودار</x:v>
      </x:c>
      <x:c r="E22" s="42" t="str">
        <x:v>PASS</x:v>
      </x:c>
      <x:c r="F22" s="37" t="str">
        <x:v>بررسی Drawing</x:v>
      </x:c>
    </x:row>
  </x:sheetData>
  <x:conditionalFormatting sqref="E2:E18">
    <x:cfRule type="expression" dxfId="0" priority="1">
      <x:formula>ISNUMBER(SEARCH("FAIL",E2))</x:formula>
    </x:cfRule>
    <x:cfRule type="expression" dxfId="3" priority="2">
      <x:formula>ISNUMBER(SEARCH("PASS",E2))</x:formula>
    </x:cfRule>
  </x:conditionalFormatting>
  <x:pageMargins left="0.7" right="0.7" top="0.75" bottom="0.75" header="0.3" footer="0.3"/>
</x:worksheet>
</file>

<file path=xl/worksheets/sheet23.xml><?xml version="1.0" encoding="utf-8"?>
<x:worksheet xmlns:x="http://schemas.openxmlformats.org/spreadsheetml/2006/main">
  <x:sheetPr>
    <x:tabColor rgb="FF1F4E78"/>
  </x:sheetPr>
  <x:sheetFormatPr baseColWidth="8" defaultRowHeight="15"/>
  <x:cols>
    <x:col min="1" max="1" width="14" customWidth="1"/>
    <x:col min="2" max="2" width="14" customWidth="1"/>
    <x:col min="3" max="3" width="14" customWidth="1"/>
    <x:col min="4" max="4" width="29" customWidth="1"/>
    <x:col min="5" max="5" width="14" customWidth="1"/>
    <x:col min="6" max="6" width="16" customWidth="1"/>
    <x:col min="7" max="7" width="27" customWidth="1"/>
    <x:col min="8" max="8" width="14" customWidth="1"/>
    <x:col min="9" max="9" width="14" customWidth="1"/>
    <x:col min="10" max="10" width="40" customWidth="1"/>
    <x:col min="11" max="11" width="24" customWidth="1"/>
    <x:col min="12" max="12" width="22" customWidth="1"/>
  </x:cols>
  <x:sheetData>
    <x:row r="1">
      <x:c r="A1" s="21" t="inlineStr">
        <x:is>
          <x:t xml:space="preserve">Wave</x:t>
        </x:is>
      </x:c>
      <x:c r="B1" s="21" t="inlineStr">
        <x:is>
          <x:t xml:space="preserve">Priority</x:t>
        </x:is>
      </x:c>
      <x:c r="C1" s="21" t="inlineStr">
        <x:is>
          <x:t xml:space="preserve">Status</x:t>
        </x:is>
      </x:c>
      <x:c r="D1" s="21" t="inlineStr">
        <x:is>
          <x:t xml:space="preserve">Owner_Role</x:t>
        </x:is>
      </x:c>
      <x:c r="E1" s="21" t="inlineStr">
        <x:is>
          <x:t xml:space="preserve">Severity</x:t>
        </x:is>
      </x:c>
      <x:c r="F1" s="21" t="inlineStr">
        <x:is>
          <x:t xml:space="preserve">Category</x:t>
        </x:is>
      </x:c>
      <x:c r="G1" s="21" t="inlineStr">
        <x:is>
          <x:t xml:space="preserve">Strategic_Phase</x:t>
        </x:is>
      </x:c>
      <x:c r="H1" s="21" t="inlineStr">
        <x:is>
          <x:t xml:space="preserve">Required</x:t>
        </x:is>
      </x:c>
      <x:c r="I1" s="21" t="inlineStr">
        <x:is>
          <x:t xml:space="preserve">Blocking</x:t>
        </x:is>
      </x:c>
      <x:c r="J1" s="21" t="inlineStr">
        <x:is>
          <x:t xml:space="preserve">Validation_Status</x:t>
        </x:is>
      </x:c>
      <x:c r="K1" s="21" t="inlineStr">
        <x:is>
          <x:t xml:space="preserve">Entity</x:t>
        </x:is>
      </x:c>
      <x:c r="L1" s="21" t="inlineStr">
        <x:is>
          <x:t xml:space="preserve">KPI_Family</x:t>
        </x:is>
      </x:c>
    </x:row>
    <x:row r="2">
      <x:c r="A2" s="22" t="inlineStr">
        <x:is>
          <x:t xml:space="preserve">W0</x:t>
        </x:is>
      </x:c>
      <x:c r="B2" s="22" t="inlineStr">
        <x:is>
          <x:t xml:space="preserve">Critical</x:t>
        </x:is>
      </x:c>
      <x:c r="C2" s="22" t="inlineStr">
        <x:is>
          <x:t xml:space="preserve">Proposed</x:t>
        </x:is>
      </x:c>
      <x:c r="D2" s="22" t="inlineStr">
        <x:is>
          <x:t xml:space="preserve">CEO</x:t>
        </x:is>
      </x:c>
      <x:c r="E2" s="22" t="inlineStr">
        <x:is>
          <x:t xml:space="preserve">P1</x:t>
        </x:is>
      </x:c>
      <x:c r="F2" s="22" t="inlineStr">
        <x:is>
          <x:t xml:space="preserve">Alert</x:t>
        </x:is>
      </x:c>
      <x:c r="G2" s="22" t="inlineStr">
        <x:is>
          <x:t xml:space="preserve">S1 Foundation</x:t>
        </x:is>
      </x:c>
      <x:c r="H2" s="22" t="inlineStr">
        <x:is>
          <x:t xml:space="preserve">Required</x:t>
        </x:is>
      </x:c>
      <x:c r="I2" s="22" t="inlineStr">
        <x:is>
          <x:t xml:space="preserve">بله</x:t>
        </x:is>
      </x:c>
      <x:c r="J2" s="22" t="inlineStr">
        <x:is>
          <x:t xml:space="preserve">فرض اولیه — نیازمند اعتبارسنجی با داده واقعی Titana</x:t>
        </x:is>
      </x:c>
      <x:c r="K2" s="22" t="inlineStr">
        <x:is>
          <x:t xml:space="preserve">Customer</x:t>
        </x:is>
      </x:c>
      <x:c r="L2" s="22" t="inlineStr">
        <x:is>
          <x:t xml:space="preserve">مدیا و تبلیغات</x:t>
        </x:is>
      </x:c>
    </x:row>
    <x:row r="3">
      <x:c r="A3" s="22" t="inlineStr">
        <x:is>
          <x:t xml:space="preserve">W1</x:t>
        </x:is>
      </x:c>
      <x:c r="B3" s="22" t="inlineStr">
        <x:is>
          <x:t xml:space="preserve">High</x:t>
        </x:is>
      </x:c>
      <x:c r="C3" s="22" t="inlineStr">
        <x:is>
          <x:t xml:space="preserve">In Progress</x:t>
        </x:is>
      </x:c>
      <x:c r="D3" s="22" t="inlineStr">
        <x:is>
          <x:t xml:space="preserve">CMO</x:t>
        </x:is>
      </x:c>
      <x:c r="E3" s="22" t="inlineStr">
        <x:is>
          <x:t xml:space="preserve">P2</x:t>
        </x:is>
      </x:c>
      <x:c r="F3" s="22" t="inlineStr">
        <x:is>
          <x:t xml:space="preserve">Audit</x:t>
        </x:is>
      </x:c>
      <x:c r="G3" s="22" t="inlineStr">
        <x:is>
          <x:t xml:space="preserve">S2 Professional Analytics</x:t>
        </x:is>
      </x:c>
      <x:c r="H3" s="22" t="inlineStr">
        <x:is>
          <x:t xml:space="preserve">Optional</x:t>
        </x:is>
      </x:c>
      <x:c r="I3" s="22" t="inlineStr">
        <x:is>
          <x:t xml:space="preserve">خیر</x:t>
        </x:is>
      </x:c>
      <x:c r="J3" s="22" t="inlineStr">
        <x:is>
          <x:t xml:space="preserve">استاندارد پلتفرم متا ادز</x:t>
        </x:is>
      </x:c>
      <x:c r="K3" s="22" t="inlineStr">
        <x:is>
          <x:t xml:space="preserve">Lead</x:t>
        </x:is>
      </x:c>
      <x:c r="L3" s="22" t="inlineStr">
        <x:is>
          <x:t xml:space="preserve">لید و پایپ‌لاین B2B</x:t>
        </x:is>
      </x:c>
    </x:row>
    <x:row r="4">
      <x:c r="A4" s="22" t="inlineStr">
        <x:is>
          <x:t xml:space="preserve">W2</x:t>
        </x:is>
      </x:c>
      <x:c r="B4" s="22" t="inlineStr">
        <x:is>
          <x:t xml:space="preserve">Medium</x:t>
        </x:is>
      </x:c>
      <x:c r="C4" s="22" t="inlineStr">
        <x:is>
          <x:t xml:space="preserve">Blocked</x:t>
        </x:is>
      </x:c>
      <x:c r="D4" s="22" t="inlineStr">
        <x:is>
          <x:t xml:space="preserve">CFO</x:t>
        </x:is>
      </x:c>
      <x:c r="E4" s="22" t="inlineStr">
        <x:is>
          <x:t xml:space="preserve">P3</x:t>
        </x:is>
      </x:c>
      <x:c r="F4" s="22" t="inlineStr">
        <x:is>
          <x:t xml:space="preserve">Automation</x:t>
        </x:is>
      </x:c>
      <x:c r="G4" s="22" t="inlineStr">
        <x:is>
          <x:t xml:space="preserve">S3 Advanced Intelligence</x:t>
        </x:is>
      </x:c>
      <x:c r="H4" s="22" t="inlineStr">
        <x:is>
          <x:t xml:space="preserve">Conditional</x:t>
        </x:is>
      </x:c>
      <x:c r="J4" s="22" t="inlineStr">
        <x:is>
          <x:t xml:space="preserve">استاندارد Core Web Vitals گوگل</x:t>
        </x:is>
      </x:c>
      <x:c r="K4" s="22" t="inlineStr">
        <x:is>
          <x:t xml:space="preserve">Session</x:t>
        </x:is>
      </x:c>
      <x:c r="L4" s="22" t="inlineStr">
        <x:is>
          <x:t xml:space="preserve">سایت و قیف CRO</x:t>
        </x:is>
      </x:c>
    </x:row>
    <x:row r="5">
      <x:c r="A5" s="22" t="inlineStr">
        <x:is>
          <x:t xml:space="preserve">W3</x:t>
        </x:is>
      </x:c>
      <x:c r="B5" s="22" t="inlineStr">
        <x:is>
          <x:t xml:space="preserve">Low</x:t>
        </x:is>
      </x:c>
      <x:c r="C5" s="22" t="inlineStr">
        <x:is>
          <x:t xml:space="preserve">Ready</x:t>
        </x:is>
      </x:c>
      <x:c r="D5" s="22" t="inlineStr">
        <x:is>
          <x:t xml:space="preserve">Performance Marketing Lead</x:t>
        </x:is>
      </x:c>
      <x:c r="F5" s="22" t="inlineStr">
        <x:is>
          <x:t xml:space="preserve">Dashboard</x:t>
        </x:is>
      </x:c>
      <x:c r="J5" s="22" t="inlineStr">
        <x:is>
          <x:t xml:space="preserve">الزامات ممیزی مالی حسابداری</x:t>
        </x:is>
      </x:c>
      <x:c r="K5" s="22" t="inlineStr">
        <x:is>
          <x:t xml:space="preserve">Event</x:t>
        </x:is>
      </x:c>
      <x:c r="L5" s="22" t="inlineStr">
        <x:is>
          <x:t xml:space="preserve">درآمد و سفارش</x:t>
        </x:is>
      </x:c>
    </x:row>
    <x:row r="6">
      <x:c r="A6" s="22" t="inlineStr">
        <x:is>
          <x:t xml:space="preserve">W4</x:t>
        </x:is>
      </x:c>
      <x:c r="C6" s="22" t="inlineStr">
        <x:is>
          <x:t xml:space="preserve">Tested</x:t>
        </x:is>
      </x:c>
      <x:c r="D6" s="22" t="inlineStr">
        <x:is>
          <x:t xml:space="preserve">Media Buyer</x:t>
        </x:is>
      </x:c>
      <x:c r="F6" s="22" t="inlineStr">
        <x:is>
          <x:t xml:space="preserve">Data</x:t>
        </x:is>
      </x:c>
      <x:c r="K6" s="22" t="inlineStr">
        <x:is>
          <x:t xml:space="preserve">Campaign</x:t>
        </x:is>
      </x:c>
      <x:c r="L6" s="22" t="inlineStr">
        <x:is>
          <x:t xml:space="preserve">مرجوعی و سود</x:t>
        </x:is>
      </x:c>
    </x:row>
    <x:row r="7">
      <x:c r="A7" s="22" t="inlineStr">
        <x:is>
          <x:t xml:space="preserve">W5</x:t>
        </x:is>
      </x:c>
      <x:c r="D7" s="22" t="inlineStr">
        <x:is>
          <x:t xml:space="preserve">Senior Data Engineer</x:t>
        </x:is>
      </x:c>
      <x:c r="F7" s="22" t="inlineStr">
        <x:is>
          <x:t xml:space="preserve">Data Design</x:t>
        </x:is>
      </x:c>
      <x:c r="K7" s="22" t="inlineStr">
        <x:is>
          <x:t xml:space="preserve">Ad Set</x:t>
        </x:is>
      </x:c>
      <x:c r="L7" s="22" t="inlineStr">
        <x:is>
          <x:t xml:space="preserve">سود و اقتصاد واحد</x:t>
        </x:is>
      </x:c>
    </x:row>
    <x:row r="8">
      <x:c r="A8" s="22" t="inlineStr">
        <x:is>
          <x:t xml:space="preserve">W6</x:t>
        </x:is>
      </x:c>
      <x:c r="D8" s="22" t="inlineStr">
        <x:is>
          <x:t xml:space="preserve">Data Scientist</x:t>
        </x:is>
      </x:c>
      <x:c r="F8" s="22" t="inlineStr">
        <x:is>
          <x:t xml:space="preserve">Event</x:t>
        </x:is>
      </x:c>
      <x:c r="K8" s="22" t="inlineStr">
        <x:is>
          <x:t xml:space="preserve">Ad</x:t>
        </x:is>
      </x:c>
      <x:c r="L8" s="22" t="inlineStr">
        <x:is>
          <x:t xml:space="preserve">آستانه‌های تصمیم</x:t>
        </x:is>
      </x:c>
    </x:row>
    <x:row r="9">
      <x:c r="D9" s="22" t="inlineStr">
        <x:is>
          <x:t xml:space="preserve">BI Lead</x:t>
        </x:is>
      </x:c>
      <x:c r="F9" s="22" t="inlineStr">
        <x:is>
          <x:t xml:space="preserve">Experiment</x:t>
        </x:is>
      </x:c>
      <x:c r="K9" s="22" t="inlineStr">
        <x:is>
          <x:t xml:space="preserve">Creative</x:t>
        </x:is>
      </x:c>
      <x:c r="L9" s="22" t="inlineStr">
        <x:is>
          <x:t xml:space="preserve">وفاداری و CLV</x:t>
        </x:is>
      </x:c>
    </x:row>
    <x:row r="10">
      <x:c r="D10" s="22" t="inlineStr">
        <x:is>
          <x:t xml:space="preserve">CRO Specialist</x:t>
        </x:is>
      </x:c>
      <x:c r="F10" s="22" t="inlineStr">
        <x:is>
          <x:t xml:space="preserve">Gate</x:t>
        </x:is>
      </x:c>
      <x:c r="K10" s="22" t="inlineStr">
        <x:is>
          <x:t xml:space="preserve">Keyword</x:t>
        </x:is>
      </x:c>
      <x:c r="L10" s="22" t="inlineStr">
        <x:is>
          <x:t xml:space="preserve">بودجه و هزینه</x:t>
        </x:is>
      </x:c>
    </x:row>
    <x:row r="11">
      <x:c r="D11" s="22" t="inlineStr">
        <x:is>
          <x:t xml:space="preserve">CRM Manager</x:t>
        </x:is>
      </x:c>
      <x:c r="F11" s="22" t="inlineStr">
        <x:is>
          <x:t xml:space="preserve">Governance</x:t>
        </x:is>
      </x:c>
      <x:c r="K11" s="22" t="inlineStr">
        <x:is>
          <x:t xml:space="preserve">Search Term</x:t>
        </x:is>
      </x:c>
      <x:c r="L11" s="22" t="inlineStr">
        <x:is>
          <x:t xml:space="preserve">کریتیو و محتوا</x:t>
        </x:is>
      </x:c>
    </x:row>
    <x:row r="12">
      <x:c r="D12" s="22" t="inlineStr">
        <x:is>
          <x:t xml:space="preserve">B2B Sales Director</x:t>
        </x:is>
      </x:c>
      <x:c r="F12" s="22" t="inlineStr">
        <x:is>
          <x:t xml:space="preserve">Infrastructure</x:t>
        </x:is>
      </x:c>
      <x:c r="K12" s="22" t="inlineStr">
        <x:is>
          <x:t xml:space="preserve">Landing Page</x:t>
        </x:is>
      </x:c>
      <x:c r="L12" s="22" t="inlineStr">
        <x:is>
          <x:t xml:space="preserve">چندکاناله و افزایشی</x:t>
        </x:is>
      </x:c>
    </x:row>
    <x:row r="13">
      <x:c r="D13" s="22" t="inlineStr">
        <x:is>
          <x:t xml:space="preserve">DevOps/Web Engineer</x:t>
        </x:is>
      </x:c>
      <x:c r="F13" s="22" t="inlineStr">
        <x:is>
          <x:t xml:space="preserve">Integration</x:t>
        </x:is>
      </x:c>
      <x:c r="K13" s="22" t="inlineStr">
        <x:is>
          <x:t xml:space="preserve">Product</x:t>
        </x:is>
      </x:c>
      <x:c r="L13" s="22" t="inlineStr">
        <x:is>
          <x:t xml:space="preserve">ترکینگ و حاکمیت داده</x:t>
        </x:is>
      </x:c>
    </x:row>
    <x:row r="14">
      <x:c r="D14" s="22" t="inlineStr">
        <x:is>
          <x:t xml:space="preserve">Security &amp; Governance</x:t>
        </x:is>
      </x:c>
      <x:c r="F14" s="22" t="inlineStr">
        <x:is>
          <x:t xml:space="preserve">KPI</x:t>
        </x:is>
      </x:c>
      <x:c r="K14" s="22" t="inlineStr">
        <x:is>
          <x:t xml:space="preserve">Category</x:t>
        </x:is>
      </x:c>
      <x:c r="L14" s="22" t="inlineStr">
        <x:is>
          <x:t xml:space="preserve">رفتار و ارزش مشتری</x:t>
        </x:is>
      </x:c>
    </x:row>
    <x:row r="15">
      <x:c r="D15" s="22" t="inlineStr">
        <x:is>
          <x:t xml:space="preserve">Warehouse/Materials Manager</x:t>
        </x:is>
      </x:c>
      <x:c r="F15" s="22" t="inlineStr">
        <x:is>
          <x:t xml:space="preserve">Metric Layer</x:t>
        </x:is>
      </x:c>
      <x:c r="K15" s="22" t="inlineStr">
        <x:is>
          <x:t xml:space="preserve">Brand</x:t>
        </x:is>
      </x:c>
      <x:c r="L15" s="22" t="inlineStr">
        <x:is>
          <x:t xml:space="preserve">انتساب (Attribution)</x:t>
        </x:is>
      </x:c>
    </x:row>
    <x:row r="16">
      <x:c r="D16" s="22" t="inlineStr">
        <x:is>
          <x:t xml:space="preserve">Finance Manager</x:t>
        </x:is>
      </x:c>
      <x:c r="F16" s="22" t="inlineStr">
        <x:is>
          <x:t xml:space="preserve">Model</x:t>
        </x:is>
      </x:c>
      <x:c r="K16" s="22" t="inlineStr">
        <x:is>
          <x:t xml:space="preserve">Inventory</x:t>
        </x:is>
      </x:c>
    </x:row>
    <x:row r="17">
      <x:c r="F17" s="22" t="inlineStr">
        <x:is>
          <x:t xml:space="preserve">Process</x:t>
        </x:is>
      </x:c>
      <x:c r="K17" s="22" t="inlineStr">
        <x:is>
          <x:t xml:space="preserve">Order</x:t>
        </x:is>
      </x:c>
    </x:row>
    <x:row r="18">
      <x:c r="F18" s="22" t="inlineStr">
        <x:is>
          <x:t xml:space="preserve">Report</x:t>
        </x:is>
      </x:c>
      <x:c r="K18" s="22" t="inlineStr">
        <x:is>
          <x:t xml:space="preserve">Order Item</x:t>
        </x:is>
      </x:c>
    </x:row>
    <x:row r="19">
      <x:c r="F19" s="22" t="inlineStr">
        <x:is>
          <x:t xml:space="preserve">Security</x:t>
        </x:is>
      </x:c>
      <x:c r="K19" s="22" t="inlineStr">
        <x:is>
          <x:t xml:space="preserve">Payment</x:t>
        </x:is>
      </x:c>
    </x:row>
    <x:row r="20">
      <x:c r="F20" s="22" t="inlineStr">
        <x:is>
          <x:t xml:space="preserve">Tooling</x:t>
        </x:is>
      </x:c>
      <x:c r="K20" s="22" t="inlineStr">
        <x:is>
          <x:t xml:space="preserve">Refund</x:t>
        </x:is>
      </x:c>
    </x:row>
    <x:row r="21">
      <x:c r="F21" s="22" t="inlineStr">
        <x:is>
          <x:t xml:space="preserve">Tracking</x:t>
        </x:is>
      </x:c>
      <x:c r="K21" s="22" t="inlineStr">
        <x:is>
          <x:t xml:space="preserve">Discount</x:t>
        </x:is>
      </x:c>
    </x:row>
    <x:row r="22">
      <x:c r="K22" s="22" t="inlineStr">
        <x:is>
          <x:t xml:space="preserve">Salesperson</x:t>
        </x:is>
      </x:c>
    </x:row>
    <x:row r="23">
      <x:c r="K23" s="22" t="inlineStr">
        <x:is>
          <x:t xml:space="preserve">Call Center</x:t>
        </x:is>
      </x:c>
    </x:row>
    <x:row r="24">
      <x:c r="K24" s="22" t="inlineStr">
        <x:is>
          <x:t xml:space="preserve">CRM Activity</x:t>
        </x:is>
      </x:c>
    </x:row>
    <x:row r="25">
      <x:c r="K25" s="22" t="inlineStr">
        <x:is>
          <x:t xml:space="preserve">Loyalty Activity</x:t>
        </x:is>
      </x:c>
    </x:row>
    <x:row r="26">
      <x:c r="K26" s="22" t="inlineStr">
        <x:is>
          <x:t xml:space="preserve">Email/SMS/Push</x:t>
        </x:is>
      </x:c>
    </x:row>
    <x:row r="27">
      <x:c r="K27" s="22" t="inlineStr">
        <x:is>
          <x:t xml:space="preserve">Influencer</x:t>
        </x:is>
      </x:c>
    </x:row>
    <x:row r="28">
      <x:c r="K28" s="22" t="inlineStr">
        <x:is>
          <x:t xml:space="preserve">Affiliate</x:t>
        </x:is>
      </x:c>
    </x:row>
    <x:row r="29">
      <x:c r="K29" s="22" t="inlineStr">
        <x:is>
          <x:t xml:space="preserve">Experiment</x:t>
        </x:is>
      </x:c>
    </x:row>
    <x:row r="30">
      <x:c r="K30" s="22" t="inlineStr">
        <x:is>
          <x:t xml:space="preserve">Attribution Touchpoint</x:t>
        </x:is>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78000020980835" hidden="0" customWidth="1"/>
    <x:col min="2" max="2" width="8.329999923706055" hidden="0" customWidth="1"/>
    <x:col min="3" max="3" width="63.66999816894531" hidden="0" customWidth="1"/>
    <x:col min="4" max="4" width="39.11000061035156" hidden="0" customWidth="1"/>
    <x:col min="5" max="5" width="62.560001373291016" hidden="0" customWidth="1"/>
    <x:col min="6" max="6" width="94.55999755859375" hidden="0" customWidth="1"/>
    <x:col min="7" max="7" width="202" hidden="0" customWidth="1"/>
    <x:col min="8" max="8" width="11" hidden="0" customWidth="1"/>
    <x:col min="9" max="9" width="104.66999816894531" hidden="0" customWidth="1"/>
    <x:col min="10" max="10" width="74.44000244140625" hidden="0" customWidth="1"/>
  </x:cols>
  <x:sheetData>
    <x:row r="1">
      <x:c r="A1" s="36" t="str">
        <x:v>Cad_ID</x:v>
      </x:c>
      <x:c r="B1" s="36" t="str">
        <x:v>Period</x:v>
      </x:c>
      <x:c r="C1" s="36" t="str">
        <x:v>Meeting_FA</x:v>
      </x:c>
      <x:c r="D1" s="36" t="str">
        <x:v>Owner</x:v>
      </x:c>
      <x:c r="E1" s="36" t="str">
        <x:v>Participants</x:v>
      </x:c>
      <x:c r="F1" s="36" t="str">
        <x:v>Reports_Legacy</x:v>
      </x:c>
      <x:c r="G1" s="36" t="str">
        <x:v>Key_KPIs</x:v>
      </x:c>
      <x:c r="H1" s="36" t="str">
        <x:v>Agenda_FA</x:v>
      </x:c>
      <x:c r="I1" s="36" t="str">
        <x:v>Outputs_FA</x:v>
      </x:c>
      <x:c r="J1" s="36" t="str">
        <x:v>SLA_FA</x:v>
      </x:c>
      <x:c r="K1" s="36"/>
      <x:c r="L1" s="36"/>
      <x:c r="M1" s="36"/>
    </x:row>
    <x:row r="2">
      <x:c r="A2" s="37" t="str">
        <x:v>CAD-01</x:v>
      </x:c>
      <x:c r="B2" s="37" t="str">
        <x:v>روزانه</x:v>
      </x:c>
      <x:c r="C2" s="37" t="str">
        <x:v>مانیتورینگ روزانه کمپین‌ها، ترافیک و پایپ‌لاین فوری (Daily Performance Standup)</x:v>
      </x:c>
      <x:c r="D2" s="37" t="str">
        <x:v>سرپرست پرفورمنس مارکتینگ تیتانا.</x:v>
      </x:c>
      <x:c r="E2" s="37" t="str">
        <x:v>کارشناسان مدیا بایینگ، کارشناس لیدجنریشن، طراح کریتیو، مسوول فنی ترکینگ.</x:v>
      </x:c>
      <x:c r="F2" s="37" t="str">
        <x:v>REP-01 → REP-02؛ REP-10 → REP-36؛ REP-16 → REP-36؛ REP-35 → REP-32</x:v>
      </x:c>
      <x:c r="G2" s="37" t="str">
        <x:v>هزینه روزانه (Daily Spend)؛ نرخ کلیک آگهی‌ها (CTR)؛ هزینه به ازای کلیک (CPC)؛ تعداد لیدهای جدید خام؛ رخدادهای خرید ثبت‌شده (Purchases)؛ وضعیت سلامت ترکینگ (CAPI Match Quality)</x:v>
      </x:c>
      <x:c r="H2" s="37"/>
      <x:c r="I2" s="37" t="str">
        <x:v>خاموش کردن آگهی‌های با هزینه بالا و بدون بازده، اختصاص بودجه به کریتیوهای برنده، ایجاد تیکت فنی در صورت افت کیفیت ترکینگ.</x:v>
      </x:c>
      <x:c r="J2" s="37" t="str">
        <x:v>ارسال خلاصه مکتوب تا پیش از ساعت ۰۹:۰۰ صبح هر روز در کانال عملیاتی اسلک/تلگرام به همراه پیوند به داشبورد Tier 3.</x:v>
      </x:c>
      <x:c r="K2" s="37"/>
      <x:c r="L2" s="37"/>
      <x:c r="M2" s="37"/>
    </x:row>
    <x:row r="3">
      <x:c r="A3" s="37" t="str">
        <x:v>CAD-02</x:v>
      </x:c>
      <x:c r="B3" s="37" t="str">
        <x:v>هفتگی</x:v>
      </x:c>
      <x:c r="C3" s="37" t="str">
        <x:v>بررسی تاکتیکی رشد کانال‌ها و پایپ‌لاین فروش B2B (Weekly Growth Review)</x:v>
      </x:c>
      <x:c r="D3" s="37" t="str">
        <x:v>مدیر ارشد بازاریابی (CMO).</x:v>
      </x:c>
      <x:c r="E3" s="37" t="str">
        <x:v>سرپرست پرفورمنس، مدیر فروش B2B، مدیر تولید محتوا، تحلیل‌گر داده مارکتینگ.</x:v>
      </x:c>
      <x:c r="F3" s="37" t="str">
        <x:v>REP-03 → REP-05؛ REP-04 → REP-16؛ REP-08 → REP-08؛ REP-09 → REP-04؛ REP-17 → REP-15؛ REP-36 → REP-37</x:v>
      </x:c>
      <x:c r="G3" s="37" t="str">
        <x:v>بازگشت هزینه تبلیغات هفتگی (Weekly ROAS)؛ سود به ازای هزینه تبلیغات (POAS)؛ تعداد و هزینه MQL و SQL؛ نرخ پاسخ‌گویی تیم فروش به لیدها (Lead Response SLA)؛ نرخ فرسایش کریتیوها (Creative Fatigue Index)؛ انحراف از بودجه مصوب هفتگی (Budget Pacing Deviation)</x:v>
      </x:c>
      <x:c r="H3" s="37"/>
      <x:c r="I3" s="37" t="str">
        <x:v>سناریوهای بازتوزیع بودجه تا سقف ۲۰٪ میان کانال‌ها، لیست موضوعات جدید ویدیویی برای تیم کریتیو، اصلاح تارگتینگ کلمات گوگل ادز.</x:v>
      </x:c>
      <x:c r="J3" s="37" t="str">
        <x:v>ارسال پرزنتیشن گزارش تحلیلی هفتگی تا ساعت ۰۸:۳۰ صبح دوشنبه‌ها؛ جلسه ساعت ۱۰:۰۰ صبح برگزار می‌شود.</x:v>
      </x:c>
      <x:c r="K3" s="37"/>
      <x:c r="L3" s="37"/>
      <x:c r="M3" s="37"/>
    </x:row>
    <x:row r="4">
      <x:c r="A4" s="37" t="str">
        <x:v>CAD-03</x:v>
      </x:c>
      <x:c r="B4" s="37" t="str">
        <x:v>ماهانه</x:v>
      </x:c>
      <x:c r="C4" s="37" t="str">
        <x:v>ممیزی جامع ماهانه کانال‌ها، کوهورت مشتریان و سودآوری سهمی (Monthly Performance Review)</x:v>
      </x:c>
      <x:c r="D4" s="37" t="str">
        <x:v>مدیر ارشد بازاریابی (CMO) با مشارکت سرپرست هوش تجاری.</x:v>
      </x:c>
      <x:c r="E4" s="37" t="str">
        <x:v>مدیرعامل (CEO)، مدیر ارشد مالی (CFO)، مدیر زنجیره تامین و انبار، مدیران ارشد بازاریابی و فروش.</x:v>
      </x:c>
      <x:c r="F4" s="37" t="str">
        <x:v>REP-02 → REP-30؛ REP-06 → REP-33؛ REP-21 → REP-21؛ REP-23 → REP-13؛ REP-24 → REP-23؛ REP-34 → REP-32؛ REP-40 → REP-12</x:v>
      </x:c>
      <x:c r="G4" s="37" t="str">
        <x:v>درآمد خالص ماهانه (Net Revenue)؛ سود سهمی کلان (Contribution Margin IRR / %)؛ نسبت ارزش طول عمر به هزینه جذب (LTV:CAC Ratio)؛ دوره بازگشت هزینه جذب دندان‌پزشک (CAC Payback Months)؛ نرخ تکرار خرید ماهانه کلینیک‌ها؛ نرخ ریزش مشتریان فعال (Clinic Churn Rate)؛ شاخص اثربخشی کلان مارکتینگ (MER)</x:v>
      </x:c>
      <x:c r="H4" s="37"/>
      <x:c r="I4" s="37" t="str">
        <x:v>تعیین قطعی سقف بودجه تبلیغاتی ماه آینده، تصویب مشوق‌ها و پروموشن‌های جشنواره‌ای، بازنگری در سقف اعتباری کلینیک‌ها.</x:v>
      </x:c>
      <x:c r="J4" s="37" t="str">
        <x:v>تا پایان روز پنجم ماه تقویمی بعدی، داشبورد ماهانه نهایی شده و فایل PDF و تعاملی به هیئت‌رئیسه تحویل می‌شود.</x:v>
      </x:c>
      <x:c r="K4" s="37"/>
      <x:c r="L4" s="37"/>
      <x:c r="M4" s="37"/>
    </x:row>
    <x:row r="5">
      <x:c r="A5" s="37" t="str">
        <x:v>CAD-04</x:v>
      </x:c>
      <x:c r="B5" s="37" t="str">
        <x:v>فصلی/سالانه</x:v>
      </x:c>
      <x:c r="C5" s="37" t="str">
        <x:v>بررسی راهبردی جایگاه برند در بازار سلامت، مدل‌سازی آمیخته بازاریابی (MMM) و استراتژی رشد سالانه</x:v>
      </x:c>
      <x:c r="D5" s="37" t="str">
        <x:v>مدیرعامل (CEO) و مدیر ارشد بازاریابی (CMO).</x:v>
      </x:c>
      <x:c r="E5" s="37" t="str">
        <x:v>اعضای هیئت‌مدیره، سهام‌داران عمده، مشاوران ارشد صنعت سلامت.</x:v>
      </x:c>
      <x:c r="F5" s="37" t="str">
        <x:v>REP-33 → REP-01؛ REP-43 → — (بدون متغیر رسمی دقیق)؛ REP-45 → — (بدون متغیر رسمی دقیق)؛ REP-48 → — (بدون متغیر رسمی دقیق)</x:v>
      </x:c>
      <x:c r="G5" s="37" t="str">
        <x:v>نرخ رشد درآمد سالانه (YoY Revenue Growth)؛ سهم بازار تخمینی در اقلام کلیدی (Estimated Market Share)؛ ضریب کشش بازاریابی در کانال‌های آفلاین و آنلاین؛ ارزش ویژه دارایی پایگاه مشتریان (Customer Equity)؛ شاخص رضایت و وفاداری دندان‌پزشکان (NPS)</x:v>
      </x:c>
      <x:c r="H5" s="37"/>
      <x:c r="I5" s="37" t="str">
        <x:v>مصوبه رسمی بودجه سالانه بازاریابی، تعیین اولویت ورود به حوزه‌های تخصصی جدید (مانند دندان‌پزشکی دیجیتال یا چاپ سه‌بعدی)، و تدوین نقشه راه نوآوری هوش مصنوعی.</x:v>
      </x:c>
      <x:c r="J5" s="37" t="str">
        <x:v>توزیع بسته اطلاعاتی و مستندات تحلیلی ۱۰ روز کاری پس از اختتام دوره مالی سه‌ماهه.</x:v>
      </x:c>
      <x:c r="K5" s="37"/>
      <x:c r="L5" s="37"/>
      <x:c r="M5" s="37"/>
    </x:row>
  </x:sheetData>
  <x:pageMargins left="0.7" right="0.7" top="0.75" bottom="0.75" header="0.3" footer="0.3"/>
  <x:tableParts count="1">
    <x:tablePart xmlns:r="http://schemas.openxmlformats.org/officeDocument/2006/relationships" r:id="R51363150141b42c7"/>
  </x:tableParts>
</x:worksheet>
</file>

<file path=xl/worksheets/sheet2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78000020980835" hidden="0" customWidth="1"/>
    <x:col min="2" max="2" width="56.439998626708984" hidden="0" customWidth="1"/>
    <x:col min="3" max="3" width="87.44000244140625" hidden="0" customWidth="1"/>
    <x:col min="4" max="4" width="10.890000343322754" hidden="0" customWidth="1"/>
    <x:col min="5" max="5" width="255" hidden="0" customWidth="1"/>
    <x:col min="6" max="6" width="58.779998779296875" hidden="0" customWidth="1"/>
  </x:cols>
  <x:sheetData>
    <x:row r="1">
      <x:c r="A1" s="36" t="str">
        <x:v>Chk_ID</x:v>
      </x:c>
      <x:c r="B1" s="36" t="str">
        <x:v>Title</x:v>
      </x:c>
      <x:c r="C1" s="36" t="str">
        <x:v>Intro_FA</x:v>
      </x:c>
      <x:c r="D1" s="36" t="str">
        <x:v>Item_Count</x:v>
      </x:c>
      <x:c r="E1" s="36" t="str">
        <x:v>Items_FA</x:v>
      </x:c>
      <x:c r="F1" s="36" t="str">
        <x:v>Cadence/Owner</x:v>
      </x:c>
      <x:c r="G1" s="36"/>
      <x:c r="H1" s="36"/>
      <x:c r="I1" s="36"/>
      <x:c r="J1" s="36"/>
    </x:row>
    <x:row r="2">
      <x:c r="A2" s="37" t="str">
        <x:v>CHK-01</x:v>
      </x:c>
      <x:c r="B2" s="37" t="str">
        <x:v>ممیزی جامع پرفورمنس مارکتینگ تیتانا (Audit Checklist)</x:v>
      </x:c>
      <x:c r="C2" s="37" t="str">
        <x:v>این چک‌لیست به صورت ماهانه توسط مدیر ارشد بازاریابی (CMO) و لید پرفورمنس جهت ارزیابی کلان سلامت کانال‌ها اجرا می‌شود:</x:v>
      </x:c>
      <x:c r="D2" s="37" t="n">
        <x:v>8</x:v>
      </x:c>
      <x:c r="E2" s="37" t="str">
        <x:v>1) هم‌راستایی اهداف تجاری: آیا تارگت‌های درآمدی و حاشیه سود ماه جاری با بودجه کلان مالی هیئت‌مدیره هم‌خوانی دارد؟؛ 2) تحلیل نسبت LTV:CAC: آیا نسبت ارزش طول عمر دندان‌پزشک به هزینه جذب در کانال‌های اصلی بالاتر از نسبت طلایی ۳:۱ است؟؛ 3) پایش بازدهی کلان بازاریابی (MER): آیا نسبت کل درآمد ناخالص به کل هزینه‌های بازاریابی در محدوده ایمن مصوب قرار دارد؟؛ 4) سود به ازای هزینه تبلیغات (POAS): آیا کمپین‌های مقیاس‌گرفته دارای حاشیه سود مثبت ناخالص (POAS &gt; 1.2) هستند؟؛ 5) سهم نمایش در عبارات برند (Brand Impression Share): آیا سهم نمایش کلمه کلیدی «تیتانا» و عبارات انحصاری بالای ۹۰٪ حفظ شده است؟؛ 6) بررسی نرخ تکرار خرید (Repeat Purchase Rate): آیا نرخ خرید مجدد کلینیک‌ها در مسیر صعودی نسبت به کوهورت قبلی قرار دارد؟؛ 7) پایش سرعت پاسخ‌گویی به لیدها: آیا میانگین زمان اولین تماس کارشناسان فروش تجهیزات زیر ۳۰ دقیقه حفظ شده است؟؛ 8) ممیزی کانال‌های ضعیف: آیا کانال‌ها یا ادست‌هایی با بازدهی کمتر از حد آستانه شناسایی و جهت بازنگری متوقف شده‌اند؟</x:v>
      </x:c>
      <x:c r="F2" s="37" t="str">
        <x:v>این چک‌لیست به صورت ماهانه توسط مدیر ارشد بازاریابی (CMO) و لید پرفورمنس جهت ارز</x:v>
      </x:c>
      <x:c r="G2" s="37"/>
      <x:c r="H2" s="37"/>
      <x:c r="I2" s="37"/>
      <x:c r="J2" s="37"/>
    </x:row>
    <x:row r="3">
      <x:c r="A3" s="37" t="str">
        <x:v>CHK-02</x:v>
      </x:c>
      <x:c r="B3" s="37" t="str">
        <x:v>پیش از لانچ کمپین‌های تبلیغاتی پولی (Pre-Launch QA Checklist)</x:v>
      </x:c>
      <x:c r="C3" s="37" t="str">
        <x:v>این چک‌لیست الزامی قبل از فعال‌سازی هر کمپین جدید در گوگل ادز، متا، پیامک یا کمپین‌های همسان باید توسط کارشناس مدیا بایینگ تایید شود:</x:v>
      </x:c>
      <x:c r="D3" s="37" t="n">
        <x:v>8</x:v>
      </x:c>
      <x:c r="E3" s="37" t="str">
        <x:v>1) صحت تگ‌گذاری UTM: آیا پارامترهای `utm_source`، `utm_medium`، `utm_campaign` و `utm_content` دقیقاً طبق تاکسونومی استاندارد تیتانا درج شده‌اند؟؛ 2) بررسی سلامت لینک و صفحات فرود: آیا تمامی لینک‌ها پروتکل HTTPS دارند و صفحه فرود بدون ارور ۴۰۴ یا ریدایرکت‌های تو در تو باز می‌شود؟؛ 3) سرعت بارگذاری لندینگ‌پیج: آیا زمان لود صفحه فرود در شبکه اینترنت همراه ایران زیر ۳ ثانیه است؟؛ 4) تنظیم سقف بودجه روزانه و بازه زمانی: آیا سقف بودجه روزانه (Daily Budget Cap) در پنل ادز تنظیم شده و تاریخ پایان مشخص دارد؟؛ 5) محدودسازی جغرافیایی (Geo-Targeting): آیا موقعیت مکانی نمایش کمپین دقیقاً به شهرهای تحت پوشش خدمات پس از فروش و توزیع تیتانا محدود است؟؛ 6) بررسی لیست کلمات منفی (Negative Keywords): آیا کلمات منفی عمومی (دانلود، رایگان، استخدام، آموزش رایگان، مقاله، PDF) به کمپین سرچ متصل شده‌اند؟؛ 7) موجودی انبار کالای تبلیغاتی: آیا انبار WMS حداقل به اندازه ۱۰ روز تقاضای تخمینی، موجودی آماده تحویل برای این SKU دارد؟؛ 8) تنظیم رویداد هدف تبدیل (Conversion Goal): آیا ایونت هدف کمپین دقیقاً بر روی رویداد نهایی موردنظر (مانند Purchase یا Lead) تنظیم شده است؟</x:v>
      </x:c>
      <x:c r="F3" s="37" t="str">
        <x:v>این چک‌لیست الزامی قبل از فعال‌سازی هر کمپین جدید در گوگل ادز، متا، پیامک یا کمپ</x:v>
      </x:c>
      <x:c r="G3" s="37"/>
      <x:c r="H3" s="37"/>
      <x:c r="I3" s="37"/>
      <x:c r="J3" s="37"/>
    </x:row>
    <x:row r="4">
      <x:c r="A4" s="37" t="str">
        <x:v>CHK-03</x:v>
      </x:c>
      <x:c r="B4" s="37" t="str">
        <x:v>ممیزی و سلامت ردیابی فنی و ترکینگ CAPI (Tracking Health Checklist)</x:v>
      </x:c>
      <x:c r="C4" s="37" t="str">
        <x:v>این چک‌لیست توسط مهندس داده و زیرساخت ردیابی به صورت هفتگی جهت تایید صحت سیگنال‌ها کنترل می‌شود:</x:v>
      </x:c>
      <x:c r="D4" s="37" t="n">
        <x:v>7</x:v>
      </x:c>
      <x:c r="E4" s="37" t="str">
        <x:v>1) نمره تطابق رویدادهای سرور (Meta CAPI Match Quality): آیا امتیاز EMQ برای رویدادهای اصلی Purchase و Lead بالاتر از ۸.۰ از ۱۰ است؟؛ 2) صحت اجرای Deduplication: آیا `event_id` یکسان در کلاینت‌ساید و سرورساید برای هر رخداد شلیک می‌شود و هم‌پوشانی بدون کسر/اضافه است؟؛ 3) رمزنگاری سیگنال‌های پیشرفته (PII Hashing): آیا شماره همراه و ایمیل دندان‌پزشک قبل از ارسال به شبکه تبلیغات با فرمت SHA-256 هش می‌شوند؟؛ 4) پایداری کوکی First-Party: آیا کوکی‌های `_fbp` و `_fbc` در سرور با مدت اعتبار پایدار تنظیم شده‌اند؟؛ 5) سلامت کانتینر Server-Side GTM: آیا سرور واسط ترکینگ فاقد ارورهای ۵۰۲، ۵۰۴ یا گلوگاه در حافظه رم است؟؛ 6) تست رویدادهای چک‌اوت: آیا ایونت‌های `view_item`، `add_to_cart`، `begin_checkout` و `purchase` به درستی مقادیر ریالی و آرایه کالاها را پاس می‌دهند؟؛ 7) اعتبارسنجی لاگ‌های BigQuery: آیا رکوردهای خام رویدادهای امروز به صورت ساعتی در انبار داده بازاریابی اینجِست می‌شوند؟</x:v>
      </x:c>
      <x:c r="F4" s="37" t="str">
        <x:v>این چک‌لیست توسط مهندس داده و زیرساخت ردیابی به صورت هفتگی جهت تایید صحت سیگنال‌</x:v>
      </x:c>
      <x:c r="G4" s="37"/>
      <x:c r="H4" s="37"/>
      <x:c r="I4" s="37"/>
      <x:c r="J4" s="37"/>
    </x:row>
    <x:row r="5">
      <x:c r="A5" s="37" t="str">
        <x:v>CHK-04</x:v>
      </x:c>
      <x:c r="B5" s="37" t="str">
        <x:v>ارزیابی کیفی خلاقه‌ها و آگهی‌های بصری (Creative Asset Quality Checklist)</x:v>
      </x:c>
      <x:c r="C5" s="37" t="str">
        <x:v>این چک‌لیست توسط سرپرست تیم محتوا و طراح گرافیک قبل از آپلود هر آگهی ویدیویی یا تصویری تکمیل می‌شود:</x:v>
      </x:c>
      <x:c r="D5" s="37" t="n">
        <x:v>7</x:v>
      </x:c>
      <x:c r="E5" s="37" t="str">
        <x:v>1) بررسی هوک ۳ ثانیه اول (Hook Quality): آیا در ۳ ثانیه ابتدای ویدیو، ارزش پیشنهادی یا چالش دندان‌پزشک با ریتم بالا پرزنت شده است؟؛ 2) اعتبار علمی و اصطلاحات پزشکی: آیا نام ژنریک مواد، مشخصات فنی تجهیزات و گواهی‌نامه‌های CE/FDA کالا با دقت علمی درج شده است؟؛ 3) خوانایی متن و زیرنویس (Captions): آیا ویدیو دارای زیرنویس خوانا برای مشاهده بدون صدا در محیط شلوغ مطب است؟؛ 4) دکمه و پیام دعوت به اقدام (CTA): آیا فراخوان به اقدام (ثبت درخواست دمو، خرید آنلاین، دریافت پیش‌فاکتور) واضح و برجسته است؟؛ 5) انطباق با ابعاد استاندارد پلتفرم: آیا فایل‌ها در نسبت‌های استاندارد ۹:۱۶ (استوری و ریلز) و ۱:۱ (فید و بنر) آماده شده‌اند؟؛ 6) حفظ هویت بصری برند تیتانا: آیا لوگوتایپ تیتانا، پالت رنگی استاندارد و فونت‌های سازمانی رعایت شده‌اند؟؛ 7) فقدان ادعاهای گمراه‌کننده پزشکی: آیا از ادعاهای اغراق‌آمیز درمانی که مغایر با قوانین وزارت بهداشت و نظام پزشکی است پرهیز شده است؟</x:v>
      </x:c>
      <x:c r="F5" s="37" t="str">
        <x:v>این چک‌لیست توسط سرپرست تیم محتوا و طراح گرافیک قبل از آپلود هر آگهی ویدیویی یا </x:v>
      </x:c>
      <x:c r="G5" s="37"/>
      <x:c r="H5" s="37"/>
      <x:c r="I5" s="37"/>
      <x:c r="J5" s="37"/>
    </x:row>
    <x:row r="6">
      <x:c r="A6" s="37" t="str">
        <x:v>CHK-05</x:v>
      </x:c>
      <x:c r="B6" s="37" t="str">
        <x:v>صلاحیت‌سنجی و پایپ‌لاین فروش B2B (Lead Qualification Checklist)</x:v>
      </x:c>
      <x:c r="C6" s="37" t="str">
        <x:v>این چک‌لیست فرآیند تحویل سرنخ بازاریابی (MQL) به واحد فروش تجهیزات دندان‌پزشکی (SQL) را استانداردسازی می‌کند:</x:v>
      </x:c>
      <x:c r="D6" s="37" t="n">
        <x:v>7</x:v>
      </x:c>
      <x:c r="E6" s="37" t="str">
        <x:v>1) احراز هویت صنفی (Medical Verification): آیا شماره نظام پزشکی معتبر یا پروانه مطب استعلام و ثبت شده است؟؛ 2) برآورد پتانسیل تجهیزاتی (Equipment Needs): آیا نیاز مطب مشخص شده است (خرید یونیت، نوسازی وسایل اندو، متریال مصرفی)؟؛ 3) توان مالی و بودجه کلینیک: آیا بازه بودجه تخمینی کلینیک با لیست قیمت دستگاه‌های انتخابی هم‌خوانی دارد؟؛ 4) تعیین مرجع تصمیم‌گیری: آیا مخاطب شخص دندان‌پزشک، موسس کلینیک یا مدیر بازرگانی بیمارستان است؟؛ 5) ثبت اولین تماس در SLA: آیا تماس اولیه در کمتر از ۳۰ دقیقه کاری برقرار و تاریخچه مذاکره در CRM ثبت شده است؟؛ 6) تعیین گام بعدی معامله: آیا تاریخ جلسه دمو حضوری شوروم یا ارسال پیش‌فاکتور رسمی نهایی شده است؟؛ 7) ثبت علت در صورت رد لید: در صورت عدم صلاحیت، آیا علت استاندارد (دانشجو، رقیب، فاقد بودجه، شماره نامعتبر) در CRM انتخاب شده است؟</x:v>
      </x:c>
      <x:c r="F6" s="37" t="str">
        <x:v>این چک‌لیست فرآیند تحویل سرنخ بازاریابی (MQL) به واحد فروش تجهیزات دندان‌پزشکی (</x:v>
      </x:c>
      <x:c r="G6" s="37"/>
      <x:c r="H6" s="37"/>
      <x:c r="I6" s="37"/>
      <x:c r="J6" s="37"/>
    </x:row>
    <x:row r="7">
      <x:c r="A7" s="37" t="str">
        <x:v>CHK-06</x:v>
      </x:c>
      <x:c r="B7" s="37" t="str">
        <x:v>بهینه‌سازی و سئوی صفحات فرود تجهیزات (Landing Page CRO Checklist)</x:v>
      </x:c>
      <x:c r="C7" s="37" t="str">
        <x:v>این چک‌لیست توسط تیم محصول و متخصص بهینه‌سازی نرخ تبدیل برای هر لندینگ کمپین تکمیل می‌شود:</x:v>
      </x:c>
      <x:c r="D7" s="37" t="n">
        <x:v>7</x:v>
      </x:c>
      <x:c r="E7" s="37" t="str">
        <x:v>1) تطابق پیام لندینگ با آگهی (Message Match): آیا عنوان اصلی بالای لندینگ دقیقاً پاسخی به وعده داده‌شده در آگهی تبلیغاتی است؟؛ 2) جدول مقایسه مشخصات فنی کالا: آیا مشخصات فنی، برند موتور، توان مصرفی و گارانتی تجهیزات در قالب جدول مقایسه‌ای شفاف درج شده است؟؛ 3) نمادهای اعتمادساز صنفی: آیا لوگوی اصالت تجهیزات، نشان استاندارد سازمان غذا و دارو و تصاویر شوروم تیتانا قابل مشاهده است؟؛ 4) سادگی فرم ثبت‌نام: آیا فرم اولیه درخواست فقط شامل ۳ فیلد ضروری (نام، شماره نظام پزشکی، شماره تماس) است؟؛ 5) ریسپانسیو بودن کامل در موبایل: آیا تمامی دکمه‌ها و فرم‌ها روی دستگاه‌های موبایل پزشکان به راحتی قابل لمس و تکمیل هستند؟؛ 6) سرعت زیرساخت و CDN: آیا تصاویر فشرده در فرمت WebP بوده و اسکریپت‌های تحلیلی به صورت ناهمگام (Async) لود می‌شوند؟؛ 7) فعال بودن ابزارهای ضبط رفتار (Heatmaps): آیا اسکریپت هیت‌مپ جهت بررسی رفتار اسکرول و کلیک کاربران فعال است؟</x:v>
      </x:c>
      <x:c r="F7" s="37" t="str">
        <x:v>این چک‌لیست توسط تیم محصول و متخصص بهینه‌سازی نرخ تبدیل برای هر لندینگ کمپین تکم</x:v>
      </x:c>
      <x:c r="G7" s="37"/>
      <x:c r="H7" s="37"/>
      <x:c r="I7" s="37"/>
      <x:c r="J7" s="37"/>
    </x:row>
    <x:row r="8">
      <x:c r="A8" s="37" t="str">
        <x:v>CHK-07</x:v>
      </x:c>
      <x:c r="B8" s="37" t="str">
        <x:v>استقرار و پذیرش داشبوردها (Dashboard Deployment &amp; UAT Checklist)</x:v>
      </x:c>
      <x:c r="C8" s="37" t="str">
        <x:v>این چک‌لیست پیش از انتشار رسمی داشبوردهای سه‌گانه به ذینفعان سازمانی توسط تیم BI اجرا می‌گردد:</x:v>
      </x:c>
      <x:c r="D8" s="37" t="n">
        <x:v>6</x:v>
      </x:c>
      <x:c r="E8" s="37" t="str">
        <x:v>1) صحت آماری اعداد در برابر دیتابیس مالی: آیا مجموع درآمد و سود نمایش‌داده‌شده در داشبورد با گزارش نهایی حسابداری مغایرت صفر دارد؟؛ 2) آزمون فیلترهای سلسله‌مراتبی: آیا تغییر فیلتر تاریخ، رده محصول و شهر، اعداد تمامی ویجت‌ها را به درستی و بدون ارور به‌روزرسانی می‌کند؟؛ 3) تنظیم سطوح دسترسی (Role-Based Access): آیا مدیرعامل به داشبورد استراتژیک و کارشناسان صرفاً به داشبورد عملیاتی دسترسی دارند؟؛ 4) تست لودینگ داشبورد: آیا کل داشبورد در زمان کمتر از ۴ ثانیه رندر شده و کوئری‌های پرمصرف بهینه‌سازی شده‌اند؟؛ 5) تعریف راهنمای Tooltip شاخص‌ها: آیا در کنار تمامی علائم اختصاری (مانند MER, POAS, CLV) توضیحات تعریفی درج شده است؟؛ 6) پذیرش نهایی کاربر (Sign-Off): آیا تاییدیه رسمی مدیر ارشد مربوطه برای استفاده از داشبورد دریافت شده است؟</x:v>
      </x:c>
      <x:c r="F8" s="37" t="str">
        <x:v>این چک‌لیست پیش از انتشار رسمی داشبوردهای سه‌گانه به ذینفعان سازمانی توسط تیم BI</x:v>
      </x:c>
      <x:c r="G8" s="37"/>
      <x:c r="H8" s="37"/>
      <x:c r="I8" s="37"/>
      <x:c r="J8" s="37"/>
    </x:row>
    <x:row r="9">
      <x:c r="A9" s="37" t="str">
        <x:v>CHK-08</x:v>
      </x:c>
      <x:c r="B9" s="37" t="str">
        <x:v>امنیت داده و حاکمیت اطلاعات محرمانه (Data Governance &amp; Privacy Checklist)</x:v>
      </x:c>
      <x:c r="C9" s="37" t="str">
        <x:v>این چک‌لیست توسط مدیر امنیت اطلاعات و مهندس حاکمیت داده جهت اطمینان از الزامات محرمانگی پزشکی بازبینی می‌شود:</x:v>
      </x:c>
      <x:c r="D9" s="37" t="n">
        <x:v>5</x:v>
      </x:c>
      <x:c r="E9" s="37" t="str">
        <x:v>1) جداسازی محیط‌های دیتابیس: آیا محیط توسعه و استیجینگ از داده‌های مشتریان واقعی ایزوله بوده و داده‌ها ماسک شده‌اند؟؛ 2) رمزنگاری داده‌های حساس: آیا شماره تلفن‌ها، آدرس مطب‌ها و اطلاعات بانکی در حالت سکون (At Rest) و در انتقال (In Transit) رمزنگاری شده‌اند؟؛ 3) ممیزی لاگ‌های دسترسی به داده‌ها: آیا گزارش افرادی که به جدول مشتریان و فاکتورها کوئری زده‌اند به صورت روزانه ثبت می‌شود؟؛ 4) مدیریت انقضای توکن‌های دسترسی: آیا توکن‌های API پلتفرم‌های خارجی دارای تاریخ انقضای محدود بوده و در Secret Manager نگهداری می‌شوند؟؛ 5) رعایت اصول بهداشت داده (Data Contracts): آیا فیلدهای ورودی طبق سند نیازمندی‌های داده ۱۲۷ فیلدی ارزیابی می‌شوند؟</x:v>
      </x:c>
      <x:c r="F9" s="37" t="str">
        <x:v>این چک‌لیست توسط مدیر امنیت اطلاعات و مهندس حاکمیت داده جهت اطمینان از الزامات م</x:v>
      </x:c>
      <x:c r="G9" s="37"/>
      <x:c r="H9" s="37"/>
      <x:c r="I9" s="37"/>
      <x:c r="J9" s="37"/>
    </x:row>
    <x:row r="10">
      <x:c r="A10" s="37" t="str">
        <x:v>CHK-09</x:v>
      </x:c>
      <x:c r="B10" s="37" t="str">
        <x:v>بازنگری و بهینه‌سازی بودجه فصلی (Quarterly Budget Allocation Checklist)</x:v>
      </x:c>
      <x:c r="C10" s="37" t="str">
        <x:v>این چک‌لیست در پایان هر فصل توسط مدیرعامل، مدیر مالی و CMO جهت تنظیم بودجه فصل آینده تکمیل می‌گردد:</x:v>
      </x:c>
      <x:c r="D10" s="37" t="n">
        <x:v>5</x:v>
      </x:c>
      <x:c r="E10" s="37" t="str">
        <x:v>1) بررسی خروجی مدل آمیخته بازاریابی (MMM): آیا اثر تاخیری و بازده نهایی سرمایه‌گذاری (mROAS) هر کانال در بودجه‌ریزی لحاظ شده است؟؛ 2) تراز سود سهمی (Contribution Margin): آیا سودآوری نهایی حاصل از کانال‌های پولی، هزینه‌های سربار و لجستیک را جبران کرده است؟؛ 3) پیش‌بینی روندهای فصلی و تقویمی: آیا بودجه‌ریزی بر اساس ماه‌های اوج تقاضای کلینیک‌ها (اسفندماه و فصل بازگشایی مطب‌ها) تعدیل شده است؟؛ 4) تخصیص سهم بودجه برای آزمایش و نوآوری (70-20-10 Rule): آیا ۱۰٪ از بودجه به تست کانال‌ها و کریتیوهای کاملاً تجربی اختصاص یافته است؟؛ 5) تصویب مصوبه رسمی تخصیص بودجه: آیا امضای مدیرعامل و تاییدیه تخصیص منابع ارزی/ریالی مالی اخذ گردیده است؟</x:v>
      </x:c>
      <x:c r="F10" s="37" t="str">
        <x:v>این چک‌لیست در پایان هر فصل توسط مدیرعامل، مدیر مالی و CMO جهت تنظیم بودجه فصل آ</x:v>
      </x:c>
      <x:c r="G10" s="37"/>
      <x:c r="H10" s="37"/>
      <x:c r="I10" s="37"/>
      <x:c r="J10" s="37"/>
    </x:row>
    <x:row r="11">
      <x:c r="A11" s="37" t="str">
        <x:v>CHK-10</x:v>
      </x:c>
      <x:c r="B11" s="37" t="str">
        <x:v>آمادگی برای کنگره‌های بزرگ دندان‌پزشکی (Major Dental Congress Readiness Checklist)</x:v>
      </x:c>
      <x:c r="C11" s="37" t="str">
        <x:v>این چک‌لیست جهت یکپارچه‌سازی پرفورمنس مارکتینگ آنلاین با حضور فیزیکی در کنگره‌هایی نظیر اکسیدا (EXIDA) اجرا می‌شود:</x:v>
      </x:c>
      <x:c r="D11" s="37" t="n">
        <x:v>6</x:v>
      </x:c>
      <x:c r="E11" s="37" t="str">
        <x:v>1) تولید کدهای QR رهگیری اختصاصی برای هر استند: آیا کدهای QR غرفه با پارامترهای دقیق UTM برای دانلود کاتالوگ آماده شده‌اند؟؛ 2) کمپین‌های ریتارگتینگ منطقه‌ای (Geo-Fencing Ads): آیا ادز مبتنی بر موقعیت مکانی حول محل نمایشگاه بین‌المللی فعال شده است؟؛ 3) کوپن‌های اختصاصی تخفیف کنگره: آیا کدهای کوپن اختصاصی برای پزشکان ثبت‌نام‌کننده در همایش در وب‌سایت فعال و تست شده‌اند؟؛ 4) آمادگی سرورها برای جهش ترافیک: آیا ظرفیت هاستینگ و پایگاه داده برای پاسخ‌گویی به هجوم همزمان ترافیک کلینیک‌ها افزایش یافته است؟؛ 5) هماهنگی آنلاین پایپ‌لاین فروش غرفه با CRM: آیا تبلت‌های پرسنل غرفه مستقیماً لیدهای ثبت‌شده را به پایپ‌لاین فروش تیتانا منتقل می‌کنند؟؛ 6) برنامه پیگیری فوری پس از نمایشگاه: آیا جریان پیامکی و ایمیلی اختصاصی برای قدردانی از بازدیدکنندگان ظرف ۲۴ ساعت پس از پایان رویداد تدوین شده است؟</x:v>
      </x:c>
      <x:c r="F11" s="37" t="str">
        <x:v>این چک‌لیست جهت یکپارچه‌سازی پرفورمنس مارکتینگ آنلاین با حضور فیزیکی در کنگره‌ها</x:v>
      </x:c>
      <x:c r="G11" s="37"/>
      <x:c r="H11" s="37"/>
      <x:c r="I11" s="37"/>
      <x:c r="J11" s="37"/>
    </x:row>
  </x:sheetData>
  <x:pageMargins left="0.7" right="0.7" top="0.75" bottom="0.75" header="0.3" footer="0.3"/>
  <x:tableParts count="1">
    <x:tablePart xmlns:r="http://schemas.openxmlformats.org/officeDocument/2006/relationships" r:id="R8c35534fabaf46a2"/>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 t="str">
        <x:v>داشبورد اجرایی برنامه ساخت Performance Marketing — Titana 107</x:v>
      </x:c>
      <x:c r="B1" s="38"/>
      <x:c r="C1" s="38"/>
      <x:c r="D1" s="38"/>
      <x:c r="E1" s="38"/>
      <x:c r="F1" s="38"/>
      <x:c r="G1" s="38"/>
      <x:c r="H1" s="38"/>
    </x:row>
    <x:row r="3">
      <x:c r="A3" s="24" t="str">
        <x:v>موج</x:v>
      </x:c>
      <x:c r="B3" s="24" t="str">
        <x:v>تعداد Task</x:v>
      </x:c>
      <x:c r="C3" s="40"/>
      <x:c r="D3" s="24" t="str">
        <x:v>اولویت</x:v>
      </x:c>
      <x:c r="E3" s="24" t="str">
        <x:v>تعداد</x:v>
      </x:c>
      <x:c r="F3" s="40"/>
      <x:c r="G3" s="24" t="str">
        <x:v>وضعیت</x:v>
      </x:c>
      <x:c r="H3" s="24" t="str">
        <x:v>تعداد</x:v>
      </x:c>
    </x:row>
    <x:row r="4">
      <x:c r="A4" s="28" t="str">
        <x:v>W0</x:v>
      </x:c>
      <x:c r="B4" s="28" t="n">
        <x:f>COUNTIF('01_MASTER_BACKLOG'!$F$2:$F$285,A4)</x:f>
        <x:v>7</x:v>
      </x:c>
      <x:c r="D4" s="28" t="str">
        <x:v>Critical</x:v>
      </x:c>
      <x:c r="E4" s="28" t="n">
        <x:f>COUNTIF('01_MASTER_BACKLOG'!$H$2:$H$285,D4)</x:f>
        <x:v>102</x:v>
      </x:c>
      <x:c r="G4" s="28" t="str">
        <x:v>Proposed</x:v>
      </x:c>
      <x:c r="H4" s="28" t="n">
        <x:f>COUNTIF('01_MASTER_BACKLOG'!$O$2:$O$285,G4)</x:f>
        <x:v>284</x:v>
      </x:c>
    </x:row>
    <x:row r="5">
      <x:c r="A5" s="28" t="str">
        <x:v>W1</x:v>
      </x:c>
      <x:c r="B5" s="28" t="n">
        <x:f>COUNTIF('01_MASTER_BACKLOG'!$F$2:$F$285,A5)</x:f>
        <x:v>5</x:v>
      </x:c>
      <x:c r="D5" s="28" t="str">
        <x:v>High</x:v>
      </x:c>
      <x:c r="E5" s="28" t="n">
        <x:f>COUNTIF('01_MASTER_BACKLOG'!$H$2:$H$285,D5)</x:f>
        <x:v>129</x:v>
      </x:c>
      <x:c r="G5" s="28" t="str">
        <x:v>Ready</x:v>
      </x:c>
      <x:c r="H5" s="28" t="n">
        <x:f>COUNTIF('01_MASTER_BACKLOG'!$O$2:$O$285,G5)</x:f>
        <x:v>0</x:v>
      </x:c>
    </x:row>
    <x:row r="6">
      <x:c r="A6" s="28" t="str">
        <x:v>W2</x:v>
      </x:c>
      <x:c r="B6" s="28" t="n">
        <x:f>COUNTIF('01_MASTER_BACKLOG'!$F$2:$F$285,A6)</x:f>
        <x:v>27</x:v>
      </x:c>
      <x:c r="D6" s="28" t="str">
        <x:v>Medium</x:v>
      </x:c>
      <x:c r="E6" s="28" t="n">
        <x:f>COUNTIF('01_MASTER_BACKLOG'!$H$2:$H$285,D6)</x:f>
        <x:v>51</x:v>
      </x:c>
      <x:c r="G6" s="28" t="str">
        <x:v>In Progress</x:v>
      </x:c>
      <x:c r="H6" s="28" t="n">
        <x:f>COUNTIF('01_MASTER_BACKLOG'!$O$2:$O$285,G6)</x:f>
        <x:v>0</x:v>
      </x:c>
    </x:row>
    <x:row r="7">
      <x:c r="A7" s="28" t="str">
        <x:v>W3</x:v>
      </x:c>
      <x:c r="B7" s="28" t="n">
        <x:f>COUNTIF('01_MASTER_BACKLOG'!$F$2:$F$285,A7)</x:f>
        <x:v>49</x:v>
      </x:c>
      <x:c r="D7" s="28" t="str">
        <x:v>Low</x:v>
      </x:c>
      <x:c r="E7" s="28" t="n">
        <x:f>COUNTIF('01_MASTER_BACKLOG'!$H$2:$H$285,D7)</x:f>
        <x:v>2</x:v>
      </x:c>
      <x:c r="G7" s="28" t="str">
        <x:v>Implemented</x:v>
      </x:c>
      <x:c r="H7" s="28" t="n">
        <x:f>COUNTIF('01_MASTER_BACKLOG'!$O$2:$O$285,G7)</x:f>
        <x:v>0</x:v>
      </x:c>
    </x:row>
    <x:row r="8">
      <x:c r="A8" s="28" t="str">
        <x:v>W4</x:v>
      </x:c>
      <x:c r="B8" s="28" t="n">
        <x:f>COUNTIF('01_MASTER_BACKLOG'!$F$2:$F$285,A8)</x:f>
        <x:v>89</x:v>
      </x:c>
      <x:c r="G8" s="28" t="str">
        <x:v>Tested</x:v>
      </x:c>
      <x:c r="H8" s="28" t="n">
        <x:f>COUNTIF('01_MASTER_BACKLOG'!$O$2:$O$285,G8)</x:f>
        <x:v>0</x:v>
      </x:c>
    </x:row>
    <x:row r="9">
      <x:c r="A9" s="28" t="str">
        <x:v>W5</x:v>
      </x:c>
      <x:c r="B9" s="28" t="n">
        <x:f>COUNTIF('01_MASTER_BACKLOG'!$F$2:$F$285,A9)</x:f>
        <x:v>80</x:v>
      </x:c>
      <x:c r="G9" s="28" t="str">
        <x:v>Blocked</x:v>
      </x:c>
      <x:c r="H9" s="28" t="n">
        <x:f>COUNTIF('01_MASTER_BACKLOG'!$O$2:$O$285,G9)</x:f>
        <x:v>0</x:v>
      </x:c>
    </x:row>
    <x:row r="10">
      <x:c r="A10" s="28" t="str">
        <x:v>W6</x:v>
      </x:c>
      <x:c r="B10" s="28" t="n">
        <x:f>COUNTIF('01_MASTER_BACKLOG'!$F$2:$F$285,A10)</x:f>
        <x:v>27</x:v>
      </x:c>
    </x:row>
  </x:sheetData>
  <x:mergeCells>
    <x:mergeCell ref="A1:H1"/>
  </x:mergeCells>
  <x:pageMargins left="0.7" right="0.7" top="0.75" bottom="0.75" header="0.3" footer="0.3"/>
  <x:drawing xmlns:r="http://schemas.openxmlformats.org/officeDocument/2006/relationships" r:id="R00c75b8495374032"/>
</x:worksheet>
</file>